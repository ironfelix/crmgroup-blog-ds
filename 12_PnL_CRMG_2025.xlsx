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Наталья\Desktop\УПРАВЛЕНЧЕСКАЯ ОТЧЕТНОСТЬ\PL_CRMG_2025\"/>
    </mc:Choice>
  </mc:AlternateContent>
  <xr:revisionPtr revIDLastSave="0" documentId="13_ncr:1_{C81DF0FD-91E5-4780-9BC9-1003BD139E96}" xr6:coauthVersionLast="47" xr6:coauthVersionMax="47" xr10:uidLastSave="{00000000-0000-0000-0000-000000000000}"/>
  <bookViews>
    <workbookView xWindow="-96" yWindow="-96" windowWidth="23232" windowHeight="12432" activeTab="3" xr2:uid="{00000000-000D-0000-FFFF-FFFF00000000}"/>
  </bookViews>
  <sheets>
    <sheet name="Фин.модель" sheetId="1" r:id="rId1"/>
    <sheet name="Юнит ЕМС " sheetId="26" state="hidden" r:id="rId2"/>
    <sheet name="БЛОК-ВЫРУЧКА" sheetId="25" r:id="rId3"/>
    <sheet name="База расходы" sheetId="17" r:id="rId4"/>
    <sheet name="База расходы зп" sheetId="16" r:id="rId5"/>
    <sheet name="Фин.модель сокр." sheetId="24" state="hidden" r:id="rId6"/>
    <sheet name="Выручка тех. с новых клиентов" sheetId="22" r:id="rId7"/>
    <sheet name="план-факт" sheetId="19" state="hidden" r:id="rId8"/>
    <sheet name="Продажи" sheetId="20" state="hidden" r:id="rId9"/>
    <sheet name="Выручка-план" sheetId="9" r:id="rId10"/>
    <sheet name="план поступлений" sheetId="23" r:id="rId11"/>
    <sheet name="Отток" sheetId="13" state="hidden" r:id="rId12"/>
    <sheet name="Клиенты на входе" sheetId="11" state="hidden" r:id="rId13"/>
    <sheet name="План поступлений с новых продаж" sheetId="12" state="hidden" r:id="rId14"/>
    <sheet name="Найм сотрудников" sheetId="14" state="hidden" r:id="rId15"/>
    <sheet name="Новый клиентский портфель план " sheetId="7" state="hidden" r:id="rId16"/>
    <sheet name="коэффициент сезонности" sheetId="10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_xlnm._FilterDatabase" localSheetId="4" hidden="1">'База расходы зп'!$A$93:$AB$1150</definedName>
    <definedName name="_xlnm._FilterDatabase" localSheetId="2" hidden="1">'БЛОК-ВЫРУЧКА'!$A$3:$G$3</definedName>
    <definedName name="_xlnm._FilterDatabase" localSheetId="9" hidden="1">'Выручка-план'!$A$3:$O$3</definedName>
    <definedName name="_xlnm._FilterDatabase" localSheetId="1" hidden="1">'Юнит ЕМС '!$A$2:$I$63</definedName>
  </definedNames>
  <calcPr calcId="191029" refMode="R1C1"/>
</workbook>
</file>

<file path=xl/calcChain.xml><?xml version="1.0" encoding="utf-8"?>
<calcChain xmlns="http://schemas.openxmlformats.org/spreadsheetml/2006/main">
  <c r="AB113" i="1" l="1"/>
  <c r="AC113" i="1"/>
  <c r="AA78" i="1"/>
  <c r="AC78" i="1" s="1"/>
  <c r="AD48" i="1"/>
  <c r="AD34" i="1"/>
  <c r="AD33" i="1"/>
  <c r="AD32" i="1"/>
  <c r="AD35" i="1"/>
  <c r="AI39" i="25"/>
  <c r="AD51" i="1"/>
  <c r="AD127" i="1"/>
  <c r="AD128" i="1"/>
  <c r="AD126" i="1"/>
  <c r="AB130" i="1"/>
  <c r="AB129" i="1"/>
  <c r="AC130" i="1"/>
  <c r="AC129" i="1"/>
  <c r="AC127" i="1"/>
  <c r="AC128" i="1"/>
  <c r="AB127" i="1"/>
  <c r="AB128" i="1"/>
  <c r="AC126" i="1"/>
  <c r="AB126" i="1"/>
  <c r="AB116" i="1"/>
  <c r="AB108" i="1"/>
  <c r="AB112" i="1" s="1"/>
  <c r="AB106" i="1"/>
  <c r="AB110" i="1"/>
  <c r="AC110" i="1"/>
  <c r="AC98" i="1"/>
  <c r="AC99" i="1"/>
  <c r="AC100" i="1"/>
  <c r="AC102" i="1"/>
  <c r="AC103" i="1"/>
  <c r="AC104" i="1"/>
  <c r="AC97" i="1"/>
  <c r="AC95" i="1"/>
  <c r="AC88" i="1"/>
  <c r="AC89" i="1"/>
  <c r="AC90" i="1"/>
  <c r="AC91" i="1"/>
  <c r="AC92" i="1"/>
  <c r="AC93" i="1"/>
  <c r="AC94" i="1"/>
  <c r="AC87" i="1"/>
  <c r="AC82" i="1"/>
  <c r="AC83" i="1"/>
  <c r="AC84" i="1"/>
  <c r="AC81" i="1"/>
  <c r="AB105" i="1"/>
  <c r="AB81" i="1"/>
  <c r="AB82" i="1"/>
  <c r="AB83" i="1"/>
  <c r="AB84" i="1"/>
  <c r="AB85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2" i="1"/>
  <c r="AB103" i="1"/>
  <c r="AB104" i="1"/>
  <c r="AC75" i="1"/>
  <c r="AC76" i="1"/>
  <c r="AC77" i="1"/>
  <c r="AC79" i="1"/>
  <c r="AB74" i="1"/>
  <c r="AB75" i="1"/>
  <c r="AB76" i="1"/>
  <c r="AB77" i="1"/>
  <c r="AB78" i="1"/>
  <c r="AB79" i="1"/>
  <c r="AB71" i="1"/>
  <c r="AB73" i="1"/>
  <c r="AB70" i="1"/>
  <c r="AC59" i="1"/>
  <c r="AC60" i="1"/>
  <c r="AC61" i="1"/>
  <c r="AC62" i="1"/>
  <c r="AC63" i="1"/>
  <c r="AC64" i="1"/>
  <c r="AC65" i="1"/>
  <c r="AC66" i="1"/>
  <c r="AC67" i="1"/>
  <c r="AC68" i="1"/>
  <c r="AC69" i="1"/>
  <c r="AB59" i="1"/>
  <c r="AB60" i="1"/>
  <c r="AB61" i="1"/>
  <c r="AB62" i="1"/>
  <c r="AB63" i="1"/>
  <c r="AB64" i="1"/>
  <c r="AB65" i="1"/>
  <c r="AB66" i="1"/>
  <c r="AB67" i="1"/>
  <c r="AB68" i="1"/>
  <c r="AB69" i="1"/>
  <c r="AC58" i="1"/>
  <c r="AB58" i="1"/>
  <c r="AB55" i="1"/>
  <c r="AC53" i="1"/>
  <c r="AC55" i="1"/>
  <c r="AC56" i="1"/>
  <c r="AC57" i="1"/>
  <c r="AB53" i="1"/>
  <c r="AB56" i="1"/>
  <c r="AB57" i="1"/>
  <c r="AC51" i="1"/>
  <c r="AB51" i="1"/>
  <c r="AB48" i="1"/>
  <c r="AC35" i="1"/>
  <c r="AC33" i="1"/>
  <c r="C14" i="1"/>
  <c r="AB14" i="1"/>
  <c r="AB15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4" i="1"/>
  <c r="AB35" i="1"/>
  <c r="AB31" i="1"/>
  <c r="AB32" i="1"/>
  <c r="AB33" i="1"/>
  <c r="AB34" i="1"/>
  <c r="C27" i="1"/>
  <c r="C30" i="1"/>
  <c r="C29" i="1"/>
  <c r="C28" i="1"/>
  <c r="AB26" i="1"/>
  <c r="AB27" i="1"/>
  <c r="AB28" i="1"/>
  <c r="AB29" i="1"/>
  <c r="AB30" i="1"/>
  <c r="AB21" i="1"/>
  <c r="AB22" i="1"/>
  <c r="AB23" i="1"/>
  <c r="AB24" i="1"/>
  <c r="AB25" i="1"/>
  <c r="AB19" i="1"/>
  <c r="AB20" i="1"/>
  <c r="AC11" i="1"/>
  <c r="AC12" i="1"/>
  <c r="AC13" i="1"/>
  <c r="AD8" i="1"/>
  <c r="AC8" i="1"/>
  <c r="AA30" i="1"/>
  <c r="AA29" i="1"/>
  <c r="AA28" i="1"/>
  <c r="AA103" i="1"/>
  <c r="AA102" i="1"/>
  <c r="AA100" i="1"/>
  <c r="AA97" i="1"/>
  <c r="AA92" i="1"/>
  <c r="AA89" i="1"/>
  <c r="AA87" i="1"/>
  <c r="AA83" i="1"/>
  <c r="AA81" i="1"/>
  <c r="AA77" i="1"/>
  <c r="AA76" i="1"/>
  <c r="AA75" i="1"/>
  <c r="AA69" i="1"/>
  <c r="AA67" i="1"/>
  <c r="AA65" i="1"/>
  <c r="AA64" i="1"/>
  <c r="AA63" i="1"/>
  <c r="AA62" i="1"/>
  <c r="AA61" i="1"/>
  <c r="AA60" i="1"/>
  <c r="H1143" i="16"/>
  <c r="G1143" i="16"/>
  <c r="H1142" i="16"/>
  <c r="G1142" i="16"/>
  <c r="AH56" i="17"/>
  <c r="AI101" i="17"/>
  <c r="AH93" i="17"/>
  <c r="AI93" i="17" s="1"/>
  <c r="AI82" i="17"/>
  <c r="AI65" i="17"/>
  <c r="AI51" i="17"/>
  <c r="AI42" i="17"/>
  <c r="AI33" i="17"/>
  <c r="AH33" i="17"/>
  <c r="AI25" i="17"/>
  <c r="AI4" i="17"/>
  <c r="H1098" i="16"/>
  <c r="G1098" i="16"/>
  <c r="G1132" i="16"/>
  <c r="H1132" i="16"/>
  <c r="H1126" i="16"/>
  <c r="G1126" i="16"/>
  <c r="H1116" i="16"/>
  <c r="G1116" i="16"/>
  <c r="H1112" i="16"/>
  <c r="G1112" i="16"/>
  <c r="H1103" i="16"/>
  <c r="G1103" i="16"/>
  <c r="H1083" i="16"/>
  <c r="G1083" i="16"/>
  <c r="H1074" i="16"/>
  <c r="G1074" i="16"/>
  <c r="H1068" i="16"/>
  <c r="H1069" i="16"/>
  <c r="H1070" i="16"/>
  <c r="H1072" i="16"/>
  <c r="H1073" i="16"/>
  <c r="H1075" i="16"/>
  <c r="H1076" i="16"/>
  <c r="H1077" i="16"/>
  <c r="H1078" i="16"/>
  <c r="H1079" i="16"/>
  <c r="H1080" i="16"/>
  <c r="H1081" i="16"/>
  <c r="H1082" i="16"/>
  <c r="H1084" i="16"/>
  <c r="H1085" i="16"/>
  <c r="H1086" i="16"/>
  <c r="H1087" i="16"/>
  <c r="H1089" i="16"/>
  <c r="H1090" i="16"/>
  <c r="H1091" i="16"/>
  <c r="H1092" i="16"/>
  <c r="H1093" i="16"/>
  <c r="H1094" i="16"/>
  <c r="H1095" i="16"/>
  <c r="H1096" i="16"/>
  <c r="H1097" i="16"/>
  <c r="H1100" i="16"/>
  <c r="H1101" i="16"/>
  <c r="H1102" i="16"/>
  <c r="H1104" i="16"/>
  <c r="H1105" i="16"/>
  <c r="H1106" i="16"/>
  <c r="H1107" i="16"/>
  <c r="H1108" i="16"/>
  <c r="H1109" i="16"/>
  <c r="H1110" i="16"/>
  <c r="H1111" i="16"/>
  <c r="H1113" i="16"/>
  <c r="H1114" i="16"/>
  <c r="H1115" i="16"/>
  <c r="H1117" i="16"/>
  <c r="H1118" i="16"/>
  <c r="H1119" i="16"/>
  <c r="H1120" i="16"/>
  <c r="H1122" i="16"/>
  <c r="H1123" i="16"/>
  <c r="H1124" i="16"/>
  <c r="H1125" i="16"/>
  <c r="H1129" i="16"/>
  <c r="H1130" i="16"/>
  <c r="H1131" i="16"/>
  <c r="H1133" i="16"/>
  <c r="H1134" i="16"/>
  <c r="H1135" i="16"/>
  <c r="H1136" i="16"/>
  <c r="H1137" i="16"/>
  <c r="H1138" i="16"/>
  <c r="H1139" i="16"/>
  <c r="H1140" i="16"/>
  <c r="H1144" i="16"/>
  <c r="H1145" i="16"/>
  <c r="H1146" i="16"/>
  <c r="H1147" i="16"/>
  <c r="H1148" i="16"/>
  <c r="H1149" i="16"/>
  <c r="H1150" i="16"/>
  <c r="H1067" i="16"/>
  <c r="G1068" i="16"/>
  <c r="G1069" i="16"/>
  <c r="G1070" i="16"/>
  <c r="G1072" i="16"/>
  <c r="G1073" i="16"/>
  <c r="G1075" i="16"/>
  <c r="G1076" i="16"/>
  <c r="G1077" i="16"/>
  <c r="G1078" i="16"/>
  <c r="G1079" i="16"/>
  <c r="G1080" i="16"/>
  <c r="G1081" i="16"/>
  <c r="G1082" i="16"/>
  <c r="G1084" i="16"/>
  <c r="G1085" i="16"/>
  <c r="G1086" i="16"/>
  <c r="G1087" i="16"/>
  <c r="G1089" i="16"/>
  <c r="G1090" i="16"/>
  <c r="G1091" i="16"/>
  <c r="G1092" i="16"/>
  <c r="G1093" i="16"/>
  <c r="G1094" i="16"/>
  <c r="G1095" i="16"/>
  <c r="G1096" i="16"/>
  <c r="G1097" i="16"/>
  <c r="G1100" i="16"/>
  <c r="G1101" i="16"/>
  <c r="G1102" i="16"/>
  <c r="G1104" i="16"/>
  <c r="G1105" i="16"/>
  <c r="G1106" i="16"/>
  <c r="G1107" i="16"/>
  <c r="G1108" i="16"/>
  <c r="G1109" i="16"/>
  <c r="G1110" i="16"/>
  <c r="G1111" i="16"/>
  <c r="G1113" i="16"/>
  <c r="G1114" i="16"/>
  <c r="G1115" i="16"/>
  <c r="G1117" i="16"/>
  <c r="G1118" i="16"/>
  <c r="G1119" i="16"/>
  <c r="G1120" i="16"/>
  <c r="G1122" i="16"/>
  <c r="G1123" i="16"/>
  <c r="G1124" i="16"/>
  <c r="G1125" i="16"/>
  <c r="G1129" i="16"/>
  <c r="G1130" i="16"/>
  <c r="G1131" i="16"/>
  <c r="G1133" i="16"/>
  <c r="G1134" i="16"/>
  <c r="G1135" i="16"/>
  <c r="G1136" i="16"/>
  <c r="G1137" i="16"/>
  <c r="G1138" i="16"/>
  <c r="G1139" i="16"/>
  <c r="G1140" i="16"/>
  <c r="G1144" i="16"/>
  <c r="G1145" i="16"/>
  <c r="G1146" i="16"/>
  <c r="G1147" i="16"/>
  <c r="G1148" i="16"/>
  <c r="G1149" i="16"/>
  <c r="G1150" i="16"/>
  <c r="G1067" i="16"/>
  <c r="B1070" i="16"/>
  <c r="B1068" i="16"/>
  <c r="B1069" i="16" s="1"/>
  <c r="B1071" i="16" s="1"/>
  <c r="B1072" i="16" s="1"/>
  <c r="B1073" i="16" s="1"/>
  <c r="B1075" i="16" l="1"/>
  <c r="B1076" i="16" s="1"/>
  <c r="B1074" i="16"/>
  <c r="B1077" i="16" l="1"/>
  <c r="B1078" i="16"/>
  <c r="B1079" i="16" l="1"/>
  <c r="B1080" i="16" s="1"/>
  <c r="B1081" i="16" s="1"/>
  <c r="B1082" i="16" s="1"/>
  <c r="B1107" i="16"/>
  <c r="B1084" i="16" l="1"/>
  <c r="B1083" i="16"/>
  <c r="B1109" i="16"/>
  <c r="B1110" i="16" s="1"/>
  <c r="B1108" i="16"/>
  <c r="B1085" i="16" l="1"/>
  <c r="B1087" i="16"/>
  <c r="B1115" i="16"/>
  <c r="B1117" i="16" s="1"/>
  <c r="B1118" i="16" s="1"/>
  <c r="B1119" i="16" s="1"/>
  <c r="B1120" i="16" s="1"/>
  <c r="B1111" i="16"/>
  <c r="B1114" i="16"/>
  <c r="B1116" i="16" s="1"/>
  <c r="B1113" i="16" l="1"/>
  <c r="B1112" i="16"/>
  <c r="B1088" i="16"/>
  <c r="B1089" i="16" s="1"/>
  <c r="B1090" i="16" s="1"/>
  <c r="B1091" i="16" s="1"/>
  <c r="B1092" i="16" s="1"/>
  <c r="B1093" i="16" s="1"/>
  <c r="B1094" i="16" s="1"/>
  <c r="B1095" i="16" s="1"/>
  <c r="B1096" i="16" s="1"/>
  <c r="B1086" i="16"/>
  <c r="B1122" i="16"/>
  <c r="B1121" i="16"/>
  <c r="B1126" i="16" s="1"/>
  <c r="B1124" i="16"/>
  <c r="B1128" i="16" s="1"/>
  <c r="B1129" i="16" s="1"/>
  <c r="B1130" i="16" l="1"/>
  <c r="B1131" i="16" s="1"/>
  <c r="B1134" i="16" s="1"/>
  <c r="B1132" i="16"/>
  <c r="B1097" i="16"/>
  <c r="B1133" i="16"/>
  <c r="B1135" i="16" s="1"/>
  <c r="B1125" i="16"/>
  <c r="B1127" i="16"/>
  <c r="B1123" i="16"/>
  <c r="B1099" i="16" l="1"/>
  <c r="B1101" i="16" s="1"/>
  <c r="B1102" i="16" s="1"/>
  <c r="B1104" i="16" s="1"/>
  <c r="B1098" i="16"/>
  <c r="B1100" i="16"/>
  <c r="B1136" i="16"/>
  <c r="B1137" i="16"/>
  <c r="B1138" i="16" s="1"/>
  <c r="B1139" i="16" s="1"/>
  <c r="B1103" i="16" l="1"/>
  <c r="B1140" i="16"/>
  <c r="B1141" i="16" s="1"/>
  <c r="B1142" i="16" s="1"/>
  <c r="B1143" i="16" s="1"/>
  <c r="B1105" i="16"/>
  <c r="B1106" i="16"/>
  <c r="B1145" i="16" l="1"/>
  <c r="B1146" i="16" s="1"/>
  <c r="B1147" i="16" s="1"/>
  <c r="B1148" i="16" s="1"/>
  <c r="B1150" i="16" s="1"/>
  <c r="B1144" i="16"/>
  <c r="B1149" i="16"/>
  <c r="I9" i="1" l="1"/>
  <c r="AA57" i="1" l="1"/>
  <c r="AA56" i="1"/>
  <c r="AA55" i="1"/>
  <c r="AA51" i="1"/>
  <c r="AI154" i="25"/>
  <c r="A124" i="25"/>
  <c r="A125" i="25" s="1"/>
  <c r="B41" i="25"/>
  <c r="B40" i="25"/>
  <c r="M14" i="10"/>
  <c r="AI153" i="25"/>
  <c r="AH31" i="25"/>
  <c r="AH6" i="25"/>
  <c r="AH5" i="25"/>
  <c r="AA155" i="1"/>
  <c r="AA154" i="1"/>
  <c r="AA153" i="1"/>
  <c r="AA148" i="1"/>
  <c r="AA149" i="1" s="1"/>
  <c r="AA147" i="1"/>
  <c r="AA111" i="1"/>
  <c r="AA110" i="1"/>
  <c r="AA104" i="1"/>
  <c r="AA98" i="1"/>
  <c r="AA94" i="1"/>
  <c r="AA82" i="1"/>
  <c r="AA40" i="1"/>
  <c r="AA39" i="1"/>
  <c r="AA32" i="1"/>
  <c r="AA35" i="1" s="1"/>
  <c r="AA27" i="1"/>
  <c r="AA21" i="1"/>
  <c r="AA20" i="1"/>
  <c r="AA16" i="1" s="1"/>
  <c r="AA11" i="1"/>
  <c r="Y76" i="1"/>
  <c r="AE39" i="25"/>
  <c r="AG155" i="25"/>
  <c r="E162" i="25"/>
  <c r="Y103" i="1"/>
  <c r="Y102" i="1"/>
  <c r="Y100" i="1"/>
  <c r="Y97" i="1"/>
  <c r="Y98" i="1" s="1"/>
  <c r="Y89" i="1"/>
  <c r="Y87" i="1"/>
  <c r="Y83" i="1"/>
  <c r="Y81" i="1"/>
  <c r="H1059" i="16"/>
  <c r="G1059" i="16"/>
  <c r="Y77" i="1"/>
  <c r="Y75" i="1"/>
  <c r="Y69" i="1"/>
  <c r="Y67" i="1"/>
  <c r="Y65" i="1"/>
  <c r="Y64" i="1"/>
  <c r="Y63" i="1"/>
  <c r="Y62" i="1"/>
  <c r="Y61" i="1"/>
  <c r="Y60" i="1"/>
  <c r="V79" i="1"/>
  <c r="Y78" i="1"/>
  <c r="Y154" i="1"/>
  <c r="Y148" i="1"/>
  <c r="Y111" i="1"/>
  <c r="Y110" i="1"/>
  <c r="Y82" i="1"/>
  <c r="Y27" i="1"/>
  <c r="Y21" i="1"/>
  <c r="X22" i="1"/>
  <c r="X23" i="1"/>
  <c r="X27" i="1"/>
  <c r="X34" i="1"/>
  <c r="X40" i="1"/>
  <c r="X44" i="1"/>
  <c r="X45" i="1"/>
  <c r="X55" i="1"/>
  <c r="X56" i="1"/>
  <c r="X57" i="1"/>
  <c r="X69" i="1"/>
  <c r="X79" i="1"/>
  <c r="X82" i="1"/>
  <c r="X90" i="1"/>
  <c r="X92" i="1"/>
  <c r="X110" i="1"/>
  <c r="X111" i="1"/>
  <c r="X148" i="1"/>
  <c r="X154" i="1"/>
  <c r="AF63" i="17"/>
  <c r="AG4" i="17"/>
  <c r="AF93" i="17"/>
  <c r="AF13" i="17"/>
  <c r="AF68" i="17"/>
  <c r="G1010" i="16"/>
  <c r="AF4" i="17"/>
  <c r="AF50" i="17"/>
  <c r="AG42" i="17" s="1"/>
  <c r="AF56" i="17"/>
  <c r="AF59" i="17"/>
  <c r="AF53" i="17"/>
  <c r="AF33" i="17"/>
  <c r="AG33" i="17" s="1"/>
  <c r="AG101" i="17"/>
  <c r="AG93" i="17"/>
  <c r="AG82" i="17"/>
  <c r="AG65" i="17"/>
  <c r="AG25" i="17"/>
  <c r="G1006" i="16"/>
  <c r="H1050" i="16"/>
  <c r="G1050" i="16"/>
  <c r="H996" i="16"/>
  <c r="G996" i="16"/>
  <c r="H1006" i="16"/>
  <c r="H987" i="16"/>
  <c r="H988" i="16"/>
  <c r="H989" i="16"/>
  <c r="H991" i="16"/>
  <c r="H992" i="16"/>
  <c r="H993" i="16"/>
  <c r="H994" i="16"/>
  <c r="H995" i="16"/>
  <c r="H997" i="16"/>
  <c r="H998" i="16"/>
  <c r="H999" i="16"/>
  <c r="H1000" i="16"/>
  <c r="H1001" i="16"/>
  <c r="H1002" i="16"/>
  <c r="H1003" i="16"/>
  <c r="H1004" i="16"/>
  <c r="H1005" i="16"/>
  <c r="H1009" i="16"/>
  <c r="H1010" i="16"/>
  <c r="H1011" i="16"/>
  <c r="H1012" i="16"/>
  <c r="H1013" i="16"/>
  <c r="H1014" i="16"/>
  <c r="H1015" i="16"/>
  <c r="H1016" i="16"/>
  <c r="H1017" i="16"/>
  <c r="H1019" i="16"/>
  <c r="H1020" i="16"/>
  <c r="H1021" i="16"/>
  <c r="H1022" i="16"/>
  <c r="H1023" i="16"/>
  <c r="H1024" i="16"/>
  <c r="H1025" i="16"/>
  <c r="H1026" i="16"/>
  <c r="H1027" i="16"/>
  <c r="H1028" i="16"/>
  <c r="H1029" i="16"/>
  <c r="H1030" i="16"/>
  <c r="H1031" i="16"/>
  <c r="H1032" i="16"/>
  <c r="H1033" i="16"/>
  <c r="H1034" i="16"/>
  <c r="H1035" i="16"/>
  <c r="H1036" i="16"/>
  <c r="H1037" i="16"/>
  <c r="H1039" i="16"/>
  <c r="H1040" i="16"/>
  <c r="H1041" i="16"/>
  <c r="H1042" i="16"/>
  <c r="H1045" i="16"/>
  <c r="H1046" i="16"/>
  <c r="H1047" i="16"/>
  <c r="H1048" i="16"/>
  <c r="H1049" i="16"/>
  <c r="H1051" i="16"/>
  <c r="H1053" i="16"/>
  <c r="H1054" i="16"/>
  <c r="H1056" i="16"/>
  <c r="H1058" i="16"/>
  <c r="H1060" i="16"/>
  <c r="H1061" i="16"/>
  <c r="H1062" i="16"/>
  <c r="H986" i="16"/>
  <c r="G987" i="16"/>
  <c r="G988" i="16"/>
  <c r="G989" i="16"/>
  <c r="G991" i="16"/>
  <c r="G992" i="16"/>
  <c r="G993" i="16"/>
  <c r="G994" i="16"/>
  <c r="G995" i="16"/>
  <c r="G997" i="16"/>
  <c r="G998" i="16"/>
  <c r="G999" i="16"/>
  <c r="G1000" i="16"/>
  <c r="G1001" i="16"/>
  <c r="G1002" i="16"/>
  <c r="G1003" i="16"/>
  <c r="G1004" i="16"/>
  <c r="G1005" i="16"/>
  <c r="G1009" i="16"/>
  <c r="G1011" i="16"/>
  <c r="G1012" i="16"/>
  <c r="G1013" i="16"/>
  <c r="G1014" i="16"/>
  <c r="G1015" i="16"/>
  <c r="G1016" i="16"/>
  <c r="G1017" i="16"/>
  <c r="G1019" i="16"/>
  <c r="G1020" i="16"/>
  <c r="G1021" i="16"/>
  <c r="G1022" i="16"/>
  <c r="G1023" i="16"/>
  <c r="G1024" i="16"/>
  <c r="G1025" i="16"/>
  <c r="G1026" i="16"/>
  <c r="G1027" i="16"/>
  <c r="G1028" i="16"/>
  <c r="G1029" i="16"/>
  <c r="G1030" i="16"/>
  <c r="G1031" i="16"/>
  <c r="G1032" i="16"/>
  <c r="G1033" i="16"/>
  <c r="G1034" i="16"/>
  <c r="G1035" i="16"/>
  <c r="G1036" i="16"/>
  <c r="G1037" i="16"/>
  <c r="G1039" i="16"/>
  <c r="G1040" i="16"/>
  <c r="G1041" i="16"/>
  <c r="G1042" i="16"/>
  <c r="G1045" i="16"/>
  <c r="G1046" i="16"/>
  <c r="G1047" i="16"/>
  <c r="G1048" i="16"/>
  <c r="G1049" i="16"/>
  <c r="G1051" i="16"/>
  <c r="G1053" i="16"/>
  <c r="G1054" i="16"/>
  <c r="G1056" i="16"/>
  <c r="G1058" i="16"/>
  <c r="G1060" i="16"/>
  <c r="G1061" i="16"/>
  <c r="G1062" i="16"/>
  <c r="G986" i="16"/>
  <c r="B989" i="16"/>
  <c r="B987" i="16"/>
  <c r="B988" i="16" s="1"/>
  <c r="B990" i="16" s="1"/>
  <c r="B991" i="16" s="1"/>
  <c r="B992" i="16" s="1"/>
  <c r="AG143" i="25"/>
  <c r="AG118" i="25"/>
  <c r="AG117" i="25"/>
  <c r="AG87" i="25"/>
  <c r="AG89" i="25"/>
  <c r="AG93" i="25"/>
  <c r="AG96" i="25"/>
  <c r="AG98" i="25"/>
  <c r="AG100" i="25"/>
  <c r="AG103" i="25"/>
  <c r="AG108" i="25"/>
  <c r="AG112" i="25"/>
  <c r="AG125" i="25"/>
  <c r="AG129" i="25"/>
  <c r="AG133" i="25"/>
  <c r="AG136" i="25"/>
  <c r="AG137" i="25"/>
  <c r="AG5" i="25"/>
  <c r="AG8" i="25"/>
  <c r="AG11" i="25"/>
  <c r="AG12" i="25"/>
  <c r="AG13" i="25"/>
  <c r="AG15" i="25"/>
  <c r="AG25" i="25"/>
  <c r="AG27" i="25"/>
  <c r="AG28" i="25"/>
  <c r="AG29" i="25"/>
  <c r="AG31" i="25"/>
  <c r="AG32" i="25"/>
  <c r="AG33" i="25"/>
  <c r="AG34" i="25"/>
  <c r="AG35" i="25"/>
  <c r="AG51" i="25"/>
  <c r="AG52" i="25"/>
  <c r="AG56" i="25"/>
  <c r="AG58" i="25"/>
  <c r="AG59" i="25"/>
  <c r="AG61" i="25"/>
  <c r="AG62" i="25"/>
  <c r="AG4" i="25"/>
  <c r="AF5" i="25"/>
  <c r="AF6" i="25"/>
  <c r="AF8" i="25"/>
  <c r="AF11" i="25"/>
  <c r="AF13" i="25"/>
  <c r="AF15" i="25"/>
  <c r="AF27" i="25"/>
  <c r="AF28" i="25"/>
  <c r="AF29" i="25"/>
  <c r="AF30" i="25"/>
  <c r="AF31" i="25"/>
  <c r="AF32" i="25"/>
  <c r="AF33" i="25"/>
  <c r="AF34" i="25"/>
  <c r="AF35" i="25"/>
  <c r="AF37" i="25"/>
  <c r="AF42" i="25"/>
  <c r="AF47" i="25"/>
  <c r="AF51" i="25"/>
  <c r="AF52" i="25"/>
  <c r="AF58" i="25"/>
  <c r="AF59" i="25"/>
  <c r="AF61" i="25"/>
  <c r="AF66" i="25"/>
  <c r="AF68" i="25"/>
  <c r="AF71" i="25"/>
  <c r="AF4" i="25"/>
  <c r="AG154" i="25"/>
  <c r="Y57" i="1" s="1"/>
  <c r="AG153" i="25"/>
  <c r="Y53" i="1" s="1"/>
  <c r="AA10" i="1" l="1"/>
  <c r="Y59" i="1"/>
  <c r="Y58" i="1" s="1"/>
  <c r="Y56" i="1"/>
  <c r="AG83" i="25"/>
  <c r="X21" i="1"/>
  <c r="AG51" i="17"/>
  <c r="B993" i="16"/>
  <c r="B994" i="16"/>
  <c r="B995" i="16" s="1"/>
  <c r="AG146" i="25"/>
  <c r="Y51" i="1" s="1"/>
  <c r="AF78" i="25"/>
  <c r="AG78" i="25"/>
  <c r="Y41" i="1" s="1"/>
  <c r="Y48" i="1" s="1"/>
  <c r="AG80" i="25"/>
  <c r="W102" i="1"/>
  <c r="W97" i="1"/>
  <c r="W98" i="1" s="1"/>
  <c r="W92" i="1"/>
  <c r="W87" i="1"/>
  <c r="W88" i="1" s="1"/>
  <c r="W83" i="1"/>
  <c r="W81" i="1"/>
  <c r="W78" i="1"/>
  <c r="W67" i="1"/>
  <c r="W65" i="1"/>
  <c r="W64" i="1"/>
  <c r="W63" i="1"/>
  <c r="W62" i="1"/>
  <c r="W61" i="1"/>
  <c r="W60" i="1"/>
  <c r="V55" i="1"/>
  <c r="V56" i="1"/>
  <c r="W154" i="1"/>
  <c r="Y153" i="1" s="1"/>
  <c r="Y155" i="1" s="1"/>
  <c r="W148" i="1"/>
  <c r="Y147" i="1" s="1"/>
  <c r="Y149" i="1" s="1"/>
  <c r="W111" i="1"/>
  <c r="W110" i="1"/>
  <c r="W84" i="1"/>
  <c r="W82" i="1"/>
  <c r="W32" i="1"/>
  <c r="W27" i="1"/>
  <c r="W21" i="1"/>
  <c r="W19" i="1"/>
  <c r="Y19" i="1" s="1"/>
  <c r="Y17" i="1" s="1"/>
  <c r="W15" i="1"/>
  <c r="AE115" i="25"/>
  <c r="AE114" i="25"/>
  <c r="AE113" i="25"/>
  <c r="AE133" i="25"/>
  <c r="AE136" i="25"/>
  <c r="AE138" i="25"/>
  <c r="AE142" i="25"/>
  <c r="AE112" i="25"/>
  <c r="AE87" i="25"/>
  <c r="AE89" i="25"/>
  <c r="AE96" i="25"/>
  <c r="AE98" i="25"/>
  <c r="AE103" i="25"/>
  <c r="AE106" i="25"/>
  <c r="AE108" i="25"/>
  <c r="AE125" i="25"/>
  <c r="AE5" i="25"/>
  <c r="AE8" i="25"/>
  <c r="AE11" i="25"/>
  <c r="AE12" i="25"/>
  <c r="AE13" i="25"/>
  <c r="AE15" i="25"/>
  <c r="AE20" i="25"/>
  <c r="AE23" i="25"/>
  <c r="AE25" i="25"/>
  <c r="AE27" i="25"/>
  <c r="AE28" i="25"/>
  <c r="AE29" i="25"/>
  <c r="AE31" i="25"/>
  <c r="AE32" i="25"/>
  <c r="AE33" i="25"/>
  <c r="AE34" i="25"/>
  <c r="AE35" i="25"/>
  <c r="AE42" i="25"/>
  <c r="AE51" i="25"/>
  <c r="AE52" i="25"/>
  <c r="AE56" i="25"/>
  <c r="AE58" i="25"/>
  <c r="AE59" i="25"/>
  <c r="AE64" i="25"/>
  <c r="AE4" i="25"/>
  <c r="Y127" i="1" l="1"/>
  <c r="Y55" i="1"/>
  <c r="Y38" i="1"/>
  <c r="W35" i="1"/>
  <c r="Y32" i="1"/>
  <c r="Y35" i="1" s="1"/>
  <c r="W128" i="1"/>
  <c r="B997" i="16"/>
  <c r="B998" i="16" s="1"/>
  <c r="B996" i="16"/>
  <c r="AG160" i="25"/>
  <c r="AG161" i="25" s="1"/>
  <c r="AG81" i="25"/>
  <c r="W59" i="1"/>
  <c r="W127" i="1" s="1"/>
  <c r="AE146" i="25"/>
  <c r="W51" i="1" s="1"/>
  <c r="W56" i="1"/>
  <c r="AE83" i="25"/>
  <c r="W55" i="1" s="1"/>
  <c r="AD8" i="25"/>
  <c r="AD5" i="25"/>
  <c r="AD6" i="25"/>
  <c r="AD7" i="25"/>
  <c r="AD11" i="25"/>
  <c r="AD13" i="25"/>
  <c r="AD15" i="25"/>
  <c r="AD23" i="25"/>
  <c r="AD25" i="25"/>
  <c r="AD27" i="25"/>
  <c r="AD28" i="25"/>
  <c r="AD29" i="25"/>
  <c r="AD30" i="25"/>
  <c r="AD31" i="25"/>
  <c r="AD32" i="25"/>
  <c r="AD33" i="25"/>
  <c r="AD34" i="25"/>
  <c r="AD35" i="25"/>
  <c r="AD37" i="25"/>
  <c r="AD38" i="25"/>
  <c r="AD39" i="25"/>
  <c r="AD40" i="25"/>
  <c r="AD41" i="25"/>
  <c r="AD42" i="25"/>
  <c r="AD44" i="25"/>
  <c r="AD47" i="25"/>
  <c r="AD50" i="25"/>
  <c r="AD51" i="25"/>
  <c r="AD52" i="25"/>
  <c r="AD56" i="25"/>
  <c r="AD58" i="25"/>
  <c r="AD59" i="25"/>
  <c r="AD60" i="25"/>
  <c r="AD61" i="25"/>
  <c r="AD62" i="25"/>
  <c r="AD63" i="25"/>
  <c r="AD66" i="25"/>
  <c r="AD68" i="25"/>
  <c r="AD70" i="25"/>
  <c r="AD71" i="25"/>
  <c r="AD72" i="25"/>
  <c r="AD73" i="25"/>
  <c r="AD74" i="25"/>
  <c r="AD75" i="25"/>
  <c r="AD77" i="25"/>
  <c r="AD4" i="25"/>
  <c r="AE154" i="25"/>
  <c r="W57" i="1" s="1"/>
  <c r="AE153" i="25"/>
  <c r="W53" i="1" s="1"/>
  <c r="AD56" i="17"/>
  <c r="AD59" i="17"/>
  <c r="AE101" i="17"/>
  <c r="AD93" i="17"/>
  <c r="AE93" i="17" s="1"/>
  <c r="AE82" i="17"/>
  <c r="W77" i="1" s="1"/>
  <c r="AD65" i="17"/>
  <c r="AE65" i="17" s="1"/>
  <c r="W69" i="1" s="1"/>
  <c r="AE42" i="17"/>
  <c r="W103" i="1" s="1"/>
  <c r="AE33" i="17"/>
  <c r="W100" i="1" s="1"/>
  <c r="AE25" i="17"/>
  <c r="W89" i="1" s="1"/>
  <c r="AE4" i="17"/>
  <c r="H984" i="16"/>
  <c r="G984" i="16"/>
  <c r="H925" i="16"/>
  <c r="G925" i="16"/>
  <c r="H972" i="16"/>
  <c r="G972" i="16"/>
  <c r="G900" i="16"/>
  <c r="H944" i="16"/>
  <c r="G944" i="16"/>
  <c r="G945" i="16"/>
  <c r="H945" i="16"/>
  <c r="H901" i="16"/>
  <c r="H902" i="16"/>
  <c r="H903" i="16"/>
  <c r="H904" i="16"/>
  <c r="H906" i="16"/>
  <c r="H907" i="16"/>
  <c r="H908" i="16"/>
  <c r="H909" i="16"/>
  <c r="H910" i="16"/>
  <c r="H911" i="16"/>
  <c r="H912" i="16"/>
  <c r="H913" i="16"/>
  <c r="H914" i="16"/>
  <c r="H915" i="16"/>
  <c r="H916" i="16"/>
  <c r="H917" i="16"/>
  <c r="H918" i="16"/>
  <c r="H919" i="16"/>
  <c r="H920" i="16"/>
  <c r="H922" i="16"/>
  <c r="H923" i="16"/>
  <c r="H926" i="16"/>
  <c r="H927" i="16"/>
  <c r="H928" i="16"/>
  <c r="H929" i="16"/>
  <c r="H930" i="16"/>
  <c r="H931" i="16"/>
  <c r="H932" i="16"/>
  <c r="H933" i="16"/>
  <c r="H934" i="16"/>
  <c r="H936" i="16"/>
  <c r="H937" i="16"/>
  <c r="H938" i="16"/>
  <c r="H939" i="16"/>
  <c r="H940" i="16"/>
  <c r="H941" i="16"/>
  <c r="H942" i="16"/>
  <c r="H943" i="16"/>
  <c r="H946" i="16"/>
  <c r="H947" i="16"/>
  <c r="H948" i="16"/>
  <c r="H949" i="16"/>
  <c r="H950" i="16"/>
  <c r="H951" i="16"/>
  <c r="H952" i="16"/>
  <c r="H953" i="16"/>
  <c r="H954" i="16"/>
  <c r="H955" i="16"/>
  <c r="H957" i="16"/>
  <c r="H958" i="16"/>
  <c r="H959" i="16"/>
  <c r="H960" i="16"/>
  <c r="H962" i="16"/>
  <c r="H964" i="16"/>
  <c r="H965" i="16"/>
  <c r="H966" i="16"/>
  <c r="H967" i="16"/>
  <c r="H968" i="16"/>
  <c r="H969" i="16"/>
  <c r="H970" i="16"/>
  <c r="H971" i="16"/>
  <c r="H973" i="16"/>
  <c r="H974" i="16"/>
  <c r="H976" i="16"/>
  <c r="H978" i="16"/>
  <c r="H979" i="16"/>
  <c r="H980" i="16"/>
  <c r="H981" i="16"/>
  <c r="H982" i="16"/>
  <c r="H983" i="16"/>
  <c r="H985" i="16"/>
  <c r="H900" i="16"/>
  <c r="G901" i="16"/>
  <c r="G902" i="16"/>
  <c r="G903" i="16"/>
  <c r="G904" i="16"/>
  <c r="G906" i="16"/>
  <c r="G907" i="16"/>
  <c r="G908" i="16"/>
  <c r="G909" i="16"/>
  <c r="G910" i="16"/>
  <c r="G911" i="16"/>
  <c r="G912" i="16"/>
  <c r="G913" i="16"/>
  <c r="G914" i="16"/>
  <c r="G915" i="16"/>
  <c r="G916" i="16"/>
  <c r="G917" i="16"/>
  <c r="G918" i="16"/>
  <c r="G919" i="16"/>
  <c r="G920" i="16"/>
  <c r="G922" i="16"/>
  <c r="G923" i="16"/>
  <c r="G926" i="16"/>
  <c r="G927" i="16"/>
  <c r="G928" i="16"/>
  <c r="G929" i="16"/>
  <c r="G930" i="16"/>
  <c r="G931" i="16"/>
  <c r="G932" i="16"/>
  <c r="G933" i="16"/>
  <c r="G934" i="16"/>
  <c r="G936" i="16"/>
  <c r="G937" i="16"/>
  <c r="G938" i="16"/>
  <c r="G939" i="16"/>
  <c r="G940" i="16"/>
  <c r="G941" i="16"/>
  <c r="G942" i="16"/>
  <c r="G943" i="16"/>
  <c r="G946" i="16"/>
  <c r="G947" i="16"/>
  <c r="G948" i="16"/>
  <c r="G949" i="16"/>
  <c r="G950" i="16"/>
  <c r="G951" i="16"/>
  <c r="G952" i="16"/>
  <c r="G953" i="16"/>
  <c r="G954" i="16"/>
  <c r="G955" i="16"/>
  <c r="G957" i="16"/>
  <c r="G958" i="16"/>
  <c r="G959" i="16"/>
  <c r="G960" i="16"/>
  <c r="G962" i="16"/>
  <c r="G964" i="16"/>
  <c r="G965" i="16"/>
  <c r="G966" i="16"/>
  <c r="G967" i="16"/>
  <c r="G968" i="16"/>
  <c r="G969" i="16"/>
  <c r="G970" i="16"/>
  <c r="G971" i="16"/>
  <c r="G973" i="16"/>
  <c r="G974" i="16"/>
  <c r="G976" i="16"/>
  <c r="G978" i="16"/>
  <c r="G979" i="16"/>
  <c r="G980" i="16"/>
  <c r="G981" i="16"/>
  <c r="G982" i="16"/>
  <c r="G983" i="16"/>
  <c r="G985" i="16"/>
  <c r="B904" i="16"/>
  <c r="B901" i="16"/>
  <c r="B902" i="16" s="1"/>
  <c r="B903" i="16" s="1"/>
  <c r="B905" i="16" s="1"/>
  <c r="B906" i="16" s="1"/>
  <c r="B907" i="16" s="1"/>
  <c r="Y9" i="1" l="1"/>
  <c r="Y70" i="1"/>
  <c r="Y71" i="1" s="1"/>
  <c r="Y108" i="1"/>
  <c r="AA95" i="1"/>
  <c r="B1026" i="16"/>
  <c r="B1028" i="16" s="1"/>
  <c r="B1029" i="16" s="1"/>
  <c r="AE51" i="17"/>
  <c r="W75" i="1" s="1"/>
  <c r="W76" i="1"/>
  <c r="B999" i="16"/>
  <c r="B1000" i="16" s="1"/>
  <c r="B1001" i="16" s="1"/>
  <c r="B1002" i="16" s="1"/>
  <c r="W126" i="1"/>
  <c r="W130" i="1" s="1"/>
  <c r="AE80" i="25"/>
  <c r="AE78" i="25"/>
  <c r="W41" i="1" s="1"/>
  <c r="W48" i="1" s="1"/>
  <c r="W38" i="1" s="1"/>
  <c r="W9" i="1" s="1"/>
  <c r="AD78" i="25"/>
  <c r="B909" i="16"/>
  <c r="B910" i="16" s="1"/>
  <c r="B911" i="16" s="1"/>
  <c r="B908" i="16"/>
  <c r="AC96" i="25"/>
  <c r="U102" i="1"/>
  <c r="U97" i="1"/>
  <c r="U98" i="1" s="1"/>
  <c r="U92" i="1"/>
  <c r="U87" i="1"/>
  <c r="U83" i="1"/>
  <c r="U81" i="1"/>
  <c r="U78" i="1"/>
  <c r="U67" i="1"/>
  <c r="U65" i="1"/>
  <c r="U64" i="1"/>
  <c r="U63" i="1"/>
  <c r="U62" i="1"/>
  <c r="U61" i="1"/>
  <c r="U60" i="1"/>
  <c r="U154" i="1"/>
  <c r="W153" i="1" s="1"/>
  <c r="W155" i="1" s="1"/>
  <c r="U148" i="1"/>
  <c r="W147" i="1" s="1"/>
  <c r="W149" i="1" s="1"/>
  <c r="U111" i="1"/>
  <c r="U110" i="1"/>
  <c r="U82" i="1"/>
  <c r="U35" i="1"/>
  <c r="U27" i="1"/>
  <c r="U21" i="1"/>
  <c r="U16" i="1"/>
  <c r="AB63" i="17"/>
  <c r="AB59" i="17"/>
  <c r="A130" i="25"/>
  <c r="AC145" i="25"/>
  <c r="AC105" i="25"/>
  <c r="AC104" i="25"/>
  <c r="AC109" i="25"/>
  <c r="AC125" i="25"/>
  <c r="AC87" i="25"/>
  <c r="AC89" i="25"/>
  <c r="AC98" i="25"/>
  <c r="AC102" i="25"/>
  <c r="AC103" i="25"/>
  <c r="AC108" i="25"/>
  <c r="AC133" i="25"/>
  <c r="AC136" i="25"/>
  <c r="AC142" i="25"/>
  <c r="AC8" i="25"/>
  <c r="AC11" i="25"/>
  <c r="AC12" i="25"/>
  <c r="AC13" i="25"/>
  <c r="AC15" i="25"/>
  <c r="AC23" i="25"/>
  <c r="AC25" i="25"/>
  <c r="AC27" i="25"/>
  <c r="AC28" i="25"/>
  <c r="AC29" i="25"/>
  <c r="AC30" i="25"/>
  <c r="AC32" i="25"/>
  <c r="AC34" i="25"/>
  <c r="AC35" i="25"/>
  <c r="AC42" i="25"/>
  <c r="AC50" i="25"/>
  <c r="AC51" i="25"/>
  <c r="AC52" i="25"/>
  <c r="AC56" i="25"/>
  <c r="AC58" i="25"/>
  <c r="AC59" i="25"/>
  <c r="AC60" i="25"/>
  <c r="AC61" i="25"/>
  <c r="AC62" i="25"/>
  <c r="AC68" i="25"/>
  <c r="AC71" i="25"/>
  <c r="AC74" i="25"/>
  <c r="AB5" i="25"/>
  <c r="AB6" i="25"/>
  <c r="AB7" i="25"/>
  <c r="AB8" i="25"/>
  <c r="AB11" i="25"/>
  <c r="AB12" i="25"/>
  <c r="AB13" i="25"/>
  <c r="AB15" i="25"/>
  <c r="AB27" i="25"/>
  <c r="AB28" i="25"/>
  <c r="AB29" i="25"/>
  <c r="AB30" i="25"/>
  <c r="AB31" i="25"/>
  <c r="AB32" i="25"/>
  <c r="AB33" i="25"/>
  <c r="AB34" i="25"/>
  <c r="AB35" i="25"/>
  <c r="AB37" i="25"/>
  <c r="AB42" i="25"/>
  <c r="AB47" i="25"/>
  <c r="AB51" i="25"/>
  <c r="AB52" i="25"/>
  <c r="AB58" i="25"/>
  <c r="AB60" i="25"/>
  <c r="AB61" i="25"/>
  <c r="AB62" i="25"/>
  <c r="AB63" i="25"/>
  <c r="AB66" i="25"/>
  <c r="AB68" i="25"/>
  <c r="AB71" i="25"/>
  <c r="AB4" i="25"/>
  <c r="AC154" i="25"/>
  <c r="AC153" i="25"/>
  <c r="U53" i="1" s="1"/>
  <c r="AC101" i="17"/>
  <c r="AB93" i="17"/>
  <c r="AC93" i="17" s="1"/>
  <c r="AB87" i="17"/>
  <c r="AC82" i="17" s="1"/>
  <c r="U77" i="1" s="1"/>
  <c r="AB65" i="17"/>
  <c r="AC65" i="17" s="1"/>
  <c r="U69" i="1" s="1"/>
  <c r="AC42" i="17"/>
  <c r="U103" i="1" s="1"/>
  <c r="AC33" i="17"/>
  <c r="U100" i="1" s="1"/>
  <c r="AC25" i="17"/>
  <c r="U89" i="1" s="1"/>
  <c r="AC4" i="17"/>
  <c r="H892" i="16"/>
  <c r="G892" i="16"/>
  <c r="H862" i="16"/>
  <c r="G862" i="16"/>
  <c r="H827" i="16"/>
  <c r="G827" i="16"/>
  <c r="H815" i="16"/>
  <c r="H816" i="16"/>
  <c r="H817" i="16"/>
  <c r="H818" i="16"/>
  <c r="H820" i="16"/>
  <c r="H821" i="16"/>
  <c r="H822" i="16"/>
  <c r="H823" i="16"/>
  <c r="H824" i="16"/>
  <c r="H825" i="16"/>
  <c r="H826" i="16"/>
  <c r="H828" i="16"/>
  <c r="H829" i="16"/>
  <c r="H830" i="16"/>
  <c r="H832" i="16"/>
  <c r="H836" i="16"/>
  <c r="H840" i="16"/>
  <c r="H841" i="16"/>
  <c r="H842" i="16"/>
  <c r="H843" i="16"/>
  <c r="H844" i="16"/>
  <c r="H845" i="16"/>
  <c r="H846" i="16"/>
  <c r="H847" i="16"/>
  <c r="H849" i="16"/>
  <c r="H851" i="16"/>
  <c r="H852" i="16"/>
  <c r="H853" i="16"/>
  <c r="H854" i="16"/>
  <c r="H855" i="16"/>
  <c r="H856" i="16"/>
  <c r="H858" i="16"/>
  <c r="H859" i="16"/>
  <c r="H860" i="16"/>
  <c r="H861" i="16"/>
  <c r="H863" i="16"/>
  <c r="H864" i="16"/>
  <c r="H865" i="16"/>
  <c r="H866" i="16"/>
  <c r="H867" i="16"/>
  <c r="H868" i="16"/>
  <c r="H869" i="16"/>
  <c r="H871" i="16"/>
  <c r="H872" i="16"/>
  <c r="H873" i="16"/>
  <c r="H874" i="16"/>
  <c r="H876" i="16"/>
  <c r="H879" i="16"/>
  <c r="H880" i="16"/>
  <c r="H882" i="16"/>
  <c r="H883" i="16"/>
  <c r="H885" i="16"/>
  <c r="H886" i="16"/>
  <c r="H887" i="16"/>
  <c r="H888" i="16"/>
  <c r="H889" i="16"/>
  <c r="H891" i="16"/>
  <c r="H893" i="16"/>
  <c r="H894" i="16"/>
  <c r="H895" i="16"/>
  <c r="H896" i="16"/>
  <c r="H897" i="16"/>
  <c r="H814" i="16"/>
  <c r="G815" i="16"/>
  <c r="G816" i="16"/>
  <c r="G817" i="16"/>
  <c r="G818" i="16"/>
  <c r="G820" i="16"/>
  <c r="G821" i="16"/>
  <c r="G822" i="16"/>
  <c r="G823" i="16"/>
  <c r="G824" i="16"/>
  <c r="G825" i="16"/>
  <c r="G826" i="16"/>
  <c r="G828" i="16"/>
  <c r="G829" i="16"/>
  <c r="G830" i="16"/>
  <c r="G832" i="16"/>
  <c r="G836" i="16"/>
  <c r="G840" i="16"/>
  <c r="G841" i="16"/>
  <c r="G842" i="16"/>
  <c r="G843" i="16"/>
  <c r="G844" i="16"/>
  <c r="G845" i="16"/>
  <c r="G846" i="16"/>
  <c r="G847" i="16"/>
  <c r="G849" i="16"/>
  <c r="G851" i="16"/>
  <c r="G852" i="16"/>
  <c r="G853" i="16"/>
  <c r="G854" i="16"/>
  <c r="G855" i="16"/>
  <c r="G856" i="16"/>
  <c r="G858" i="16"/>
  <c r="G859" i="16"/>
  <c r="G860" i="16"/>
  <c r="G861" i="16"/>
  <c r="G863" i="16"/>
  <c r="G864" i="16"/>
  <c r="G865" i="16"/>
  <c r="G866" i="16"/>
  <c r="G867" i="16"/>
  <c r="G868" i="16"/>
  <c r="G869" i="16"/>
  <c r="G871" i="16"/>
  <c r="G872" i="16"/>
  <c r="G873" i="16"/>
  <c r="G874" i="16"/>
  <c r="G876" i="16"/>
  <c r="G879" i="16"/>
  <c r="G880" i="16"/>
  <c r="G882" i="16"/>
  <c r="G883" i="16"/>
  <c r="G885" i="16"/>
  <c r="G886" i="16"/>
  <c r="G887" i="16"/>
  <c r="G888" i="16"/>
  <c r="G889" i="16"/>
  <c r="G891" i="16"/>
  <c r="G893" i="16"/>
  <c r="G894" i="16"/>
  <c r="G895" i="16"/>
  <c r="G896" i="16"/>
  <c r="G897" i="16"/>
  <c r="G814" i="16"/>
  <c r="B818" i="16"/>
  <c r="B850" i="16" s="1"/>
  <c r="B815" i="16"/>
  <c r="B816" i="16" s="1"/>
  <c r="B817" i="16" s="1"/>
  <c r="B819" i="16" s="1"/>
  <c r="B820" i="16" s="1"/>
  <c r="B821" i="16" s="1"/>
  <c r="B823" i="16" s="1"/>
  <c r="B824" i="16" s="1"/>
  <c r="B825" i="16" s="1"/>
  <c r="B1027" i="16" l="1"/>
  <c r="Y7" i="1"/>
  <c r="Y85" i="1"/>
  <c r="Y160" i="1"/>
  <c r="B1003" i="16"/>
  <c r="B1005" i="16"/>
  <c r="B1032" i="16"/>
  <c r="B1030" i="16"/>
  <c r="B1031" i="16" s="1"/>
  <c r="B1033" i="16"/>
  <c r="B1034" i="16" s="1"/>
  <c r="B1035" i="16" s="1"/>
  <c r="B1036" i="16" s="1"/>
  <c r="B1037" i="16" s="1"/>
  <c r="W85" i="1"/>
  <c r="W74" i="1" s="1"/>
  <c r="W160" i="1"/>
  <c r="W108" i="1"/>
  <c r="W7" i="1"/>
  <c r="W129" i="1"/>
  <c r="U59" i="1"/>
  <c r="AE160" i="25"/>
  <c r="AE161" i="25" s="1"/>
  <c r="U56" i="1"/>
  <c r="AE81" i="25"/>
  <c r="U76" i="1"/>
  <c r="AC51" i="17"/>
  <c r="U75" i="1" s="1"/>
  <c r="B912" i="16"/>
  <c r="B945" i="16" s="1"/>
  <c r="B943" i="16"/>
  <c r="AC83" i="25"/>
  <c r="U55" i="1" s="1"/>
  <c r="U57" i="1"/>
  <c r="AC146" i="25"/>
  <c r="U51" i="1" s="1"/>
  <c r="AB78" i="25"/>
  <c r="AC80" i="25"/>
  <c r="AC78" i="25"/>
  <c r="U41" i="1" s="1"/>
  <c r="U48" i="1" s="1"/>
  <c r="B857" i="16"/>
  <c r="B859" i="16" s="1"/>
  <c r="B860" i="16" s="1"/>
  <c r="B826" i="16"/>
  <c r="B822" i="16"/>
  <c r="Z125" i="25"/>
  <c r="Z83" i="25" s="1"/>
  <c r="Z8" i="25"/>
  <c r="S83" i="1"/>
  <c r="S84" i="1" s="1"/>
  <c r="S78" i="1"/>
  <c r="AA42" i="17"/>
  <c r="S103" i="1" s="1"/>
  <c r="AA25" i="17"/>
  <c r="S89" i="1" s="1"/>
  <c r="S92" i="1"/>
  <c r="Z65" i="17"/>
  <c r="AA65" i="17" s="1"/>
  <c r="S69" i="1" s="1"/>
  <c r="Z56" i="17"/>
  <c r="Z59" i="17"/>
  <c r="Z58" i="17"/>
  <c r="Z53" i="17"/>
  <c r="Z36" i="17"/>
  <c r="AA33" i="17" s="1"/>
  <c r="S100" i="1" s="1"/>
  <c r="Z4" i="17"/>
  <c r="AA4" i="17" s="1"/>
  <c r="S76" i="1" s="1"/>
  <c r="S102" i="1"/>
  <c r="S97" i="1"/>
  <c r="S98" i="1" s="1"/>
  <c r="S87" i="1"/>
  <c r="S88" i="1" s="1"/>
  <c r="S81" i="1"/>
  <c r="S67" i="1"/>
  <c r="S65" i="1"/>
  <c r="S64" i="1"/>
  <c r="S63" i="1"/>
  <c r="S62" i="1"/>
  <c r="S61" i="1"/>
  <c r="S60" i="1"/>
  <c r="H807" i="16"/>
  <c r="G807" i="16"/>
  <c r="S56" i="1"/>
  <c r="S154" i="1"/>
  <c r="U153" i="1" s="1"/>
  <c r="U155" i="1" s="1"/>
  <c r="S148" i="1"/>
  <c r="U147" i="1" s="1"/>
  <c r="U149" i="1" s="1"/>
  <c r="S111" i="1"/>
  <c r="S110" i="1"/>
  <c r="S94" i="1"/>
  <c r="U94" i="1" s="1"/>
  <c r="W94" i="1" s="1"/>
  <c r="S82" i="1"/>
  <c r="S39" i="1"/>
  <c r="S35" i="1"/>
  <c r="S27" i="1"/>
  <c r="S21" i="1"/>
  <c r="S20" i="1"/>
  <c r="S17" i="1"/>
  <c r="AA159" i="1" l="1"/>
  <c r="Y142" i="1"/>
  <c r="W142" i="1"/>
  <c r="Y159" i="1"/>
  <c r="Y161" i="1" s="1"/>
  <c r="Y143" i="1" s="1"/>
  <c r="B1006" i="16"/>
  <c r="B1007" i="16" s="1"/>
  <c r="B1004" i="16"/>
  <c r="B1008" i="16" s="1"/>
  <c r="B1041" i="16"/>
  <c r="B1044" i="16" s="1"/>
  <c r="B1045" i="16" s="1"/>
  <c r="B1046" i="16" s="1"/>
  <c r="B1038" i="16"/>
  <c r="B1039" i="16"/>
  <c r="S18" i="1"/>
  <c r="S16" i="1" s="1"/>
  <c r="U20" i="1"/>
  <c r="W20" i="1" s="1"/>
  <c r="B946" i="16"/>
  <c r="B947" i="16" s="1"/>
  <c r="B948" i="16" s="1"/>
  <c r="B949" i="16" s="1"/>
  <c r="B944" i="16"/>
  <c r="B913" i="16"/>
  <c r="B914" i="16" s="1"/>
  <c r="B915" i="16" s="1"/>
  <c r="B916" i="16" s="1"/>
  <c r="AC160" i="25"/>
  <c r="AC161" i="25" s="1"/>
  <c r="B827" i="16"/>
  <c r="B828" i="16" s="1"/>
  <c r="B829" i="16" s="1"/>
  <c r="B830" i="16" s="1"/>
  <c r="B858" i="16"/>
  <c r="AC81" i="25"/>
  <c r="B863" i="16"/>
  <c r="B861" i="16"/>
  <c r="B862" i="16" s="1"/>
  <c r="B864" i="16"/>
  <c r="B865" i="16" s="1"/>
  <c r="B866" i="16" s="1"/>
  <c r="AA51" i="17"/>
  <c r="S75" i="1" s="1"/>
  <c r="S128" i="1"/>
  <c r="W18" i="1" l="1"/>
  <c r="W16" i="1" s="1"/>
  <c r="Y20" i="1"/>
  <c r="Y18" i="1" s="1"/>
  <c r="Y16" i="1" s="1"/>
  <c r="B1009" i="16"/>
  <c r="B1010" i="16" s="1"/>
  <c r="B1011" i="16" s="1"/>
  <c r="B1012" i="16" s="1"/>
  <c r="B1013" i="16" s="1"/>
  <c r="B1014" i="16" s="1"/>
  <c r="B1015" i="16" s="1"/>
  <c r="B1043" i="16"/>
  <c r="B1040" i="16"/>
  <c r="B1042" i="16"/>
  <c r="B1048" i="16"/>
  <c r="B1050" i="16" s="1"/>
  <c r="B1047" i="16"/>
  <c r="B1049" i="16" s="1"/>
  <c r="B950" i="16"/>
  <c r="B951" i="16"/>
  <c r="B952" i="16" s="1"/>
  <c r="B953" i="16" s="1"/>
  <c r="B954" i="16" s="1"/>
  <c r="B917" i="16"/>
  <c r="B920" i="16"/>
  <c r="B918" i="16"/>
  <c r="B921" i="16" s="1"/>
  <c r="B867" i="16"/>
  <c r="B868" i="16" s="1"/>
  <c r="B869" i="16" s="1"/>
  <c r="B834" i="16"/>
  <c r="B832" i="16"/>
  <c r="B835" i="16" s="1"/>
  <c r="B831" i="16"/>
  <c r="B1052" i="16" l="1"/>
  <c r="B1053" i="16" s="1"/>
  <c r="B1054" i="16" s="1"/>
  <c r="B1055" i="16" s="1"/>
  <c r="B1056" i="16" s="1"/>
  <c r="B1057" i="16" s="1"/>
  <c r="B1058" i="16" s="1"/>
  <c r="B1059" i="16" s="1"/>
  <c r="B1051" i="16"/>
  <c r="B1016" i="16"/>
  <c r="B1017" i="16"/>
  <c r="B955" i="16"/>
  <c r="B959" i="16" s="1"/>
  <c r="B963" i="16" s="1"/>
  <c r="B922" i="16"/>
  <c r="B923" i="16" s="1"/>
  <c r="B924" i="16" s="1"/>
  <c r="B919" i="16"/>
  <c r="B873" i="16"/>
  <c r="B870" i="16"/>
  <c r="B871" i="16"/>
  <c r="B874" i="16" s="1"/>
  <c r="B833" i="16"/>
  <c r="B836" i="16"/>
  <c r="B837" i="16" s="1"/>
  <c r="B1019" i="16" l="1"/>
  <c r="B1018" i="16"/>
  <c r="B1020" i="16" s="1"/>
  <c r="B1021" i="16" s="1"/>
  <c r="B1022" i="16" s="1"/>
  <c r="B1023" i="16" s="1"/>
  <c r="B1061" i="16"/>
  <c r="B1062" i="16" s="1"/>
  <c r="B1063" i="16" s="1"/>
  <c r="B1060" i="16"/>
  <c r="B957" i="16"/>
  <c r="B958" i="16" s="1"/>
  <c r="B962" i="16" s="1"/>
  <c r="B956" i="16"/>
  <c r="B926" i="16"/>
  <c r="B927" i="16" s="1"/>
  <c r="B928" i="16" s="1"/>
  <c r="B929" i="16" s="1"/>
  <c r="B930" i="16" s="1"/>
  <c r="B931" i="16" s="1"/>
  <c r="B932" i="16" s="1"/>
  <c r="B933" i="16" s="1"/>
  <c r="B925" i="16"/>
  <c r="B875" i="16"/>
  <c r="B876" i="16" s="1"/>
  <c r="B877" i="16" s="1"/>
  <c r="B878" i="16" s="1"/>
  <c r="B879" i="16" s="1"/>
  <c r="B880" i="16" s="1"/>
  <c r="B872" i="16"/>
  <c r="B838" i="16"/>
  <c r="B839" i="16" s="1"/>
  <c r="B840" i="16" s="1"/>
  <c r="B841" i="16" s="1"/>
  <c r="B842" i="16" s="1"/>
  <c r="B843" i="16" s="1"/>
  <c r="B844" i="16" s="1"/>
  <c r="B845" i="16" s="1"/>
  <c r="AA101" i="17"/>
  <c r="Z93" i="17"/>
  <c r="AA93" i="17" s="1"/>
  <c r="Z87" i="17"/>
  <c r="AA82" i="17" s="1"/>
  <c r="S77" i="1" s="1"/>
  <c r="Z158" i="25"/>
  <c r="S55" i="1"/>
  <c r="Z146" i="25"/>
  <c r="S51" i="1" s="1"/>
  <c r="Z155" i="25"/>
  <c r="Z68" i="25"/>
  <c r="Z5" i="25"/>
  <c r="Z29" i="25"/>
  <c r="Z15" i="25"/>
  <c r="Z25" i="25"/>
  <c r="Z20" i="25"/>
  <c r="Z56" i="25"/>
  <c r="Z13" i="25"/>
  <c r="Z7" i="25"/>
  <c r="Y5" i="25"/>
  <c r="Y6" i="25"/>
  <c r="Y7" i="25"/>
  <c r="Y11" i="25"/>
  <c r="Y12" i="25"/>
  <c r="Y13" i="25"/>
  <c r="Y15" i="25"/>
  <c r="Y16" i="25"/>
  <c r="Y17" i="25"/>
  <c r="Y18" i="25"/>
  <c r="Y19" i="25"/>
  <c r="Y20" i="25"/>
  <c r="Y22" i="25"/>
  <c r="Y23" i="25"/>
  <c r="Y25" i="25"/>
  <c r="Y27" i="25"/>
  <c r="Y28" i="25"/>
  <c r="Y29" i="25"/>
  <c r="Y30" i="25"/>
  <c r="Y31" i="25"/>
  <c r="Y32" i="25"/>
  <c r="Y33" i="25"/>
  <c r="Y34" i="25"/>
  <c r="Y35" i="25"/>
  <c r="Y37" i="25"/>
  <c r="Y42" i="25"/>
  <c r="Y43" i="25"/>
  <c r="Y44" i="25"/>
  <c r="Y47" i="25"/>
  <c r="Y50" i="25"/>
  <c r="Y51" i="25"/>
  <c r="Y52" i="25"/>
  <c r="Y56" i="25"/>
  <c r="Y57" i="25"/>
  <c r="Y58" i="25"/>
  <c r="Y59" i="25"/>
  <c r="Y60" i="25"/>
  <c r="Y61" i="25"/>
  <c r="Y62" i="25"/>
  <c r="Y63" i="25"/>
  <c r="Y64" i="25"/>
  <c r="Y65" i="25"/>
  <c r="Y66" i="25"/>
  <c r="Y68" i="25"/>
  <c r="Y70" i="25"/>
  <c r="Y71" i="25"/>
  <c r="Y72" i="25"/>
  <c r="Y73" i="25"/>
  <c r="Y75" i="25"/>
  <c r="Y77" i="25"/>
  <c r="Y4" i="25"/>
  <c r="AA160" i="25"/>
  <c r="Z153" i="25"/>
  <c r="S53" i="1" s="1"/>
  <c r="U38" i="1" s="1"/>
  <c r="U9" i="1" s="1"/>
  <c r="H784" i="16"/>
  <c r="G784" i="16"/>
  <c r="H801" i="16"/>
  <c r="G801" i="16"/>
  <c r="H802" i="16"/>
  <c r="G802" i="16"/>
  <c r="H800" i="16"/>
  <c r="G800" i="16"/>
  <c r="H799" i="16"/>
  <c r="G799" i="16"/>
  <c r="H731" i="16"/>
  <c r="G731" i="16"/>
  <c r="H798" i="16"/>
  <c r="G798" i="16"/>
  <c r="H787" i="16"/>
  <c r="G787" i="16"/>
  <c r="H782" i="16"/>
  <c r="G782" i="16"/>
  <c r="H772" i="16"/>
  <c r="G772" i="16"/>
  <c r="H769" i="16"/>
  <c r="G769" i="16"/>
  <c r="H766" i="16"/>
  <c r="G766" i="16"/>
  <c r="H725" i="16"/>
  <c r="G725" i="16"/>
  <c r="G761" i="16"/>
  <c r="H757" i="16"/>
  <c r="G757" i="16"/>
  <c r="H745" i="16"/>
  <c r="G745" i="16"/>
  <c r="H735" i="16"/>
  <c r="G735" i="16"/>
  <c r="H723" i="16"/>
  <c r="H724" i="16"/>
  <c r="H726" i="16"/>
  <c r="H727" i="16"/>
  <c r="H729" i="16"/>
  <c r="H730" i="16"/>
  <c r="H732" i="16"/>
  <c r="H733" i="16"/>
  <c r="H734" i="16"/>
  <c r="H736" i="16"/>
  <c r="H737" i="16"/>
  <c r="H738" i="16"/>
  <c r="H739" i="16"/>
  <c r="H740" i="16"/>
  <c r="H741" i="16"/>
  <c r="H742" i="16"/>
  <c r="H743" i="16"/>
  <c r="H744" i="16"/>
  <c r="H746" i="16"/>
  <c r="H747" i="16"/>
  <c r="H748" i="16"/>
  <c r="H749" i="16"/>
  <c r="H750" i="16"/>
  <c r="H751" i="16"/>
  <c r="H752" i="16"/>
  <c r="H753" i="16"/>
  <c r="H754" i="16"/>
  <c r="H755" i="16"/>
  <c r="H756" i="16"/>
  <c r="H758" i="16"/>
  <c r="H760" i="16"/>
  <c r="H762" i="16"/>
  <c r="H763" i="16"/>
  <c r="H764" i="16"/>
  <c r="H765" i="16"/>
  <c r="H767" i="16"/>
  <c r="H768" i="16"/>
  <c r="H770" i="16"/>
  <c r="H771" i="16"/>
  <c r="H773" i="16"/>
  <c r="H774" i="16"/>
  <c r="H775" i="16"/>
  <c r="H776" i="16"/>
  <c r="H777" i="16"/>
  <c r="H778" i="16"/>
  <c r="H779" i="16"/>
  <c r="H780" i="16"/>
  <c r="H781" i="16"/>
  <c r="H783" i="16"/>
  <c r="H785" i="16"/>
  <c r="H786" i="16"/>
  <c r="H788" i="16"/>
  <c r="H789" i="16"/>
  <c r="H790" i="16"/>
  <c r="H791" i="16"/>
  <c r="H792" i="16"/>
  <c r="H793" i="16"/>
  <c r="H794" i="16"/>
  <c r="H795" i="16"/>
  <c r="H796" i="16"/>
  <c r="H803" i="16"/>
  <c r="H804" i="16"/>
  <c r="H806" i="16"/>
  <c r="H808" i="16"/>
  <c r="H809" i="16"/>
  <c r="H810" i="16"/>
  <c r="H811" i="16"/>
  <c r="H812" i="16"/>
  <c r="H813" i="16"/>
  <c r="G723" i="16"/>
  <c r="G724" i="16"/>
  <c r="G726" i="16"/>
  <c r="G727" i="16"/>
  <c r="G729" i="16"/>
  <c r="G730" i="16"/>
  <c r="G732" i="16"/>
  <c r="G733" i="16"/>
  <c r="G734" i="16"/>
  <c r="G736" i="16"/>
  <c r="G737" i="16"/>
  <c r="G738" i="16"/>
  <c r="G739" i="16"/>
  <c r="G740" i="16"/>
  <c r="G741" i="16"/>
  <c r="G742" i="16"/>
  <c r="G743" i="16"/>
  <c r="G744" i="16"/>
  <c r="G746" i="16"/>
  <c r="G747" i="16"/>
  <c r="G748" i="16"/>
  <c r="G749" i="16"/>
  <c r="G750" i="16"/>
  <c r="G751" i="16"/>
  <c r="G752" i="16"/>
  <c r="G753" i="16"/>
  <c r="G754" i="16"/>
  <c r="G755" i="16"/>
  <c r="G756" i="16"/>
  <c r="G758" i="16"/>
  <c r="G760" i="16"/>
  <c r="G762" i="16"/>
  <c r="G763" i="16"/>
  <c r="G764" i="16"/>
  <c r="G765" i="16"/>
  <c r="G767" i="16"/>
  <c r="G768" i="16"/>
  <c r="G770" i="16"/>
  <c r="G771" i="16"/>
  <c r="G773" i="16"/>
  <c r="G774" i="16"/>
  <c r="G775" i="16"/>
  <c r="G776" i="16"/>
  <c r="G777" i="16"/>
  <c r="G778" i="16"/>
  <c r="G779" i="16"/>
  <c r="G780" i="16"/>
  <c r="G781" i="16"/>
  <c r="G783" i="16"/>
  <c r="G785" i="16"/>
  <c r="G786" i="16"/>
  <c r="G788" i="16"/>
  <c r="G789" i="16"/>
  <c r="G790" i="16"/>
  <c r="G791" i="16"/>
  <c r="G792" i="16"/>
  <c r="G793" i="16"/>
  <c r="G794" i="16"/>
  <c r="G795" i="16"/>
  <c r="G796" i="16"/>
  <c r="G803" i="16"/>
  <c r="G804" i="16"/>
  <c r="G806" i="16"/>
  <c r="G808" i="16"/>
  <c r="G809" i="16"/>
  <c r="G810" i="16"/>
  <c r="G811" i="16"/>
  <c r="G812" i="16"/>
  <c r="G813" i="16"/>
  <c r="B728" i="16"/>
  <c r="B727" i="16"/>
  <c r="B761" i="16" s="1"/>
  <c r="X158" i="25"/>
  <c r="X58" i="25"/>
  <c r="X7" i="25"/>
  <c r="X11" i="25"/>
  <c r="X12" i="25"/>
  <c r="X13" i="25"/>
  <c r="X15" i="25"/>
  <c r="X20" i="25"/>
  <c r="X23" i="25"/>
  <c r="X25" i="25"/>
  <c r="X28" i="25"/>
  <c r="X29" i="25"/>
  <c r="X30" i="25"/>
  <c r="X31" i="25"/>
  <c r="X32" i="25"/>
  <c r="X33" i="25"/>
  <c r="X34" i="25"/>
  <c r="X35" i="25"/>
  <c r="X51" i="25"/>
  <c r="X59" i="25"/>
  <c r="X68" i="25"/>
  <c r="X71" i="25"/>
  <c r="X87" i="25"/>
  <c r="X93" i="25"/>
  <c r="X96" i="25"/>
  <c r="X97" i="25"/>
  <c r="X98" i="25"/>
  <c r="X133" i="25"/>
  <c r="X134" i="25"/>
  <c r="X136" i="25"/>
  <c r="X137" i="25"/>
  <c r="X4" i="25"/>
  <c r="B1064" i="16" l="1"/>
  <c r="B1065" i="16"/>
  <c r="B1025" i="16"/>
  <c r="B1024" i="16"/>
  <c r="B960" i="16"/>
  <c r="B961" i="16"/>
  <c r="B964" i="16" s="1"/>
  <c r="B965" i="16" s="1"/>
  <c r="U7" i="1"/>
  <c r="U85" i="1"/>
  <c r="U160" i="1"/>
  <c r="U108" i="1"/>
  <c r="B934" i="16"/>
  <c r="B936" i="16" s="1"/>
  <c r="B847" i="16"/>
  <c r="B846" i="16"/>
  <c r="B881" i="16"/>
  <c r="B883" i="16" s="1"/>
  <c r="B882" i="16"/>
  <c r="X160" i="25"/>
  <c r="Q109" i="1" s="1"/>
  <c r="Z154" i="25"/>
  <c r="S57" i="1" s="1"/>
  <c r="Z34" i="25"/>
  <c r="Z23" i="25"/>
  <c r="Z33" i="25"/>
  <c r="Z32" i="25"/>
  <c r="Z12" i="25"/>
  <c r="Z42" i="25"/>
  <c r="Z28" i="25"/>
  <c r="Y78" i="25"/>
  <c r="B729" i="16"/>
  <c r="B730" i="16" s="1"/>
  <c r="B731" i="16" s="1"/>
  <c r="B724" i="16"/>
  <c r="B725" i="16" s="1"/>
  <c r="B1066" i="16" l="1"/>
  <c r="B935" i="16"/>
  <c r="B937" i="16" s="1"/>
  <c r="B938" i="16" s="1"/>
  <c r="B939" i="16" s="1"/>
  <c r="B940" i="16" s="1"/>
  <c r="B941" i="16" s="1"/>
  <c r="B967" i="16"/>
  <c r="B966" i="16"/>
  <c r="B968" i="16" s="1"/>
  <c r="U142" i="1"/>
  <c r="W159" i="1"/>
  <c r="W161" i="1" s="1"/>
  <c r="W143" i="1" s="1"/>
  <c r="B885" i="16"/>
  <c r="B886" i="16" s="1"/>
  <c r="B884" i="16"/>
  <c r="B848" i="16"/>
  <c r="B851" i="16" s="1"/>
  <c r="B852" i="16" s="1"/>
  <c r="B853" i="16" s="1"/>
  <c r="B854" i="16" s="1"/>
  <c r="B849" i="16"/>
  <c r="Z78" i="25"/>
  <c r="Z160" i="25" s="1"/>
  <c r="Z80" i="25"/>
  <c r="B732" i="16"/>
  <c r="B733" i="16" s="1"/>
  <c r="B734" i="16" s="1"/>
  <c r="Q60" i="1"/>
  <c r="X63" i="17"/>
  <c r="Q102" i="1"/>
  <c r="Q97" i="1"/>
  <c r="Q98" i="1" s="1"/>
  <c r="Q87" i="1"/>
  <c r="Q88" i="1" s="1"/>
  <c r="Q83" i="1"/>
  <c r="Q84" i="1" s="1"/>
  <c r="Q81" i="1"/>
  <c r="Q79" i="1"/>
  <c r="Q78" i="1"/>
  <c r="Q67" i="1"/>
  <c r="Q65" i="1"/>
  <c r="Q64" i="1"/>
  <c r="Q63" i="1"/>
  <c r="Q62" i="1"/>
  <c r="Q61" i="1"/>
  <c r="G633" i="16"/>
  <c r="G694" i="16"/>
  <c r="X59" i="17"/>
  <c r="X56" i="17"/>
  <c r="W93" i="25"/>
  <c r="Y101" i="17"/>
  <c r="X93" i="17"/>
  <c r="Y93" i="17" s="1"/>
  <c r="X87" i="17"/>
  <c r="Y82" i="17" s="1"/>
  <c r="Q77" i="1" s="1"/>
  <c r="Y65" i="17"/>
  <c r="Q69" i="1" s="1"/>
  <c r="Y42" i="17"/>
  <c r="Q103" i="1" s="1"/>
  <c r="Y33" i="17"/>
  <c r="Q100" i="1" s="1"/>
  <c r="Y25" i="17"/>
  <c r="Q89" i="1" s="1"/>
  <c r="Y4" i="17"/>
  <c r="Q154" i="1"/>
  <c r="S153" i="1" s="1"/>
  <c r="S155" i="1" s="1"/>
  <c r="Q148" i="1"/>
  <c r="S147" i="1" s="1"/>
  <c r="S149" i="1" s="1"/>
  <c r="Q111" i="1"/>
  <c r="Q110" i="1"/>
  <c r="Q82" i="1"/>
  <c r="Q35" i="1"/>
  <c r="Q27" i="1"/>
  <c r="Q21" i="1"/>
  <c r="Q16" i="1"/>
  <c r="U146" i="25"/>
  <c r="O56" i="1"/>
  <c r="O55" i="1"/>
  <c r="U154" i="25"/>
  <c r="O57" i="1" s="1"/>
  <c r="U152" i="25"/>
  <c r="U153" i="25" s="1"/>
  <c r="O53" i="1" s="1"/>
  <c r="U83" i="25"/>
  <c r="U78" i="25"/>
  <c r="O41" i="1" s="1"/>
  <c r="T75" i="25"/>
  <c r="T73" i="25"/>
  <c r="T72" i="25"/>
  <c r="T70" i="25"/>
  <c r="T64" i="25"/>
  <c r="T56" i="25"/>
  <c r="T44" i="25"/>
  <c r="T42" i="25"/>
  <c r="T41" i="25"/>
  <c r="T40" i="25"/>
  <c r="T39" i="25"/>
  <c r="T38" i="25"/>
  <c r="T25" i="25"/>
  <c r="T23" i="25"/>
  <c r="B942" i="16" l="1"/>
  <c r="B970" i="16"/>
  <c r="B971" i="16" s="1"/>
  <c r="B972" i="16" s="1"/>
  <c r="B973" i="16" s="1"/>
  <c r="B974" i="16" s="1"/>
  <c r="B975" i="16" s="1"/>
  <c r="B976" i="16" s="1"/>
  <c r="B977" i="16" s="1"/>
  <c r="B978" i="16" s="1"/>
  <c r="B969" i="16"/>
  <c r="Q128" i="1"/>
  <c r="B856" i="16"/>
  <c r="B855" i="16"/>
  <c r="B887" i="16"/>
  <c r="B888" i="16" s="1"/>
  <c r="B889" i="16" s="1"/>
  <c r="B890" i="16" s="1"/>
  <c r="B891" i="16" s="1"/>
  <c r="B892" i="16" s="1"/>
  <c r="B893" i="16" s="1"/>
  <c r="Q76" i="1"/>
  <c r="Z161" i="25"/>
  <c r="S41" i="1"/>
  <c r="S48" i="1" s="1"/>
  <c r="S38" i="1" s="1"/>
  <c r="S9" i="1" s="1"/>
  <c r="S7" i="1" s="1"/>
  <c r="Z81" i="25"/>
  <c r="U160" i="25"/>
  <c r="O51" i="1"/>
  <c r="B736" i="16"/>
  <c r="B737" i="16" s="1"/>
  <c r="B738" i="16" s="1"/>
  <c r="B735" i="16"/>
  <c r="B769" i="16" s="1"/>
  <c r="B771" i="16" s="1"/>
  <c r="Y51" i="17"/>
  <c r="Q75" i="1" s="1"/>
  <c r="U80" i="25"/>
  <c r="U81" i="25" s="1"/>
  <c r="B979" i="16" l="1"/>
  <c r="B980" i="16" s="1"/>
  <c r="B981" i="16" s="1"/>
  <c r="B982" i="16" s="1"/>
  <c r="B894" i="16"/>
  <c r="B895" i="16" s="1"/>
  <c r="B896" i="16" s="1"/>
  <c r="B897" i="16" s="1"/>
  <c r="S85" i="1"/>
  <c r="S108" i="1"/>
  <c r="S160" i="1"/>
  <c r="U159" i="1" s="1"/>
  <c r="U161" i="1" s="1"/>
  <c r="U143" i="1" s="1"/>
  <c r="B739" i="16"/>
  <c r="B740" i="16" s="1"/>
  <c r="B741" i="16" s="1"/>
  <c r="B745" i="16" s="1"/>
  <c r="W158" i="25"/>
  <c r="W155" i="25"/>
  <c r="W97" i="25"/>
  <c r="Q56" i="1" s="1"/>
  <c r="W129" i="25"/>
  <c r="W98" i="25"/>
  <c r="W41" i="25"/>
  <c r="W38" i="25"/>
  <c r="W87" i="25"/>
  <c r="W96" i="25"/>
  <c r="W133" i="25"/>
  <c r="W134" i="25"/>
  <c r="W136" i="25"/>
  <c r="W66" i="25"/>
  <c r="W47" i="25"/>
  <c r="W5" i="25"/>
  <c r="W7" i="25"/>
  <c r="W11" i="25"/>
  <c r="W12" i="25"/>
  <c r="W13" i="25"/>
  <c r="W15" i="25"/>
  <c r="W20" i="25"/>
  <c r="W23" i="25"/>
  <c r="W25" i="25"/>
  <c r="W27" i="25"/>
  <c r="W28" i="25"/>
  <c r="W29" i="25"/>
  <c r="W30" i="25"/>
  <c r="W31" i="25"/>
  <c r="W32" i="25"/>
  <c r="W33" i="25"/>
  <c r="W34" i="25"/>
  <c r="W35" i="25"/>
  <c r="W51" i="25"/>
  <c r="W52" i="25"/>
  <c r="W56" i="25"/>
  <c r="W58" i="25"/>
  <c r="W59" i="25"/>
  <c r="W68" i="25"/>
  <c r="W71" i="25"/>
  <c r="W4" i="25"/>
  <c r="V5" i="25"/>
  <c r="V6" i="25"/>
  <c r="V7" i="25"/>
  <c r="V11" i="25"/>
  <c r="V12" i="25"/>
  <c r="V13" i="25"/>
  <c r="V15" i="25"/>
  <c r="V20" i="25"/>
  <c r="V21" i="25"/>
  <c r="V27" i="25"/>
  <c r="V28" i="25"/>
  <c r="V29" i="25"/>
  <c r="V30" i="25"/>
  <c r="V31" i="25"/>
  <c r="V32" i="25"/>
  <c r="V33" i="25"/>
  <c r="V34" i="25"/>
  <c r="V35" i="25"/>
  <c r="V37" i="25"/>
  <c r="V38" i="25"/>
  <c r="V39" i="25"/>
  <c r="V40" i="25"/>
  <c r="V41" i="25"/>
  <c r="V42" i="25"/>
  <c r="V43" i="25"/>
  <c r="V44" i="25"/>
  <c r="V45" i="25"/>
  <c r="V46" i="25"/>
  <c r="V47" i="25"/>
  <c r="V48" i="25"/>
  <c r="V49" i="25"/>
  <c r="V51" i="25"/>
  <c r="V52" i="25"/>
  <c r="V58" i="25"/>
  <c r="V59" i="25"/>
  <c r="V66" i="25"/>
  <c r="V68" i="25"/>
  <c r="V71" i="25"/>
  <c r="V4" i="25"/>
  <c r="W153" i="25"/>
  <c r="Q53" i="1" s="1"/>
  <c r="H637" i="16"/>
  <c r="G637" i="16"/>
  <c r="H656" i="16"/>
  <c r="G656" i="16"/>
  <c r="H640" i="16"/>
  <c r="G640" i="16"/>
  <c r="G641" i="16"/>
  <c r="H641" i="16"/>
  <c r="H650" i="16"/>
  <c r="G650" i="16"/>
  <c r="H649" i="16"/>
  <c r="G649" i="16"/>
  <c r="H644" i="16"/>
  <c r="G644" i="16"/>
  <c r="G716" i="16"/>
  <c r="G661" i="16"/>
  <c r="H631" i="16"/>
  <c r="H632" i="16"/>
  <c r="H633" i="16"/>
  <c r="H634" i="16"/>
  <c r="H635" i="16"/>
  <c r="H639" i="16"/>
  <c r="H642" i="16"/>
  <c r="H643" i="16"/>
  <c r="H645" i="16"/>
  <c r="H646" i="16"/>
  <c r="H647" i="16"/>
  <c r="H648" i="16"/>
  <c r="H651" i="16"/>
  <c r="H652" i="16"/>
  <c r="H653" i="16"/>
  <c r="H654" i="16"/>
  <c r="H655" i="16"/>
  <c r="H657" i="16"/>
  <c r="H658" i="16"/>
  <c r="H660" i="16"/>
  <c r="H662" i="16"/>
  <c r="H663" i="16"/>
  <c r="H665" i="16"/>
  <c r="H666" i="16"/>
  <c r="H667" i="16"/>
  <c r="H668" i="16"/>
  <c r="H669" i="16"/>
  <c r="H670" i="16"/>
  <c r="H671" i="16"/>
  <c r="H673" i="16"/>
  <c r="H674" i="16"/>
  <c r="H675" i="16"/>
  <c r="H676" i="16"/>
  <c r="H677" i="16"/>
  <c r="H678" i="16"/>
  <c r="H680" i="16"/>
  <c r="H681" i="16"/>
  <c r="H682" i="16"/>
  <c r="H683" i="16"/>
  <c r="H684" i="16"/>
  <c r="H685" i="16"/>
  <c r="H686" i="16"/>
  <c r="H687" i="16"/>
  <c r="H688" i="16"/>
  <c r="H689" i="16"/>
  <c r="H690" i="16"/>
  <c r="H691" i="16"/>
  <c r="H692" i="16"/>
  <c r="H694" i="16"/>
  <c r="H695" i="16"/>
  <c r="H696" i="16"/>
  <c r="H697" i="16"/>
  <c r="H698" i="16"/>
  <c r="H699" i="16"/>
  <c r="H700" i="16"/>
  <c r="H702" i="16"/>
  <c r="H703" i="16"/>
  <c r="H704" i="16"/>
  <c r="H705" i="16"/>
  <c r="H706" i="16"/>
  <c r="H707" i="16"/>
  <c r="H708" i="16"/>
  <c r="H710" i="16"/>
  <c r="H711" i="16"/>
  <c r="H712" i="16"/>
  <c r="H714" i="16"/>
  <c r="H715" i="16"/>
  <c r="H717" i="16"/>
  <c r="H718" i="16"/>
  <c r="H719" i="16"/>
  <c r="H630" i="16"/>
  <c r="G631" i="16"/>
  <c r="G632" i="16"/>
  <c r="G634" i="16"/>
  <c r="G635" i="16"/>
  <c r="G639" i="16"/>
  <c r="G642" i="16"/>
  <c r="G643" i="16"/>
  <c r="G645" i="16"/>
  <c r="G646" i="16"/>
  <c r="G647" i="16"/>
  <c r="G648" i="16"/>
  <c r="G651" i="16"/>
  <c r="G652" i="16"/>
  <c r="G653" i="16"/>
  <c r="G654" i="16"/>
  <c r="G655" i="16"/>
  <c r="G657" i="16"/>
  <c r="G658" i="16"/>
  <c r="G660" i="16"/>
  <c r="G662" i="16"/>
  <c r="G663" i="16"/>
  <c r="G665" i="16"/>
  <c r="G666" i="16"/>
  <c r="G667" i="16"/>
  <c r="G668" i="16"/>
  <c r="G669" i="16"/>
  <c r="G670" i="16"/>
  <c r="G671" i="16"/>
  <c r="G673" i="16"/>
  <c r="G674" i="16"/>
  <c r="G675" i="16"/>
  <c r="G676" i="16"/>
  <c r="G677" i="16"/>
  <c r="G678" i="16"/>
  <c r="G680" i="16"/>
  <c r="G681" i="16"/>
  <c r="G682" i="16"/>
  <c r="G683" i="16"/>
  <c r="G684" i="16"/>
  <c r="G685" i="16"/>
  <c r="G686" i="16"/>
  <c r="G687" i="16"/>
  <c r="G688" i="16"/>
  <c r="G689" i="16"/>
  <c r="G690" i="16"/>
  <c r="G691" i="16"/>
  <c r="G692" i="16"/>
  <c r="G695" i="16"/>
  <c r="G696" i="16"/>
  <c r="G697" i="16"/>
  <c r="G698" i="16"/>
  <c r="G699" i="16"/>
  <c r="G700" i="16"/>
  <c r="G702" i="16"/>
  <c r="G703" i="16"/>
  <c r="G704" i="16"/>
  <c r="G705" i="16"/>
  <c r="G706" i="16"/>
  <c r="G707" i="16"/>
  <c r="G708" i="16"/>
  <c r="G710" i="16"/>
  <c r="G711" i="16"/>
  <c r="G712" i="16"/>
  <c r="G714" i="16"/>
  <c r="G715" i="16"/>
  <c r="G717" i="16"/>
  <c r="G718" i="16"/>
  <c r="G719" i="16"/>
  <c r="G630" i="16"/>
  <c r="B634" i="16"/>
  <c r="B636" i="16" s="1"/>
  <c r="B638" i="16" s="1"/>
  <c r="B639" i="16" s="1"/>
  <c r="B640" i="16" s="1"/>
  <c r="B641" i="16" s="1"/>
  <c r="B631" i="16"/>
  <c r="B635" i="16" s="1"/>
  <c r="B637" i="16" s="1"/>
  <c r="O94" i="1"/>
  <c r="V63" i="17"/>
  <c r="O90" i="1"/>
  <c r="O102" i="1"/>
  <c r="O99" i="1"/>
  <c r="O97" i="1"/>
  <c r="O98" i="1" s="1"/>
  <c r="O87" i="1"/>
  <c r="O83" i="1"/>
  <c r="O81" i="1"/>
  <c r="O79" i="1"/>
  <c r="O78" i="1"/>
  <c r="O67" i="1"/>
  <c r="O65" i="1"/>
  <c r="O64" i="1"/>
  <c r="O63" i="1"/>
  <c r="O62" i="1"/>
  <c r="O61" i="1"/>
  <c r="O60" i="1"/>
  <c r="V85" i="17"/>
  <c r="V11" i="17"/>
  <c r="G601" i="16"/>
  <c r="G567" i="16"/>
  <c r="G566" i="16"/>
  <c r="V59" i="17"/>
  <c r="V4" i="17"/>
  <c r="V56" i="17"/>
  <c r="V55" i="17"/>
  <c r="W101" i="17"/>
  <c r="V93" i="17"/>
  <c r="W93" i="17" s="1"/>
  <c r="V87" i="17"/>
  <c r="W65" i="17"/>
  <c r="O69" i="1" s="1"/>
  <c r="W42" i="17"/>
  <c r="O103" i="1" s="1"/>
  <c r="W33" i="17"/>
  <c r="O100" i="1" s="1"/>
  <c r="W25" i="17"/>
  <c r="O89" i="1" s="1"/>
  <c r="H545" i="16"/>
  <c r="G545" i="16"/>
  <c r="H544" i="16"/>
  <c r="G544" i="16"/>
  <c r="H550" i="16"/>
  <c r="G550" i="16"/>
  <c r="H564" i="16"/>
  <c r="G564" i="16"/>
  <c r="H619" i="16"/>
  <c r="G619" i="16"/>
  <c r="H566" i="16"/>
  <c r="H543" i="16"/>
  <c r="H546" i="16"/>
  <c r="H547" i="16"/>
  <c r="H549" i="16"/>
  <c r="H552" i="16"/>
  <c r="H553" i="16"/>
  <c r="H554" i="16"/>
  <c r="H555" i="16"/>
  <c r="H556" i="16"/>
  <c r="H557" i="16"/>
  <c r="H558" i="16"/>
  <c r="H559" i="16"/>
  <c r="H560" i="16"/>
  <c r="H561" i="16"/>
  <c r="H562" i="16"/>
  <c r="H563" i="16"/>
  <c r="H565" i="16"/>
  <c r="H567" i="16"/>
  <c r="H569" i="16"/>
  <c r="H570" i="16"/>
  <c r="H571" i="16"/>
  <c r="H572" i="16"/>
  <c r="H573" i="16"/>
  <c r="H574" i="16"/>
  <c r="H575" i="16"/>
  <c r="H576" i="16"/>
  <c r="H577" i="16"/>
  <c r="H578" i="16"/>
  <c r="H580" i="16"/>
  <c r="H581" i="16"/>
  <c r="H582" i="16"/>
  <c r="H583" i="16"/>
  <c r="H584" i="16"/>
  <c r="H585" i="16"/>
  <c r="H586" i="16"/>
  <c r="H587" i="16"/>
  <c r="H588" i="16"/>
  <c r="H589" i="16"/>
  <c r="H590" i="16"/>
  <c r="H591" i="16"/>
  <c r="H592" i="16"/>
  <c r="H593" i="16"/>
  <c r="H594" i="16"/>
  <c r="H595" i="16"/>
  <c r="H596" i="16"/>
  <c r="H597" i="16"/>
  <c r="H598" i="16"/>
  <c r="H599" i="16"/>
  <c r="H600" i="16"/>
  <c r="H601" i="16"/>
  <c r="H602" i="16"/>
  <c r="H603" i="16"/>
  <c r="H604" i="16"/>
  <c r="H605" i="16"/>
  <c r="H606" i="16"/>
  <c r="H607" i="16"/>
  <c r="H608" i="16"/>
  <c r="H609" i="16"/>
  <c r="H611" i="16"/>
  <c r="H612" i="16"/>
  <c r="H613" i="16"/>
  <c r="H614" i="16"/>
  <c r="H615" i="16"/>
  <c r="H616" i="16"/>
  <c r="H617" i="16"/>
  <c r="H618" i="16"/>
  <c r="H621" i="16"/>
  <c r="H622" i="16"/>
  <c r="H624" i="16"/>
  <c r="H625" i="16"/>
  <c r="H626" i="16"/>
  <c r="H542" i="16"/>
  <c r="G543" i="16"/>
  <c r="G546" i="16"/>
  <c r="G547" i="16"/>
  <c r="G549" i="16"/>
  <c r="G552" i="16"/>
  <c r="G553" i="16"/>
  <c r="G554" i="16"/>
  <c r="G555" i="16"/>
  <c r="G556" i="16"/>
  <c r="G557" i="16"/>
  <c r="G558" i="16"/>
  <c r="G559" i="16"/>
  <c r="G560" i="16"/>
  <c r="G561" i="16"/>
  <c r="G562" i="16"/>
  <c r="G563" i="16"/>
  <c r="G565" i="16"/>
  <c r="G569" i="16"/>
  <c r="G570" i="16"/>
  <c r="G571" i="16"/>
  <c r="G572" i="16"/>
  <c r="G573" i="16"/>
  <c r="G574" i="16"/>
  <c r="G575" i="16"/>
  <c r="G576" i="16"/>
  <c r="G577" i="16"/>
  <c r="G578" i="16"/>
  <c r="G580" i="16"/>
  <c r="G581" i="16"/>
  <c r="G582" i="16"/>
  <c r="G583" i="16"/>
  <c r="G584" i="16"/>
  <c r="G585" i="16"/>
  <c r="G586" i="16"/>
  <c r="G587" i="16"/>
  <c r="G588" i="16"/>
  <c r="G589" i="16"/>
  <c r="G590" i="16"/>
  <c r="G591" i="16"/>
  <c r="G592" i="16"/>
  <c r="G593" i="16"/>
  <c r="G594" i="16"/>
  <c r="G595" i="16"/>
  <c r="G596" i="16"/>
  <c r="G597" i="16"/>
  <c r="G598" i="16"/>
  <c r="G599" i="16"/>
  <c r="G600" i="16"/>
  <c r="G602" i="16"/>
  <c r="G603" i="16"/>
  <c r="G604" i="16"/>
  <c r="G605" i="16"/>
  <c r="G606" i="16"/>
  <c r="G607" i="16"/>
  <c r="G608" i="16"/>
  <c r="G609" i="16"/>
  <c r="G611" i="16"/>
  <c r="G612" i="16"/>
  <c r="G613" i="16"/>
  <c r="G614" i="16"/>
  <c r="G615" i="16"/>
  <c r="G616" i="16"/>
  <c r="G617" i="16"/>
  <c r="G618" i="16"/>
  <c r="G621" i="16"/>
  <c r="G622" i="16"/>
  <c r="G624" i="16"/>
  <c r="G625" i="16"/>
  <c r="G626" i="16"/>
  <c r="G542" i="16"/>
  <c r="B543" i="16"/>
  <c r="B547" i="16" s="1"/>
  <c r="B546" i="16"/>
  <c r="B548" i="16" s="1"/>
  <c r="B549" i="16" s="1"/>
  <c r="B550" i="16" s="1"/>
  <c r="A149" i="25"/>
  <c r="A150" i="25" s="1"/>
  <c r="A151" i="25" s="1"/>
  <c r="A152" i="25" s="1"/>
  <c r="O154" i="1"/>
  <c r="Q153" i="1" s="1"/>
  <c r="Q155" i="1" s="1"/>
  <c r="O148" i="1"/>
  <c r="Q147" i="1" s="1"/>
  <c r="Q149" i="1" s="1"/>
  <c r="O111" i="1"/>
  <c r="O110" i="1"/>
  <c r="O92" i="1"/>
  <c r="O82" i="1"/>
  <c r="O33" i="1"/>
  <c r="O35" i="1" s="1"/>
  <c r="O27" i="1"/>
  <c r="O16" i="1"/>
  <c r="O15" i="1"/>
  <c r="M29" i="1"/>
  <c r="M64" i="1"/>
  <c r="M99" i="1"/>
  <c r="M97" i="1" s="1"/>
  <c r="M102" i="1"/>
  <c r="H535" i="16"/>
  <c r="G535" i="16"/>
  <c r="G531" i="16"/>
  <c r="H531" i="16"/>
  <c r="B984" i="16" l="1"/>
  <c r="B985" i="16"/>
  <c r="B983" i="16"/>
  <c r="B899" i="16"/>
  <c r="B898" i="16"/>
  <c r="S142" i="1"/>
  <c r="W80" i="25"/>
  <c r="B742" i="16"/>
  <c r="B746" i="16" s="1"/>
  <c r="B743" i="16"/>
  <c r="W154" i="25"/>
  <c r="W83" i="25"/>
  <c r="Q55" i="1" s="1"/>
  <c r="V78" i="25"/>
  <c r="W146" i="25"/>
  <c r="Q51" i="1" s="1"/>
  <c r="W78" i="25"/>
  <c r="B642" i="16"/>
  <c r="B643" i="16" s="1"/>
  <c r="B645" i="16" s="1"/>
  <c r="B647" i="16" s="1"/>
  <c r="B648" i="16" s="1"/>
  <c r="B632" i="16"/>
  <c r="B633" i="16" s="1"/>
  <c r="W82" i="17"/>
  <c r="O77" i="1" s="1"/>
  <c r="W4" i="17"/>
  <c r="O76" i="1" s="1"/>
  <c r="W51" i="17"/>
  <c r="O75" i="1" s="1"/>
  <c r="B544" i="16"/>
  <c r="B545" i="16" s="1"/>
  <c r="B551" i="16"/>
  <c r="B552" i="16" s="1"/>
  <c r="B553" i="16" s="1"/>
  <c r="B554" i="16" s="1"/>
  <c r="O21" i="1"/>
  <c r="Q41" i="1" l="1"/>
  <c r="Q48" i="1" s="1"/>
  <c r="Q38" i="1" s="1"/>
  <c r="W81" i="25"/>
  <c r="B744" i="16"/>
  <c r="B747" i="16"/>
  <c r="Q57" i="1"/>
  <c r="W160" i="25"/>
  <c r="W161" i="25" s="1"/>
  <c r="O48" i="1"/>
  <c r="B682" i="16"/>
  <c r="B683" i="16" s="1"/>
  <c r="B684" i="16" s="1"/>
  <c r="B685" i="16" s="1"/>
  <c r="B686" i="16" s="1"/>
  <c r="B644" i="16"/>
  <c r="B651" i="16"/>
  <c r="B652" i="16" s="1"/>
  <c r="B653" i="16" s="1"/>
  <c r="B654" i="16" s="1"/>
  <c r="B649" i="16"/>
  <c r="B650" i="16" s="1"/>
  <c r="B555" i="16"/>
  <c r="B557" i="16" s="1"/>
  <c r="T63" i="17"/>
  <c r="M90" i="1"/>
  <c r="M92" i="1"/>
  <c r="M87" i="1"/>
  <c r="M83" i="1"/>
  <c r="M81" i="1"/>
  <c r="M78" i="1"/>
  <c r="M65" i="1"/>
  <c r="M63" i="1"/>
  <c r="M62" i="1"/>
  <c r="M61" i="1"/>
  <c r="M60" i="1"/>
  <c r="T56" i="17"/>
  <c r="G457" i="16"/>
  <c r="T11" i="17"/>
  <c r="S158" i="25"/>
  <c r="S154" i="25" s="1"/>
  <c r="S5" i="25"/>
  <c r="T50" i="17"/>
  <c r="T36" i="17"/>
  <c r="T53" i="17"/>
  <c r="S64" i="25"/>
  <c r="S96" i="25"/>
  <c r="S73" i="25"/>
  <c r="M154" i="1"/>
  <c r="O153" i="1" s="1"/>
  <c r="O155" i="1" s="1"/>
  <c r="M148" i="1"/>
  <c r="O147" i="1" s="1"/>
  <c r="O149" i="1" s="1"/>
  <c r="M111" i="1"/>
  <c r="M110" i="1"/>
  <c r="M98" i="1"/>
  <c r="M82" i="1"/>
  <c r="M66" i="1"/>
  <c r="O66" i="1" s="1"/>
  <c r="M25" i="1"/>
  <c r="M30" i="1" s="1"/>
  <c r="M14" i="1"/>
  <c r="Q9" i="1" l="1"/>
  <c r="Q160" i="1" s="1"/>
  <c r="S159" i="1" s="1"/>
  <c r="S161" i="1" s="1"/>
  <c r="S143" i="1" s="1"/>
  <c r="B749" i="16"/>
  <c r="B750" i="16" s="1"/>
  <c r="B748" i="16"/>
  <c r="O38" i="1"/>
  <c r="O9" i="1" s="1"/>
  <c r="O59" i="1"/>
  <c r="O127" i="1" s="1"/>
  <c r="Q66" i="1"/>
  <c r="M128" i="1"/>
  <c r="M28" i="1"/>
  <c r="M27" i="1" s="1"/>
  <c r="O14" i="1"/>
  <c r="B687" i="16"/>
  <c r="B688" i="16" s="1"/>
  <c r="B689" i="16" s="1"/>
  <c r="B690" i="16" s="1"/>
  <c r="B691" i="16" s="1"/>
  <c r="B692" i="16" s="1"/>
  <c r="B693" i="16" s="1"/>
  <c r="B694" i="16" s="1"/>
  <c r="B695" i="16" s="1"/>
  <c r="B697" i="16" s="1"/>
  <c r="B655" i="16"/>
  <c r="B656" i="16"/>
  <c r="B558" i="16"/>
  <c r="B559" i="16" s="1"/>
  <c r="B560" i="16" s="1"/>
  <c r="B561" i="16" s="1"/>
  <c r="B562" i="16" s="1"/>
  <c r="B563" i="16" s="1"/>
  <c r="B589" i="16"/>
  <c r="B590" i="16" s="1"/>
  <c r="B591" i="16" s="1"/>
  <c r="B592" i="16" s="1"/>
  <c r="B593" i="16" s="1"/>
  <c r="M21" i="1"/>
  <c r="M59" i="1"/>
  <c r="M127" i="1" s="1"/>
  <c r="Q78" i="25"/>
  <c r="S72" i="25"/>
  <c r="S93" i="25"/>
  <c r="S87" i="25"/>
  <c r="S129" i="25"/>
  <c r="S133" i="25"/>
  <c r="S136" i="25"/>
  <c r="S141" i="25"/>
  <c r="S142" i="25"/>
  <c r="S7" i="25"/>
  <c r="S8" i="25"/>
  <c r="S11" i="25"/>
  <c r="S12" i="25"/>
  <c r="S13" i="25"/>
  <c r="S15" i="25"/>
  <c r="S20" i="25"/>
  <c r="S21" i="25"/>
  <c r="S23" i="25"/>
  <c r="S25" i="25"/>
  <c r="S27" i="25"/>
  <c r="S28" i="25"/>
  <c r="S29" i="25"/>
  <c r="S30" i="25"/>
  <c r="S32" i="25"/>
  <c r="S33" i="25"/>
  <c r="S34" i="25"/>
  <c r="S35" i="25"/>
  <c r="S47" i="25"/>
  <c r="S50" i="25"/>
  <c r="S51" i="25"/>
  <c r="S52" i="25"/>
  <c r="S56" i="25"/>
  <c r="S58" i="25"/>
  <c r="S59" i="25"/>
  <c r="S65" i="25"/>
  <c r="S66" i="25"/>
  <c r="S68" i="25"/>
  <c r="S71" i="25"/>
  <c r="S4" i="25"/>
  <c r="R49" i="25"/>
  <c r="R37" i="25"/>
  <c r="R38" i="25"/>
  <c r="R39" i="25"/>
  <c r="R40" i="25"/>
  <c r="R41" i="25"/>
  <c r="R42" i="25"/>
  <c r="R43" i="25"/>
  <c r="R47" i="25"/>
  <c r="R50" i="25"/>
  <c r="R51" i="25"/>
  <c r="R52" i="25"/>
  <c r="R54" i="25"/>
  <c r="R55" i="25"/>
  <c r="R56" i="25"/>
  <c r="R57" i="25"/>
  <c r="R58" i="25"/>
  <c r="R59" i="25"/>
  <c r="R60" i="25"/>
  <c r="R61" i="25"/>
  <c r="R62" i="25"/>
  <c r="R63" i="25"/>
  <c r="R65" i="25"/>
  <c r="R66" i="25"/>
  <c r="R68" i="25"/>
  <c r="R70" i="25"/>
  <c r="R71" i="25"/>
  <c r="R35" i="25"/>
  <c r="M57" i="1"/>
  <c r="S153" i="25"/>
  <c r="M53" i="1" s="1"/>
  <c r="R31" i="25"/>
  <c r="R26" i="25"/>
  <c r="R5" i="25"/>
  <c r="T67" i="17"/>
  <c r="T17" i="17"/>
  <c r="T57" i="17"/>
  <c r="T59" i="17"/>
  <c r="T60" i="17"/>
  <c r="T25" i="17"/>
  <c r="U25" i="17" s="1"/>
  <c r="M89" i="1" s="1"/>
  <c r="U101" i="17"/>
  <c r="T93" i="17"/>
  <c r="U93" i="17" s="1"/>
  <c r="T87" i="17"/>
  <c r="U82" i="17" s="1"/>
  <c r="M77" i="1" s="1"/>
  <c r="U65" i="17"/>
  <c r="M69" i="1" s="1"/>
  <c r="U42" i="17"/>
  <c r="M103" i="1" s="1"/>
  <c r="U33" i="17"/>
  <c r="M100" i="1" s="1"/>
  <c r="B453" i="16"/>
  <c r="B455" i="16" s="1"/>
  <c r="B456" i="16" s="1"/>
  <c r="B457" i="16" s="1"/>
  <c r="B454" i="16"/>
  <c r="B512" i="16"/>
  <c r="B515" i="16" s="1"/>
  <c r="B513" i="16" s="1"/>
  <c r="B514" i="16" s="1"/>
  <c r="B516" i="16" s="1"/>
  <c r="K102" i="1"/>
  <c r="K99" i="1"/>
  <c r="K97" i="1"/>
  <c r="K98" i="1" s="1"/>
  <c r="K94" i="1"/>
  <c r="M94" i="1" s="1"/>
  <c r="K92" i="1"/>
  <c r="K87" i="1"/>
  <c r="K83" i="1"/>
  <c r="K81" i="1"/>
  <c r="K79" i="1"/>
  <c r="K78" i="1"/>
  <c r="J67" i="1"/>
  <c r="K67" i="1"/>
  <c r="K65" i="1"/>
  <c r="K64" i="1"/>
  <c r="K63" i="1"/>
  <c r="K62" i="1"/>
  <c r="K61" i="1"/>
  <c r="K60" i="1"/>
  <c r="R56" i="17"/>
  <c r="R93" i="17"/>
  <c r="S93" i="17" s="1"/>
  <c r="R87" i="17"/>
  <c r="R85" i="17"/>
  <c r="R79" i="17"/>
  <c r="R59" i="17"/>
  <c r="R65" i="17"/>
  <c r="R63" i="17"/>
  <c r="R57" i="17"/>
  <c r="R53" i="17"/>
  <c r="R36" i="17"/>
  <c r="S33" i="17" s="1"/>
  <c r="K100" i="1" s="1"/>
  <c r="R11" i="17"/>
  <c r="R4" i="17"/>
  <c r="S101" i="17"/>
  <c r="S42" i="17"/>
  <c r="K103" i="1" s="1"/>
  <c r="S25" i="17"/>
  <c r="K89" i="1" s="1"/>
  <c r="K33" i="1"/>
  <c r="K30" i="1"/>
  <c r="K28" i="1"/>
  <c r="K154" i="1"/>
  <c r="M153" i="1" s="1"/>
  <c r="M155" i="1" s="1"/>
  <c r="K148" i="1"/>
  <c r="M147" i="1" s="1"/>
  <c r="M149" i="1" s="1"/>
  <c r="K111" i="1"/>
  <c r="K110" i="1"/>
  <c r="K104" i="1"/>
  <c r="M104" i="1" s="1"/>
  <c r="O104" i="1" s="1"/>
  <c r="Q104" i="1" s="1"/>
  <c r="K82" i="1"/>
  <c r="K21" i="1"/>
  <c r="K19" i="1"/>
  <c r="H436" i="16"/>
  <c r="G436" i="16"/>
  <c r="C366" i="16"/>
  <c r="H366" i="16" s="1"/>
  <c r="B366" i="16"/>
  <c r="H437" i="16"/>
  <c r="G437" i="16"/>
  <c r="H364" i="16"/>
  <c r="H365" i="16"/>
  <c r="H368" i="16"/>
  <c r="H369" i="16"/>
  <c r="H370" i="16"/>
  <c r="H371" i="16"/>
  <c r="H372" i="16"/>
  <c r="H373" i="16"/>
  <c r="H374" i="16"/>
  <c r="H375" i="16"/>
  <c r="H376" i="16"/>
  <c r="H377" i="16"/>
  <c r="H378" i="16"/>
  <c r="H379" i="16"/>
  <c r="H380" i="16"/>
  <c r="H381" i="16"/>
  <c r="H382" i="16"/>
  <c r="H383" i="16"/>
  <c r="H384" i="16"/>
  <c r="H385" i="16"/>
  <c r="H386" i="16"/>
  <c r="H388" i="16"/>
  <c r="H389" i="16"/>
  <c r="H390" i="16"/>
  <c r="H391" i="16"/>
  <c r="H392" i="16"/>
  <c r="H393" i="16"/>
  <c r="H394" i="16"/>
  <c r="H395" i="16"/>
  <c r="H396" i="16"/>
  <c r="H397" i="16"/>
  <c r="H398" i="16"/>
  <c r="H400" i="16"/>
  <c r="H401" i="16"/>
  <c r="H402" i="16"/>
  <c r="H403" i="16"/>
  <c r="H404" i="16"/>
  <c r="H405" i="16"/>
  <c r="H406" i="16"/>
  <c r="H407" i="16"/>
  <c r="H408" i="16"/>
  <c r="H409" i="16"/>
  <c r="H410" i="16"/>
  <c r="H411" i="16"/>
  <c r="H412" i="16"/>
  <c r="H413" i="16"/>
  <c r="H414" i="16"/>
  <c r="H415" i="16"/>
  <c r="H416" i="16"/>
  <c r="H417" i="16"/>
  <c r="H418" i="16"/>
  <c r="H419" i="16"/>
  <c r="H420" i="16"/>
  <c r="H421" i="16"/>
  <c r="H422" i="16"/>
  <c r="H423" i="16"/>
  <c r="H424" i="16"/>
  <c r="H425" i="16"/>
  <c r="H426" i="16"/>
  <c r="H427" i="16"/>
  <c r="H428" i="16"/>
  <c r="H429" i="16"/>
  <c r="H431" i="16"/>
  <c r="H432" i="16"/>
  <c r="H433" i="16"/>
  <c r="H434" i="16"/>
  <c r="H435" i="16"/>
  <c r="H438" i="16"/>
  <c r="H439" i="16"/>
  <c r="H440" i="16"/>
  <c r="H441" i="16"/>
  <c r="H442" i="16"/>
  <c r="H443" i="16"/>
  <c r="H444" i="16"/>
  <c r="H445" i="16"/>
  <c r="H446" i="16"/>
  <c r="H447" i="16"/>
  <c r="H363" i="16"/>
  <c r="G364" i="16"/>
  <c r="G365" i="16"/>
  <c r="G368" i="16"/>
  <c r="G369" i="16"/>
  <c r="G370" i="16"/>
  <c r="G371" i="16"/>
  <c r="G372" i="16"/>
  <c r="G373" i="16"/>
  <c r="G374" i="16"/>
  <c r="G375" i="16"/>
  <c r="G376" i="16"/>
  <c r="G377" i="16"/>
  <c r="G378" i="16"/>
  <c r="G379" i="16"/>
  <c r="G380" i="16"/>
  <c r="G381" i="16"/>
  <c r="G382" i="16"/>
  <c r="G383" i="16"/>
  <c r="G384" i="16"/>
  <c r="G385" i="16"/>
  <c r="G386" i="16"/>
  <c r="G388" i="16"/>
  <c r="G389" i="16"/>
  <c r="G390" i="16"/>
  <c r="G391" i="16"/>
  <c r="G392" i="16"/>
  <c r="G393" i="16"/>
  <c r="G394" i="16"/>
  <c r="G395" i="16"/>
  <c r="G396" i="16"/>
  <c r="G397" i="16"/>
  <c r="G398" i="16"/>
  <c r="G400" i="16"/>
  <c r="G401" i="16"/>
  <c r="G402" i="16"/>
  <c r="G403" i="16"/>
  <c r="G404" i="16"/>
  <c r="G405" i="16"/>
  <c r="G406" i="16"/>
  <c r="G407" i="16"/>
  <c r="G408" i="16"/>
  <c r="G409" i="16"/>
  <c r="G410" i="16"/>
  <c r="G411" i="16"/>
  <c r="G412" i="16"/>
  <c r="G413" i="16"/>
  <c r="G414" i="16"/>
  <c r="G415" i="16"/>
  <c r="G416" i="16"/>
  <c r="G417" i="16"/>
  <c r="G418" i="16"/>
  <c r="G419" i="16"/>
  <c r="G420" i="16"/>
  <c r="G421" i="16"/>
  <c r="G422" i="16"/>
  <c r="G423" i="16"/>
  <c r="G424" i="16"/>
  <c r="G425" i="16"/>
  <c r="G426" i="16"/>
  <c r="G427" i="16"/>
  <c r="G428" i="16"/>
  <c r="G429" i="16"/>
  <c r="G431" i="16"/>
  <c r="G432" i="16"/>
  <c r="G433" i="16"/>
  <c r="G434" i="16"/>
  <c r="G435" i="16"/>
  <c r="G438" i="16"/>
  <c r="G439" i="16"/>
  <c r="G440" i="16"/>
  <c r="G441" i="16"/>
  <c r="G442" i="16"/>
  <c r="G443" i="16"/>
  <c r="G444" i="16"/>
  <c r="G445" i="16"/>
  <c r="G446" i="16"/>
  <c r="G447" i="16"/>
  <c r="G363" i="16"/>
  <c r="B365" i="16"/>
  <c r="B367" i="16" s="1"/>
  <c r="B368" i="16" s="1"/>
  <c r="B369" i="16" s="1"/>
  <c r="B370" i="16" s="1"/>
  <c r="B371" i="16" s="1"/>
  <c r="B372" i="16" s="1"/>
  <c r="B373" i="16" s="1"/>
  <c r="B374" i="16" s="1"/>
  <c r="B375" i="16" s="1"/>
  <c r="B376" i="16" s="1"/>
  <c r="B378" i="16" s="1"/>
  <c r="Q155" i="25"/>
  <c r="Q154" i="25" s="1"/>
  <c r="K57" i="1" s="1"/>
  <c r="Q83" i="25"/>
  <c r="K55" i="1" s="1"/>
  <c r="P20" i="25"/>
  <c r="P5" i="25"/>
  <c r="P6" i="25"/>
  <c r="P7" i="25"/>
  <c r="P8" i="25"/>
  <c r="P11" i="25"/>
  <c r="P12" i="25"/>
  <c r="P13" i="25"/>
  <c r="P14" i="25"/>
  <c r="P15" i="25"/>
  <c r="P21" i="25"/>
  <c r="P26" i="25"/>
  <c r="P27" i="25"/>
  <c r="P28" i="25"/>
  <c r="P29" i="25"/>
  <c r="P30" i="25"/>
  <c r="P31" i="25"/>
  <c r="P33" i="25"/>
  <c r="P34" i="25"/>
  <c r="P35" i="25"/>
  <c r="P37" i="25"/>
  <c r="P42" i="25"/>
  <c r="P43" i="25"/>
  <c r="P44" i="25"/>
  <c r="P45" i="25"/>
  <c r="P46" i="25"/>
  <c r="P47" i="25"/>
  <c r="P48" i="25"/>
  <c r="P49" i="25"/>
  <c r="P51" i="25"/>
  <c r="P52" i="25"/>
  <c r="P53" i="25"/>
  <c r="P54" i="25"/>
  <c r="P55" i="25"/>
  <c r="P58" i="25"/>
  <c r="P59" i="25"/>
  <c r="P60" i="25"/>
  <c r="P61" i="25"/>
  <c r="P62" i="25"/>
  <c r="P63" i="25"/>
  <c r="P65" i="25"/>
  <c r="P66" i="25"/>
  <c r="P68" i="25"/>
  <c r="P69" i="25"/>
  <c r="P71" i="25"/>
  <c r="P4" i="25"/>
  <c r="N4" i="25"/>
  <c r="I4" i="25"/>
  <c r="T4" i="25" s="1"/>
  <c r="Q153" i="25"/>
  <c r="K53" i="1" s="1"/>
  <c r="Q7" i="1" l="1"/>
  <c r="O7" i="1"/>
  <c r="Q85" i="1"/>
  <c r="Q74" i="1" s="1"/>
  <c r="Q59" i="1"/>
  <c r="Q127" i="1" s="1"/>
  <c r="S66" i="1"/>
  <c r="S59" i="1" s="1"/>
  <c r="Q95" i="1"/>
  <c r="S104" i="1"/>
  <c r="Q108" i="1"/>
  <c r="B751" i="16"/>
  <c r="B752" i="16" s="1"/>
  <c r="B753" i="16" s="1"/>
  <c r="B754" i="16" s="1"/>
  <c r="B755" i="16" s="1"/>
  <c r="B756" i="16" s="1"/>
  <c r="Q142" i="1"/>
  <c r="B696" i="16"/>
  <c r="B698" i="16" s="1"/>
  <c r="B699" i="16" s="1"/>
  <c r="B700" i="16" s="1"/>
  <c r="B657" i="16"/>
  <c r="B658" i="16"/>
  <c r="B594" i="16"/>
  <c r="B595" i="16" s="1"/>
  <c r="B596" i="16" s="1"/>
  <c r="B597" i="16" s="1"/>
  <c r="B598" i="16" s="1"/>
  <c r="B599" i="16" s="1"/>
  <c r="B600" i="16" s="1"/>
  <c r="B601" i="16" s="1"/>
  <c r="B602" i="16" s="1"/>
  <c r="B603" i="16" s="1"/>
  <c r="S83" i="25"/>
  <c r="M55" i="1" s="1"/>
  <c r="B565" i="16"/>
  <c r="B567" i="16" s="1"/>
  <c r="B564" i="16"/>
  <c r="K128" i="1"/>
  <c r="K59" i="1"/>
  <c r="K29" i="1"/>
  <c r="K27" i="1" s="1"/>
  <c r="M16" i="1"/>
  <c r="K35" i="1"/>
  <c r="M35" i="1"/>
  <c r="S78" i="25"/>
  <c r="M41" i="1" s="1"/>
  <c r="M48" i="1" s="1"/>
  <c r="S146" i="25"/>
  <c r="M51" i="1" s="1"/>
  <c r="B459" i="16"/>
  <c r="B460" i="16" s="1"/>
  <c r="B461" i="16" s="1"/>
  <c r="B462" i="16" s="1"/>
  <c r="B463" i="16" s="1"/>
  <c r="B464" i="16" s="1"/>
  <c r="B466" i="16" s="1"/>
  <c r="B458" i="16"/>
  <c r="S4" i="17"/>
  <c r="K76" i="1" s="1"/>
  <c r="U51" i="17"/>
  <c r="M75" i="1" s="1"/>
  <c r="S80" i="25"/>
  <c r="Q80" i="25"/>
  <c r="S65" i="17"/>
  <c r="K69" i="1" s="1"/>
  <c r="K95" i="1"/>
  <c r="S82" i="17"/>
  <c r="K77" i="1" s="1"/>
  <c r="U4" i="17"/>
  <c r="M76" i="1" s="1"/>
  <c r="B517" i="16"/>
  <c r="B518" i="16" s="1"/>
  <c r="B519" i="16"/>
  <c r="B520" i="16" s="1"/>
  <c r="B521" i="16" s="1"/>
  <c r="B522" i="16" s="1"/>
  <c r="S51" i="17"/>
  <c r="K75" i="1" s="1"/>
  <c r="K16" i="1"/>
  <c r="G366" i="16"/>
  <c r="B409" i="16"/>
  <c r="B410" i="16" s="1"/>
  <c r="B411" i="16" s="1"/>
  <c r="B412" i="16" s="1"/>
  <c r="B379" i="16"/>
  <c r="B380" i="16" s="1"/>
  <c r="B381" i="16" s="1"/>
  <c r="B382" i="16" s="1"/>
  <c r="B383" i="16" s="1"/>
  <c r="B384" i="16" s="1"/>
  <c r="B385" i="16" s="1"/>
  <c r="B386" i="16" s="1"/>
  <c r="Q146" i="25"/>
  <c r="K51" i="1" s="1"/>
  <c r="P78" i="25"/>
  <c r="I93" i="1"/>
  <c r="I92" i="1" s="1"/>
  <c r="Q73" i="1" l="1"/>
  <c r="S95" i="1"/>
  <c r="U104" i="1"/>
  <c r="S127" i="1"/>
  <c r="B758" i="16"/>
  <c r="B760" i="16" s="1"/>
  <c r="B757" i="16"/>
  <c r="B701" i="16"/>
  <c r="B702" i="16" s="1"/>
  <c r="B703" i="16" s="1"/>
  <c r="B704" i="16" s="1"/>
  <c r="B705" i="16" s="1"/>
  <c r="B706" i="16" s="1"/>
  <c r="B708" i="16" s="1"/>
  <c r="B709" i="16" s="1"/>
  <c r="B710" i="16" s="1"/>
  <c r="B711" i="16" s="1"/>
  <c r="Q126" i="1"/>
  <c r="Q130" i="1" s="1"/>
  <c r="B659" i="16"/>
  <c r="B660" i="16"/>
  <c r="B604" i="16"/>
  <c r="B605" i="16"/>
  <c r="B566" i="16"/>
  <c r="B569" i="16"/>
  <c r="B570" i="16" s="1"/>
  <c r="B571" i="16" s="1"/>
  <c r="B572" i="16" s="1"/>
  <c r="B573" i="16" s="1"/>
  <c r="B568" i="16"/>
  <c r="O108" i="1"/>
  <c r="O160" i="1"/>
  <c r="Q159" i="1" s="1"/>
  <c r="Q161" i="1" s="1"/>
  <c r="Q143" i="1" s="1"/>
  <c r="O85" i="1"/>
  <c r="K58" i="1"/>
  <c r="M38" i="1"/>
  <c r="M9" i="1" s="1"/>
  <c r="M7" i="1" s="1"/>
  <c r="S160" i="25"/>
  <c r="S81" i="25"/>
  <c r="B499" i="16"/>
  <c r="B500" i="16" s="1"/>
  <c r="B501" i="16" s="1"/>
  <c r="B502" i="16" s="1"/>
  <c r="B504" i="16" s="1"/>
  <c r="B505" i="16" s="1"/>
  <c r="B506" i="16" s="1"/>
  <c r="B507" i="16" s="1"/>
  <c r="B508" i="16" s="1"/>
  <c r="B509" i="16" s="1"/>
  <c r="B510" i="16" s="1"/>
  <c r="B467" i="16"/>
  <c r="B468" i="16" s="1"/>
  <c r="B469" i="16" s="1"/>
  <c r="B470" i="16" s="1"/>
  <c r="B471" i="16" s="1"/>
  <c r="B524" i="16"/>
  <c r="B525" i="16" s="1"/>
  <c r="B523" i="16"/>
  <c r="K41" i="1"/>
  <c r="K48" i="1" s="1"/>
  <c r="Q81" i="25"/>
  <c r="K127" i="1"/>
  <c r="B388" i="16"/>
  <c r="B389" i="16" s="1"/>
  <c r="B390" i="16" s="1"/>
  <c r="B391" i="16" s="1"/>
  <c r="B392" i="16" s="1"/>
  <c r="B393" i="16" s="1"/>
  <c r="B394" i="16" s="1"/>
  <c r="B395" i="16" s="1"/>
  <c r="B396" i="16" s="1"/>
  <c r="B397" i="16" s="1"/>
  <c r="B398" i="16" s="1"/>
  <c r="B400" i="16" s="1"/>
  <c r="B387" i="16"/>
  <c r="B413" i="16"/>
  <c r="B414" i="16"/>
  <c r="Q160" i="25"/>
  <c r="I97" i="1"/>
  <c r="I79" i="1"/>
  <c r="I78" i="1"/>
  <c r="I66" i="1"/>
  <c r="I65" i="1"/>
  <c r="I64" i="1"/>
  <c r="I63" i="1"/>
  <c r="I62" i="1"/>
  <c r="I61" i="1"/>
  <c r="I60" i="1"/>
  <c r="I59" i="1"/>
  <c r="I33" i="1"/>
  <c r="I35" i="1" s="1"/>
  <c r="I30" i="1"/>
  <c r="I29" i="1"/>
  <c r="I28" i="1"/>
  <c r="I55" i="1"/>
  <c r="I56" i="1"/>
  <c r="I154" i="1"/>
  <c r="K153" i="1" s="1"/>
  <c r="K155" i="1" s="1"/>
  <c r="I148" i="1"/>
  <c r="K147" i="1" s="1"/>
  <c r="K149" i="1" s="1"/>
  <c r="I111" i="1"/>
  <c r="I110" i="1"/>
  <c r="I82" i="1"/>
  <c r="I53" i="1"/>
  <c r="I21" i="1"/>
  <c r="I16" i="1"/>
  <c r="I11" i="1"/>
  <c r="P59" i="17"/>
  <c r="P56" i="17"/>
  <c r="P63" i="17"/>
  <c r="P93" i="17"/>
  <c r="Q93" i="17" s="1"/>
  <c r="P85" i="17"/>
  <c r="P42" i="17"/>
  <c r="Q42" i="17" s="1"/>
  <c r="I103" i="1" s="1"/>
  <c r="P65" i="17"/>
  <c r="Q65" i="17" s="1"/>
  <c r="I69" i="1" s="1"/>
  <c r="P57" i="17"/>
  <c r="P53" i="17"/>
  <c r="P4" i="17"/>
  <c r="P11" i="17"/>
  <c r="Q101" i="17"/>
  <c r="P87" i="17"/>
  <c r="Q33" i="17"/>
  <c r="I100" i="1" s="1"/>
  <c r="Q25" i="17"/>
  <c r="I89" i="1" s="1"/>
  <c r="G298" i="16"/>
  <c r="G310" i="16"/>
  <c r="B298" i="16"/>
  <c r="H339" i="16"/>
  <c r="G339" i="16"/>
  <c r="H357" i="16"/>
  <c r="G357" i="16"/>
  <c r="H344" i="16"/>
  <c r="G344" i="16"/>
  <c r="H337" i="16"/>
  <c r="G337" i="16"/>
  <c r="H324" i="16"/>
  <c r="G324" i="16"/>
  <c r="H288" i="16"/>
  <c r="G288" i="16"/>
  <c r="H276" i="16"/>
  <c r="G276" i="16"/>
  <c r="H348" i="16"/>
  <c r="G348" i="16"/>
  <c r="H319" i="16"/>
  <c r="G319" i="16"/>
  <c r="G341" i="16"/>
  <c r="H341" i="16"/>
  <c r="H277" i="16"/>
  <c r="H279" i="16"/>
  <c r="H280" i="16"/>
  <c r="H281" i="16"/>
  <c r="H282" i="16"/>
  <c r="H283" i="16"/>
  <c r="H284" i="16"/>
  <c r="H285" i="16"/>
  <c r="H286" i="16"/>
  <c r="H287" i="16"/>
  <c r="H289" i="16"/>
  <c r="H290" i="16"/>
  <c r="H291" i="16"/>
  <c r="H292" i="16"/>
  <c r="H293" i="16"/>
  <c r="H294" i="16"/>
  <c r="H295" i="16"/>
  <c r="H296" i="16"/>
  <c r="H297" i="16"/>
  <c r="H299" i="16"/>
  <c r="H300" i="16"/>
  <c r="H301" i="16"/>
  <c r="H302" i="16"/>
  <c r="H303" i="16"/>
  <c r="H304" i="16"/>
  <c r="H305" i="16"/>
  <c r="H306" i="16"/>
  <c r="H307" i="16"/>
  <c r="H308" i="16"/>
  <c r="H309" i="16"/>
  <c r="H311" i="16"/>
  <c r="H312" i="16"/>
  <c r="H313" i="16"/>
  <c r="H314" i="16"/>
  <c r="H315" i="16"/>
  <c r="H316" i="16"/>
  <c r="H317" i="16"/>
  <c r="H318" i="16"/>
  <c r="H320" i="16"/>
  <c r="H321" i="16"/>
  <c r="H322" i="16"/>
  <c r="H323" i="16"/>
  <c r="H325" i="16"/>
  <c r="H326" i="16"/>
  <c r="H327" i="16"/>
  <c r="H328" i="16"/>
  <c r="H329" i="16"/>
  <c r="H330" i="16"/>
  <c r="H331" i="16"/>
  <c r="H332" i="16"/>
  <c r="H333" i="16"/>
  <c r="H334" i="16"/>
  <c r="H335" i="16"/>
  <c r="H336" i="16"/>
  <c r="H338" i="16"/>
  <c r="H340" i="16"/>
  <c r="H343" i="16"/>
  <c r="H345" i="16"/>
  <c r="H346" i="16"/>
  <c r="H347" i="16"/>
  <c r="H349" i="16"/>
  <c r="H350" i="16"/>
  <c r="H351" i="16"/>
  <c r="H352" i="16"/>
  <c r="H353" i="16"/>
  <c r="H354" i="16"/>
  <c r="H355" i="16"/>
  <c r="H356" i="16"/>
  <c r="H358" i="16"/>
  <c r="H359" i="16"/>
  <c r="H275" i="16"/>
  <c r="G277" i="16"/>
  <c r="G279" i="16"/>
  <c r="G280" i="16"/>
  <c r="G281" i="16"/>
  <c r="G282" i="16"/>
  <c r="G283" i="16"/>
  <c r="G284" i="16"/>
  <c r="G285" i="16"/>
  <c r="G286" i="16"/>
  <c r="G287" i="16"/>
  <c r="G289" i="16"/>
  <c r="G290" i="16"/>
  <c r="G291" i="16"/>
  <c r="G292" i="16"/>
  <c r="G293" i="16"/>
  <c r="G294" i="16"/>
  <c r="G295" i="16"/>
  <c r="G296" i="16"/>
  <c r="G297" i="16"/>
  <c r="G299" i="16"/>
  <c r="G300" i="16"/>
  <c r="G301" i="16"/>
  <c r="G302" i="16"/>
  <c r="G303" i="16"/>
  <c r="G304" i="16"/>
  <c r="G305" i="16"/>
  <c r="G306" i="16"/>
  <c r="G307" i="16"/>
  <c r="G308" i="16"/>
  <c r="G309" i="16"/>
  <c r="G311" i="16"/>
  <c r="G312" i="16"/>
  <c r="G313" i="16"/>
  <c r="G314" i="16"/>
  <c r="G315" i="16"/>
  <c r="G316" i="16"/>
  <c r="G317" i="16"/>
  <c r="G318" i="16"/>
  <c r="G320" i="16"/>
  <c r="G321" i="16"/>
  <c r="G322" i="16"/>
  <c r="G323" i="16"/>
  <c r="G325" i="16"/>
  <c r="G326" i="16"/>
  <c r="G327" i="16"/>
  <c r="G328" i="16"/>
  <c r="G329" i="16"/>
  <c r="G330" i="16"/>
  <c r="G331" i="16"/>
  <c r="G332" i="16"/>
  <c r="G333" i="16"/>
  <c r="G334" i="16"/>
  <c r="G335" i="16"/>
  <c r="G336" i="16"/>
  <c r="G338" i="16"/>
  <c r="G340" i="16"/>
  <c r="G343" i="16"/>
  <c r="G345" i="16"/>
  <c r="G346" i="16"/>
  <c r="G347" i="16"/>
  <c r="G349" i="16"/>
  <c r="G350" i="16"/>
  <c r="G351" i="16"/>
  <c r="G352" i="16"/>
  <c r="G353" i="16"/>
  <c r="G354" i="16"/>
  <c r="G355" i="16"/>
  <c r="G356" i="16"/>
  <c r="G358" i="16"/>
  <c r="G359" i="16"/>
  <c r="G275" i="16"/>
  <c r="B277" i="16"/>
  <c r="B278" i="16" s="1"/>
  <c r="B279" i="16" s="1"/>
  <c r="B280" i="16" s="1"/>
  <c r="B281" i="16" s="1"/>
  <c r="B282" i="16" s="1"/>
  <c r="B283" i="16" s="1"/>
  <c r="I57" i="1"/>
  <c r="F128" i="26"/>
  <c r="D128" i="26"/>
  <c r="N96" i="26"/>
  <c r="N95" i="26"/>
  <c r="N78" i="26"/>
  <c r="N80" i="26"/>
  <c r="N81" i="26"/>
  <c r="N82" i="26"/>
  <c r="N83" i="26"/>
  <c r="N84" i="26"/>
  <c r="N85" i="26"/>
  <c r="N79" i="26"/>
  <c r="M95" i="26"/>
  <c r="M80" i="26"/>
  <c r="M82" i="26"/>
  <c r="M83" i="26"/>
  <c r="M84" i="26"/>
  <c r="M85" i="26"/>
  <c r="M79" i="26"/>
  <c r="L79" i="26"/>
  <c r="L95" i="26"/>
  <c r="L85" i="26"/>
  <c r="L84" i="26"/>
  <c r="L83" i="26"/>
  <c r="L81" i="26"/>
  <c r="L82" i="26"/>
  <c r="L80" i="26"/>
  <c r="L78" i="26"/>
  <c r="K95" i="26"/>
  <c r="I85" i="26"/>
  <c r="I84" i="26"/>
  <c r="I83" i="26"/>
  <c r="I82" i="26"/>
  <c r="I81" i="26"/>
  <c r="I80" i="26"/>
  <c r="I79" i="26"/>
  <c r="I78" i="26"/>
  <c r="N125" i="26"/>
  <c r="N124" i="26"/>
  <c r="N100" i="26"/>
  <c r="N101" i="26"/>
  <c r="N102" i="26"/>
  <c r="N103" i="26"/>
  <c r="N104" i="26"/>
  <c r="N105" i="26"/>
  <c r="N106" i="26"/>
  <c r="N99" i="26"/>
  <c r="M124" i="26"/>
  <c r="M100" i="26"/>
  <c r="M101" i="26"/>
  <c r="M102" i="26"/>
  <c r="M103" i="26"/>
  <c r="M104" i="26"/>
  <c r="M105" i="26"/>
  <c r="M106" i="26"/>
  <c r="M99" i="26"/>
  <c r="L124" i="26"/>
  <c r="L106" i="26"/>
  <c r="L105" i="26"/>
  <c r="L104" i="26"/>
  <c r="L103" i="26"/>
  <c r="L102" i="26"/>
  <c r="L101" i="26"/>
  <c r="L100" i="26"/>
  <c r="L99" i="26"/>
  <c r="K124" i="26"/>
  <c r="I106" i="26"/>
  <c r="I105" i="26"/>
  <c r="I104" i="26"/>
  <c r="I103" i="26"/>
  <c r="I102" i="26"/>
  <c r="I101" i="26"/>
  <c r="I100" i="26"/>
  <c r="I99" i="26"/>
  <c r="D124" i="26"/>
  <c r="D125" i="26" s="1"/>
  <c r="F125" i="26" s="1"/>
  <c r="D95" i="26"/>
  <c r="D96" i="26" s="1"/>
  <c r="F96" i="26" s="1"/>
  <c r="G69" i="26"/>
  <c r="G70" i="26" s="1"/>
  <c r="G74" i="26"/>
  <c r="G72" i="26"/>
  <c r="G68" i="26"/>
  <c r="A63" i="26"/>
  <c r="A4" i="26"/>
  <c r="A5" i="26" s="1"/>
  <c r="A6" i="26" s="1"/>
  <c r="A7" i="26" s="1"/>
  <c r="A8" i="26" s="1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A19" i="26" s="1"/>
  <c r="U95" i="1" l="1"/>
  <c r="W104" i="1"/>
  <c r="Q129" i="1"/>
  <c r="S126" i="1"/>
  <c r="S130" i="1" s="1"/>
  <c r="B759" i="16"/>
  <c r="B762" i="16" s="1"/>
  <c r="B763" i="16" s="1"/>
  <c r="B764" i="16" s="1"/>
  <c r="B765" i="16" s="1"/>
  <c r="B766" i="16" s="1"/>
  <c r="B707" i="16"/>
  <c r="B661" i="16"/>
  <c r="B662" i="16"/>
  <c r="B663" i="16" s="1"/>
  <c r="B664" i="16" s="1"/>
  <c r="B665" i="16" s="1"/>
  <c r="B666" i="16" s="1"/>
  <c r="B667" i="16" s="1"/>
  <c r="B668" i="16" s="1"/>
  <c r="B669" i="16" s="1"/>
  <c r="B670" i="16" s="1"/>
  <c r="B671" i="16" s="1"/>
  <c r="B714" i="16"/>
  <c r="B715" i="16" s="1"/>
  <c r="B716" i="16" s="1"/>
  <c r="B713" i="16"/>
  <c r="B712" i="16"/>
  <c r="B606" i="16"/>
  <c r="B607" i="16" s="1"/>
  <c r="B608" i="16"/>
  <c r="B609" i="16" s="1"/>
  <c r="B610" i="16" s="1"/>
  <c r="B611" i="16" s="1"/>
  <c r="B612" i="16" s="1"/>
  <c r="B613" i="16" s="1"/>
  <c r="B615" i="16" s="1"/>
  <c r="B616" i="16" s="1"/>
  <c r="B617" i="16" s="1"/>
  <c r="B618" i="16" s="1"/>
  <c r="B619" i="16" s="1"/>
  <c r="B574" i="16"/>
  <c r="B575" i="16" s="1"/>
  <c r="B576" i="16" s="1"/>
  <c r="B577" i="16" s="1"/>
  <c r="B578" i="16" s="1"/>
  <c r="Q82" i="17"/>
  <c r="I77" i="1" s="1"/>
  <c r="O142" i="1"/>
  <c r="O95" i="1"/>
  <c r="B503" i="16"/>
  <c r="M108" i="1"/>
  <c r="K38" i="1"/>
  <c r="K9" i="1" s="1"/>
  <c r="M85" i="1"/>
  <c r="M160" i="1"/>
  <c r="Q4" i="17"/>
  <c r="I76" i="1" s="1"/>
  <c r="B473" i="16"/>
  <c r="B474" i="16" s="1"/>
  <c r="B472" i="16"/>
  <c r="B526" i="16"/>
  <c r="B527" i="16"/>
  <c r="B415" i="16"/>
  <c r="B416" i="16" s="1"/>
  <c r="B417" i="16" s="1"/>
  <c r="B418" i="16" s="1"/>
  <c r="B419" i="16" s="1"/>
  <c r="B420" i="16" s="1"/>
  <c r="B422" i="16" s="1"/>
  <c r="B425" i="16" s="1"/>
  <c r="B423" i="16" s="1"/>
  <c r="B424" i="16" s="1"/>
  <c r="B426" i="16" s="1"/>
  <c r="B399" i="16"/>
  <c r="B401" i="16" s="1"/>
  <c r="B402" i="16" s="1"/>
  <c r="B403" i="16" s="1"/>
  <c r="B404" i="16" s="1"/>
  <c r="B405" i="16" s="1"/>
  <c r="B406" i="16" s="1"/>
  <c r="B407" i="16" s="1"/>
  <c r="B377" i="16" s="1"/>
  <c r="B408" i="16" s="1"/>
  <c r="I51" i="1"/>
  <c r="B284" i="16"/>
  <c r="B285" i="16" s="1"/>
  <c r="B286" i="16" s="1"/>
  <c r="B287" i="16" s="1"/>
  <c r="B289" i="16" s="1"/>
  <c r="I102" i="1"/>
  <c r="I87" i="1"/>
  <c r="I88" i="1" s="1"/>
  <c r="I98" i="1"/>
  <c r="I83" i="1"/>
  <c r="I84" i="1" s="1"/>
  <c r="I81" i="1"/>
  <c r="I27" i="1"/>
  <c r="I10" i="1"/>
  <c r="I127" i="1"/>
  <c r="Q51" i="17"/>
  <c r="I75" i="1" s="1"/>
  <c r="A21" i="26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A33" i="26" s="1"/>
  <c r="A34" i="26" s="1"/>
  <c r="A35" i="26" s="1"/>
  <c r="A36" i="26" s="1"/>
  <c r="A37" i="26" s="1"/>
  <c r="A38" i="26" s="1"/>
  <c r="A39" i="26" s="1"/>
  <c r="A40" i="26" s="1"/>
  <c r="A41" i="26" s="1"/>
  <c r="A42" i="26" s="1"/>
  <c r="A43" i="26" s="1"/>
  <c r="A44" i="26" s="1"/>
  <c r="A45" i="26" s="1"/>
  <c r="A46" i="26" s="1"/>
  <c r="A47" i="26" s="1"/>
  <c r="A48" i="26" s="1"/>
  <c r="A49" i="26" s="1"/>
  <c r="A50" i="26" s="1"/>
  <c r="A51" i="26" s="1"/>
  <c r="A52" i="26" s="1"/>
  <c r="A53" i="26" s="1"/>
  <c r="A20" i="26"/>
  <c r="W95" i="1" l="1"/>
  <c r="W73" i="1" s="1"/>
  <c r="Y104" i="1"/>
  <c r="Y95" i="1" s="1"/>
  <c r="K7" i="1"/>
  <c r="S129" i="1"/>
  <c r="B768" i="16"/>
  <c r="B770" i="16" s="1"/>
  <c r="B772" i="16" s="1"/>
  <c r="B767" i="16"/>
  <c r="B673" i="16"/>
  <c r="B672" i="16"/>
  <c r="B674" i="16" s="1"/>
  <c r="B675" i="16" s="1"/>
  <c r="B676" i="16" s="1"/>
  <c r="B677" i="16" s="1"/>
  <c r="B678" i="16" s="1"/>
  <c r="B679" i="16" s="1"/>
  <c r="B680" i="16" s="1"/>
  <c r="B646" i="16" s="1"/>
  <c r="B681" i="16" s="1"/>
  <c r="B614" i="16"/>
  <c r="B718" i="16"/>
  <c r="B719" i="16" s="1"/>
  <c r="B720" i="16" s="1"/>
  <c r="B721" i="16" s="1"/>
  <c r="B722" i="16" s="1"/>
  <c r="B717" i="16"/>
  <c r="B580" i="16"/>
  <c r="B579" i="16"/>
  <c r="B581" i="16" s="1"/>
  <c r="B582" i="16" s="1"/>
  <c r="B583" i="16" s="1"/>
  <c r="B584" i="16" s="1"/>
  <c r="B585" i="16" s="1"/>
  <c r="B586" i="16" s="1"/>
  <c r="B587" i="16" s="1"/>
  <c r="B556" i="16" s="1"/>
  <c r="B588" i="16" s="1"/>
  <c r="B621" i="16"/>
  <c r="B622" i="16" s="1"/>
  <c r="B623" i="16" s="1"/>
  <c r="B620" i="16"/>
  <c r="B476" i="16"/>
  <c r="B477" i="16" s="1"/>
  <c r="B475" i="16"/>
  <c r="M142" i="1"/>
  <c r="O159" i="1"/>
  <c r="O161" i="1" s="1"/>
  <c r="O143" i="1" s="1"/>
  <c r="K108" i="1"/>
  <c r="K160" i="1"/>
  <c r="M159" i="1" s="1"/>
  <c r="M161" i="1" s="1"/>
  <c r="M143" i="1" s="1"/>
  <c r="K70" i="1"/>
  <c r="K71" i="1" s="1"/>
  <c r="K85" i="1"/>
  <c r="M95" i="1"/>
  <c r="B528" i="16"/>
  <c r="B529" i="16" s="1"/>
  <c r="B530" i="16" s="1"/>
  <c r="B428" i="16"/>
  <c r="B429" i="16" s="1"/>
  <c r="B430" i="16" s="1"/>
  <c r="B431" i="16" s="1"/>
  <c r="B433" i="16" s="1"/>
  <c r="B434" i="16" s="1"/>
  <c r="B427" i="16"/>
  <c r="B290" i="16"/>
  <c r="B291" i="16" s="1"/>
  <c r="B292" i="16" s="1"/>
  <c r="B293" i="16" s="1"/>
  <c r="B294" i="16" s="1"/>
  <c r="B295" i="16" s="1"/>
  <c r="B296" i="16" s="1"/>
  <c r="B297" i="16" s="1"/>
  <c r="B299" i="16" s="1"/>
  <c r="B300" i="16" s="1"/>
  <c r="B301" i="16" s="1"/>
  <c r="B302" i="16" s="1"/>
  <c r="B303" i="16" s="1"/>
  <c r="B304" i="16" s="1"/>
  <c r="B305" i="16" s="1"/>
  <c r="B306" i="16" s="1"/>
  <c r="B307" i="16" s="1"/>
  <c r="B308" i="16" s="1"/>
  <c r="B309" i="16" s="1"/>
  <c r="B320" i="16"/>
  <c r="I95" i="1"/>
  <c r="I128" i="1"/>
  <c r="I126" i="1" s="1"/>
  <c r="I130" i="1" s="1"/>
  <c r="A54" i="26"/>
  <c r="A55" i="26" s="1"/>
  <c r="A56" i="26" s="1"/>
  <c r="A57" i="26" s="1"/>
  <c r="A58" i="26" s="1"/>
  <c r="A59" i="26" s="1"/>
  <c r="I18" i="25"/>
  <c r="B774" i="16" l="1"/>
  <c r="B775" i="16" s="1"/>
  <c r="B776" i="16" s="1"/>
  <c r="B777" i="16" s="1"/>
  <c r="B778" i="16" s="1"/>
  <c r="B779" i="16" s="1"/>
  <c r="B773" i="16"/>
  <c r="B478" i="16"/>
  <c r="B479" i="16" s="1"/>
  <c r="B480" i="16" s="1"/>
  <c r="B481" i="16" s="1"/>
  <c r="B482" i="16" s="1"/>
  <c r="B483" i="16" s="1"/>
  <c r="B484" i="16" s="1"/>
  <c r="B485" i="16" s="1"/>
  <c r="B486" i="16" s="1"/>
  <c r="B487" i="16" s="1"/>
  <c r="B488" i="16" s="1"/>
  <c r="B489" i="16" s="1"/>
  <c r="B491" i="16" s="1"/>
  <c r="B492" i="16" s="1"/>
  <c r="B493" i="16" s="1"/>
  <c r="B494" i="16" s="1"/>
  <c r="B495" i="16" s="1"/>
  <c r="B496" i="16" s="1"/>
  <c r="B497" i="16" s="1"/>
  <c r="B465" i="16" s="1"/>
  <c r="B498" i="16" s="1"/>
  <c r="B625" i="16"/>
  <c r="B626" i="16" s="1"/>
  <c r="B627" i="16" s="1"/>
  <c r="B628" i="16" s="1"/>
  <c r="B629" i="16" s="1"/>
  <c r="B624" i="16"/>
  <c r="K142" i="1"/>
  <c r="B531" i="16"/>
  <c r="B532" i="16" s="1"/>
  <c r="B432" i="16"/>
  <c r="B435" i="16"/>
  <c r="B437" i="16" s="1"/>
  <c r="B438" i="16" s="1"/>
  <c r="B439" i="16" s="1"/>
  <c r="B440" i="16" s="1"/>
  <c r="B441" i="16" s="1"/>
  <c r="B436" i="16"/>
  <c r="B310" i="16"/>
  <c r="B312" i="16" s="1"/>
  <c r="B311" i="16"/>
  <c r="I129" i="1"/>
  <c r="G83" i="1"/>
  <c r="G84" i="1" s="1"/>
  <c r="H190" i="16"/>
  <c r="G190" i="16"/>
  <c r="G91" i="1"/>
  <c r="G99" i="1"/>
  <c r="G102" i="1"/>
  <c r="G97" i="1"/>
  <c r="G98" i="1" s="1"/>
  <c r="G92" i="1"/>
  <c r="G87" i="1"/>
  <c r="G88" i="1" s="1"/>
  <c r="G81" i="1"/>
  <c r="G79" i="1"/>
  <c r="G78" i="1"/>
  <c r="G66" i="1"/>
  <c r="G65" i="1"/>
  <c r="G64" i="1"/>
  <c r="G63" i="1"/>
  <c r="G62" i="1"/>
  <c r="G61" i="1"/>
  <c r="G60" i="1"/>
  <c r="B49" i="23"/>
  <c r="G154" i="1"/>
  <c r="I153" i="1" s="1"/>
  <c r="I155" i="1" s="1"/>
  <c r="G148" i="1"/>
  <c r="I147" i="1" s="1"/>
  <c r="I149" i="1" s="1"/>
  <c r="G111" i="1"/>
  <c r="G110" i="1"/>
  <c r="G82" i="1"/>
  <c r="G39" i="1"/>
  <c r="I39" i="1" s="1"/>
  <c r="K39" i="1" s="1"/>
  <c r="M39" i="1" s="1"/>
  <c r="G35" i="1"/>
  <c r="G27" i="1"/>
  <c r="G21" i="1"/>
  <c r="G14" i="1"/>
  <c r="N59" i="17"/>
  <c r="N63" i="17"/>
  <c r="N62" i="17"/>
  <c r="N18" i="17"/>
  <c r="N93" i="17"/>
  <c r="O93" i="17" s="1"/>
  <c r="N4" i="17"/>
  <c r="N56" i="17"/>
  <c r="N53" i="17"/>
  <c r="N57" i="17"/>
  <c r="O101" i="17"/>
  <c r="N87" i="17"/>
  <c r="O82" i="17" s="1"/>
  <c r="G77" i="1" s="1"/>
  <c r="O65" i="17"/>
  <c r="G69" i="1" s="1"/>
  <c r="O42" i="17"/>
  <c r="G103" i="1" s="1"/>
  <c r="O33" i="17"/>
  <c r="G100" i="1" s="1"/>
  <c r="O25" i="17"/>
  <c r="G89" i="1" s="1"/>
  <c r="G53" i="1"/>
  <c r="G56" i="1"/>
  <c r="G222" i="16"/>
  <c r="B780" i="16" l="1"/>
  <c r="B781" i="16" s="1"/>
  <c r="B490" i="16"/>
  <c r="B533" i="16"/>
  <c r="B534" i="16" s="1"/>
  <c r="B535" i="16" s="1"/>
  <c r="G57" i="1"/>
  <c r="B442" i="16"/>
  <c r="B443" i="16" s="1"/>
  <c r="B444" i="16" s="1"/>
  <c r="B313" i="16"/>
  <c r="B314" i="16" s="1"/>
  <c r="B315" i="16" s="1"/>
  <c r="B316" i="16" s="1"/>
  <c r="B317" i="16" s="1"/>
  <c r="B318" i="16" s="1"/>
  <c r="B288" i="16" s="1"/>
  <c r="B319" i="16" s="1"/>
  <c r="B321" i="16" s="1"/>
  <c r="B322" i="16" s="1"/>
  <c r="B323" i="16" s="1"/>
  <c r="B325" i="16" s="1"/>
  <c r="B326" i="16" s="1"/>
  <c r="B327" i="16" s="1"/>
  <c r="B328" i="16" s="1"/>
  <c r="B329" i="16" s="1"/>
  <c r="B330" i="16" s="1"/>
  <c r="B331" i="16" s="1"/>
  <c r="B332" i="16" s="1"/>
  <c r="B333" i="16" s="1"/>
  <c r="B334" i="16" s="1"/>
  <c r="B337" i="16" s="1"/>
  <c r="B335" i="16" s="1"/>
  <c r="B336" i="16" s="1"/>
  <c r="B338" i="16" s="1"/>
  <c r="G59" i="1"/>
  <c r="G127" i="1" s="1"/>
  <c r="O4" i="17"/>
  <c r="G76" i="1" s="1"/>
  <c r="G51" i="1"/>
  <c r="G128" i="1"/>
  <c r="G16" i="1"/>
  <c r="O51" i="17"/>
  <c r="G75" i="1" s="1"/>
  <c r="H252" i="16"/>
  <c r="G252" i="16"/>
  <c r="H269" i="16"/>
  <c r="G269" i="16"/>
  <c r="H254" i="16"/>
  <c r="G254" i="16"/>
  <c r="H183" i="16"/>
  <c r="H185" i="16"/>
  <c r="H186" i="16"/>
  <c r="H187" i="16"/>
  <c r="H188" i="16"/>
  <c r="H189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5" i="16"/>
  <c r="H206" i="16"/>
  <c r="H207" i="16"/>
  <c r="H208" i="16"/>
  <c r="H209" i="16"/>
  <c r="H210" i="16"/>
  <c r="H211" i="16"/>
  <c r="H212" i="16"/>
  <c r="H213" i="16"/>
  <c r="H214" i="16"/>
  <c r="H215" i="16"/>
  <c r="H216" i="16"/>
  <c r="H218" i="16"/>
  <c r="H219" i="16"/>
  <c r="H220" i="16"/>
  <c r="H221" i="16"/>
  <c r="H222" i="16"/>
  <c r="H223" i="16"/>
  <c r="H224" i="16"/>
  <c r="H225" i="16"/>
  <c r="H227" i="16"/>
  <c r="H228" i="16"/>
  <c r="H229" i="16"/>
  <c r="H230" i="16"/>
  <c r="H231" i="16"/>
  <c r="H232" i="16"/>
  <c r="H233" i="16"/>
  <c r="H234" i="16"/>
  <c r="H235" i="16"/>
  <c r="H236" i="16"/>
  <c r="H237" i="16"/>
  <c r="H238" i="16"/>
  <c r="H239" i="16"/>
  <c r="H240" i="16"/>
  <c r="H241" i="16"/>
  <c r="H242" i="16"/>
  <c r="H243" i="16"/>
  <c r="H244" i="16"/>
  <c r="H245" i="16"/>
  <c r="H246" i="16"/>
  <c r="H247" i="16"/>
  <c r="H248" i="16"/>
  <c r="H250" i="16"/>
  <c r="H251" i="16"/>
  <c r="H253" i="16"/>
  <c r="H255" i="16"/>
  <c r="H256" i="16"/>
  <c r="H257" i="16"/>
  <c r="H258" i="16"/>
  <c r="H259" i="16"/>
  <c r="H260" i="16"/>
  <c r="H262" i="16"/>
  <c r="H263" i="16"/>
  <c r="H265" i="16"/>
  <c r="H266" i="16"/>
  <c r="H267" i="16"/>
  <c r="H268" i="16"/>
  <c r="H182" i="16"/>
  <c r="G183" i="16"/>
  <c r="G185" i="16"/>
  <c r="G186" i="16"/>
  <c r="G187" i="16"/>
  <c r="G188" i="16"/>
  <c r="G189" i="16"/>
  <c r="G191" i="16"/>
  <c r="G192" i="16"/>
  <c r="G193" i="16"/>
  <c r="G194" i="16"/>
  <c r="G195" i="16"/>
  <c r="G196" i="16"/>
  <c r="G197" i="16"/>
  <c r="G198" i="16"/>
  <c r="G199" i="16"/>
  <c r="G200" i="16"/>
  <c r="G201" i="16"/>
  <c r="G202" i="16"/>
  <c r="G203" i="16"/>
  <c r="G204" i="16"/>
  <c r="G205" i="16"/>
  <c r="G206" i="16"/>
  <c r="G207" i="16"/>
  <c r="G208" i="16"/>
  <c r="G209" i="16"/>
  <c r="G210" i="16"/>
  <c r="G211" i="16"/>
  <c r="G212" i="16"/>
  <c r="G213" i="16"/>
  <c r="G214" i="16"/>
  <c r="G215" i="16"/>
  <c r="G216" i="16"/>
  <c r="G218" i="16"/>
  <c r="G219" i="16"/>
  <c r="G220" i="16"/>
  <c r="G221" i="16"/>
  <c r="G223" i="16"/>
  <c r="G224" i="16"/>
  <c r="G225" i="16"/>
  <c r="G227" i="16"/>
  <c r="G228" i="16"/>
  <c r="G229" i="16"/>
  <c r="G230" i="16"/>
  <c r="G231" i="16"/>
  <c r="G232" i="16"/>
  <c r="G233" i="16"/>
  <c r="G234" i="16"/>
  <c r="G235" i="16"/>
  <c r="G236" i="16"/>
  <c r="G237" i="16"/>
  <c r="G238" i="16"/>
  <c r="G239" i="16"/>
  <c r="G240" i="16"/>
  <c r="G241" i="16"/>
  <c r="G242" i="16"/>
  <c r="G243" i="16"/>
  <c r="G244" i="16"/>
  <c r="G245" i="16"/>
  <c r="G246" i="16"/>
  <c r="G247" i="16"/>
  <c r="G248" i="16"/>
  <c r="G250" i="16"/>
  <c r="G251" i="16"/>
  <c r="G253" i="16"/>
  <c r="G255" i="16"/>
  <c r="G256" i="16"/>
  <c r="G257" i="16"/>
  <c r="G258" i="16"/>
  <c r="G259" i="16"/>
  <c r="G260" i="16"/>
  <c r="G262" i="16"/>
  <c r="G263" i="16"/>
  <c r="G265" i="16"/>
  <c r="G266" i="16"/>
  <c r="G267" i="16"/>
  <c r="G268" i="16"/>
  <c r="G182" i="16"/>
  <c r="B782" i="16" l="1"/>
  <c r="B785" i="16"/>
  <c r="B783" i="16"/>
  <c r="B784" i="16" s="1"/>
  <c r="B536" i="16"/>
  <c r="B537" i="16"/>
  <c r="B538" i="16" s="1"/>
  <c r="B539" i="16" s="1"/>
  <c r="B540" i="16" s="1"/>
  <c r="B541" i="16" s="1"/>
  <c r="B445" i="16"/>
  <c r="B446" i="16"/>
  <c r="B447" i="16" s="1"/>
  <c r="B448" i="16" s="1"/>
  <c r="B449" i="16" s="1"/>
  <c r="B450" i="16" s="1"/>
  <c r="I41" i="1"/>
  <c r="I48" i="1" s="1"/>
  <c r="I38" i="1" s="1"/>
  <c r="I7" i="1" s="1"/>
  <c r="B324" i="16"/>
  <c r="B340" i="16"/>
  <c r="B341" i="16" s="1"/>
  <c r="B342" i="16" s="1"/>
  <c r="B343" i="16" s="1"/>
  <c r="B339" i="16"/>
  <c r="G41" i="1"/>
  <c r="G48" i="1" s="1"/>
  <c r="G38" i="1" s="1"/>
  <c r="G9" i="1" s="1"/>
  <c r="G7" i="1" s="1"/>
  <c r="G126" i="1"/>
  <c r="G130" i="1" s="1"/>
  <c r="J78" i="25"/>
  <c r="K18" i="25"/>
  <c r="K19" i="25"/>
  <c r="K44" i="25"/>
  <c r="A85" i="25"/>
  <c r="A86" i="25" s="1"/>
  <c r="A87" i="25" s="1"/>
  <c r="A88" i="25" s="1"/>
  <c r="B786" i="16" l="1"/>
  <c r="B788" i="16" s="1"/>
  <c r="B789" i="16" s="1"/>
  <c r="B790" i="16" s="1"/>
  <c r="B791" i="16" s="1"/>
  <c r="B792" i="16" s="1"/>
  <c r="B793" i="16" s="1"/>
  <c r="B795" i="16" s="1"/>
  <c r="B787" i="16"/>
  <c r="I85" i="1"/>
  <c r="I74" i="1" s="1"/>
  <c r="I73" i="1" s="1"/>
  <c r="I108" i="1"/>
  <c r="I160" i="1"/>
  <c r="B344" i="16"/>
  <c r="B345" i="16"/>
  <c r="B346" i="16" s="1"/>
  <c r="B347" i="16" s="1"/>
  <c r="B348" i="16" s="1"/>
  <c r="B349" i="16" s="1"/>
  <c r="B350" i="16" s="1"/>
  <c r="B351" i="16" s="1"/>
  <c r="B352" i="16" s="1"/>
  <c r="B353" i="16" s="1"/>
  <c r="B354" i="16" s="1"/>
  <c r="A89" i="25"/>
  <c r="A90" i="25" s="1"/>
  <c r="G129" i="1"/>
  <c r="G160" i="1"/>
  <c r="G95" i="1"/>
  <c r="G85" i="1"/>
  <c r="G74" i="1" s="1"/>
  <c r="G108" i="1"/>
  <c r="N5" i="25"/>
  <c r="N6" i="25"/>
  <c r="N7" i="25"/>
  <c r="N8" i="25"/>
  <c r="N9" i="25"/>
  <c r="N10" i="25"/>
  <c r="N11" i="25"/>
  <c r="N12" i="25"/>
  <c r="N13" i="25"/>
  <c r="N14" i="25"/>
  <c r="N15" i="25"/>
  <c r="N16" i="25"/>
  <c r="N17" i="25"/>
  <c r="N18" i="25"/>
  <c r="N20" i="25"/>
  <c r="N21" i="25"/>
  <c r="N26" i="25"/>
  <c r="N27" i="25"/>
  <c r="N28" i="25"/>
  <c r="N29" i="25"/>
  <c r="N30" i="25"/>
  <c r="N31" i="25"/>
  <c r="N33" i="25"/>
  <c r="N34" i="25"/>
  <c r="N35" i="25"/>
  <c r="N36" i="25"/>
  <c r="N37" i="25"/>
  <c r="N42" i="25"/>
  <c r="N43" i="25"/>
  <c r="N45" i="25"/>
  <c r="N46" i="25"/>
  <c r="N47" i="25"/>
  <c r="N48" i="25"/>
  <c r="N49" i="25"/>
  <c r="N51" i="25"/>
  <c r="N52" i="25"/>
  <c r="N53" i="25"/>
  <c r="N54" i="25"/>
  <c r="N55" i="25"/>
  <c r="N57" i="25"/>
  <c r="N58" i="25"/>
  <c r="N59" i="25"/>
  <c r="N60" i="25"/>
  <c r="N61" i="25"/>
  <c r="N62" i="25"/>
  <c r="N63" i="25"/>
  <c r="N65" i="25"/>
  <c r="N66" i="25"/>
  <c r="N68" i="25"/>
  <c r="N69" i="25"/>
  <c r="N71" i="25"/>
  <c r="I5" i="25"/>
  <c r="T5" i="25" s="1"/>
  <c r="I6" i="25"/>
  <c r="T6" i="25" s="1"/>
  <c r="I7" i="25"/>
  <c r="T7" i="25" s="1"/>
  <c r="I8" i="25"/>
  <c r="T8" i="25" s="1"/>
  <c r="I9" i="25"/>
  <c r="K9" i="25" s="1"/>
  <c r="I10" i="25"/>
  <c r="K10" i="25" s="1"/>
  <c r="I11" i="25"/>
  <c r="T11" i="25" s="1"/>
  <c r="I12" i="25"/>
  <c r="T12" i="25" s="1"/>
  <c r="I13" i="25"/>
  <c r="T13" i="25" s="1"/>
  <c r="I14" i="25"/>
  <c r="T14" i="25" s="1"/>
  <c r="I15" i="25"/>
  <c r="T15" i="25" s="1"/>
  <c r="I16" i="25"/>
  <c r="K16" i="25" s="1"/>
  <c r="I17" i="25"/>
  <c r="K17" i="25" s="1"/>
  <c r="I20" i="25"/>
  <c r="T20" i="25" s="1"/>
  <c r="I21" i="25"/>
  <c r="T21" i="25" s="1"/>
  <c r="I22" i="25"/>
  <c r="T22" i="25" s="1"/>
  <c r="I26" i="25"/>
  <c r="K26" i="25" s="1"/>
  <c r="I27" i="25"/>
  <c r="T27" i="25" s="1"/>
  <c r="I28" i="25"/>
  <c r="T28" i="25" s="1"/>
  <c r="I29" i="25"/>
  <c r="T29" i="25" s="1"/>
  <c r="I30" i="25"/>
  <c r="T30" i="25" s="1"/>
  <c r="I31" i="25"/>
  <c r="K31" i="25" s="1"/>
  <c r="I32" i="25"/>
  <c r="T32" i="25" s="1"/>
  <c r="I33" i="25"/>
  <c r="T33" i="25" s="1"/>
  <c r="I34" i="25"/>
  <c r="T34" i="25" s="1"/>
  <c r="I35" i="25"/>
  <c r="T35" i="25" s="1"/>
  <c r="I36" i="25"/>
  <c r="K36" i="25" s="1"/>
  <c r="I37" i="25"/>
  <c r="T37" i="25" s="1"/>
  <c r="I43" i="25"/>
  <c r="T43" i="25" s="1"/>
  <c r="I45" i="25"/>
  <c r="K45" i="25" s="1"/>
  <c r="I46" i="25"/>
  <c r="K46" i="25" s="1"/>
  <c r="I47" i="25"/>
  <c r="T47" i="25" s="1"/>
  <c r="I48" i="25"/>
  <c r="K48" i="25" s="1"/>
  <c r="I49" i="25"/>
  <c r="K49" i="25" s="1"/>
  <c r="I51" i="25"/>
  <c r="T51" i="25" s="1"/>
  <c r="I52" i="25"/>
  <c r="T52" i="25" s="1"/>
  <c r="I53" i="25"/>
  <c r="K53" i="25" s="1"/>
  <c r="I54" i="25"/>
  <c r="K54" i="25" s="1"/>
  <c r="I55" i="25"/>
  <c r="K55" i="25" s="1"/>
  <c r="I57" i="25"/>
  <c r="T57" i="25" s="1"/>
  <c r="I58" i="25"/>
  <c r="T58" i="25" s="1"/>
  <c r="I59" i="25"/>
  <c r="T59" i="25" s="1"/>
  <c r="I60" i="25"/>
  <c r="I61" i="25"/>
  <c r="I62" i="25"/>
  <c r="I63" i="25"/>
  <c r="T63" i="25" s="1"/>
  <c r="I65" i="25"/>
  <c r="T65" i="25" s="1"/>
  <c r="I66" i="25"/>
  <c r="T66" i="25" s="1"/>
  <c r="I67" i="25"/>
  <c r="K67" i="25" s="1"/>
  <c r="I68" i="25"/>
  <c r="T68" i="25" s="1"/>
  <c r="I69" i="25"/>
  <c r="K69" i="25" s="1"/>
  <c r="I71" i="25"/>
  <c r="T71" i="25" s="1"/>
  <c r="H22" i="25"/>
  <c r="B794" i="16" l="1"/>
  <c r="B796" i="16" s="1"/>
  <c r="B797" i="16" s="1"/>
  <c r="B803" i="16" s="1"/>
  <c r="B804" i="16" s="1"/>
  <c r="B805" i="16" s="1"/>
  <c r="B806" i="16" s="1"/>
  <c r="B807" i="16" s="1"/>
  <c r="B809" i="16" s="1"/>
  <c r="B810" i="16" s="1"/>
  <c r="B811" i="16" s="1"/>
  <c r="B812" i="16" s="1"/>
  <c r="B813" i="16" s="1"/>
  <c r="T78" i="25"/>
  <c r="K27" i="25"/>
  <c r="K22" i="25"/>
  <c r="K59" i="25"/>
  <c r="K34" i="25"/>
  <c r="K12" i="25"/>
  <c r="K35" i="25"/>
  <c r="K13" i="25"/>
  <c r="K33" i="25"/>
  <c r="K65" i="25"/>
  <c r="K21" i="25"/>
  <c r="K68" i="25"/>
  <c r="K14" i="25"/>
  <c r="K66" i="25"/>
  <c r="K47" i="25"/>
  <c r="K32" i="25"/>
  <c r="K20" i="25"/>
  <c r="K71" i="25"/>
  <c r="K52" i="25"/>
  <c r="K29" i="25"/>
  <c r="K8" i="25"/>
  <c r="K6" i="25"/>
  <c r="K58" i="25"/>
  <c r="K5" i="25"/>
  <c r="K57" i="25"/>
  <c r="K11" i="25"/>
  <c r="K43" i="25"/>
  <c r="K30" i="25"/>
  <c r="K51" i="25"/>
  <c r="K28" i="25"/>
  <c r="K15" i="25"/>
  <c r="K7" i="25"/>
  <c r="I142" i="1"/>
  <c r="K159" i="1"/>
  <c r="K161" i="1" s="1"/>
  <c r="K143" i="1" s="1"/>
  <c r="B355" i="16"/>
  <c r="B356" i="16" s="1"/>
  <c r="B357" i="16" s="1"/>
  <c r="G142" i="1"/>
  <c r="I159" i="1"/>
  <c r="I161" i="1" s="1"/>
  <c r="I143" i="1" s="1"/>
  <c r="A91" i="25"/>
  <c r="A92" i="25" s="1"/>
  <c r="A93" i="25" s="1"/>
  <c r="A94" i="25" s="1"/>
  <c r="A95" i="25" s="1"/>
  <c r="K4" i="25"/>
  <c r="I80" i="25"/>
  <c r="G73" i="1"/>
  <c r="I78" i="25"/>
  <c r="N78" i="25"/>
  <c r="B798" i="16" l="1"/>
  <c r="B799" i="16" s="1"/>
  <c r="B808" i="16"/>
  <c r="K79" i="25"/>
  <c r="K78" i="25"/>
  <c r="A96" i="25"/>
  <c r="B358" i="16"/>
  <c r="B359" i="16" s="1"/>
  <c r="B360" i="16" s="1"/>
  <c r="B361" i="16" s="1"/>
  <c r="B362" i="16" s="1"/>
  <c r="I81" i="25"/>
  <c r="E99" i="1"/>
  <c r="E79" i="1"/>
  <c r="E92" i="1"/>
  <c r="E104" i="1"/>
  <c r="E102" i="1"/>
  <c r="E97" i="1"/>
  <c r="E98" i="1" s="1"/>
  <c r="E78" i="1"/>
  <c r="E87" i="1"/>
  <c r="E88" i="1" s="1"/>
  <c r="E83" i="1"/>
  <c r="E84" i="1" s="1"/>
  <c r="E81" i="1"/>
  <c r="E62" i="1"/>
  <c r="E67" i="1"/>
  <c r="E66" i="1"/>
  <c r="E64" i="1"/>
  <c r="E65" i="1"/>
  <c r="E63" i="1"/>
  <c r="E61" i="1"/>
  <c r="E60" i="1"/>
  <c r="E27" i="1"/>
  <c r="E56" i="1"/>
  <c r="E53" i="1"/>
  <c r="E154" i="1"/>
  <c r="G153" i="1" s="1"/>
  <c r="G155" i="1" s="1"/>
  <c r="E148" i="1"/>
  <c r="G147" i="1" s="1"/>
  <c r="G149" i="1" s="1"/>
  <c r="E111" i="1"/>
  <c r="E110" i="1"/>
  <c r="E82" i="1"/>
  <c r="E44" i="1"/>
  <c r="E35" i="1"/>
  <c r="E21" i="1"/>
  <c r="E16" i="1"/>
  <c r="H164" i="16"/>
  <c r="G164" i="16"/>
  <c r="G105" i="16"/>
  <c r="G106" i="16"/>
  <c r="G168" i="16"/>
  <c r="G107" i="16"/>
  <c r="G108" i="16"/>
  <c r="G109" i="16"/>
  <c r="G110" i="16"/>
  <c r="G111" i="16"/>
  <c r="G112" i="16"/>
  <c r="G169" i="16"/>
  <c r="G113" i="16"/>
  <c r="G170" i="16"/>
  <c r="G114" i="16"/>
  <c r="G115" i="16"/>
  <c r="G116" i="16"/>
  <c r="G117" i="16"/>
  <c r="G171" i="16"/>
  <c r="G118" i="16"/>
  <c r="G95" i="16"/>
  <c r="G119" i="16"/>
  <c r="G120" i="16"/>
  <c r="G121" i="16"/>
  <c r="G174" i="16"/>
  <c r="G97" i="16"/>
  <c r="G122" i="16"/>
  <c r="G123" i="16"/>
  <c r="G124" i="16"/>
  <c r="G125" i="16"/>
  <c r="G126" i="16"/>
  <c r="G127" i="16"/>
  <c r="G128" i="16"/>
  <c r="G129" i="16"/>
  <c r="G175" i="16"/>
  <c r="G130" i="16"/>
  <c r="G131" i="16"/>
  <c r="G132" i="16"/>
  <c r="G98" i="16"/>
  <c r="G99" i="16"/>
  <c r="G134" i="16"/>
  <c r="G94" i="16"/>
  <c r="G135" i="16"/>
  <c r="G136" i="16"/>
  <c r="G172" i="16"/>
  <c r="G138" i="16"/>
  <c r="G139" i="16"/>
  <c r="G140" i="16"/>
  <c r="G141" i="16"/>
  <c r="G142" i="16"/>
  <c r="G143" i="16"/>
  <c r="G100" i="16"/>
  <c r="G101" i="16"/>
  <c r="G144" i="16"/>
  <c r="G145" i="16"/>
  <c r="G146" i="16"/>
  <c r="G147" i="16"/>
  <c r="G148" i="16"/>
  <c r="G149" i="16"/>
  <c r="G150" i="16"/>
  <c r="G151" i="16"/>
  <c r="G152" i="16"/>
  <c r="G153" i="16"/>
  <c r="G102" i="16"/>
  <c r="G154" i="16"/>
  <c r="G155" i="16"/>
  <c r="G156" i="16"/>
  <c r="G157" i="16"/>
  <c r="G158" i="16"/>
  <c r="G159" i="16"/>
  <c r="G161" i="16"/>
  <c r="G103" i="16"/>
  <c r="G162" i="16"/>
  <c r="G176" i="16"/>
  <c r="G163" i="16"/>
  <c r="G165" i="16"/>
  <c r="G166" i="16"/>
  <c r="G167" i="16"/>
  <c r="G177" i="16"/>
  <c r="G104" i="16"/>
  <c r="H105" i="16"/>
  <c r="H106" i="16"/>
  <c r="H107" i="16"/>
  <c r="H108" i="16"/>
  <c r="H109" i="16"/>
  <c r="H111" i="16"/>
  <c r="H110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8" i="16"/>
  <c r="H139" i="16"/>
  <c r="H140" i="16"/>
  <c r="H141" i="16"/>
  <c r="H142" i="16"/>
  <c r="H143" i="16"/>
  <c r="H144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1" i="16"/>
  <c r="H162" i="16"/>
  <c r="H163" i="16"/>
  <c r="H165" i="16"/>
  <c r="H166" i="16"/>
  <c r="H167" i="16"/>
  <c r="H145" i="16"/>
  <c r="H102" i="16"/>
  <c r="H100" i="16"/>
  <c r="H101" i="16"/>
  <c r="H98" i="16"/>
  <c r="H99" i="16"/>
  <c r="H97" i="16"/>
  <c r="H95" i="16"/>
  <c r="H103" i="16"/>
  <c r="H94" i="16"/>
  <c r="H177" i="16"/>
  <c r="H175" i="16"/>
  <c r="H174" i="16"/>
  <c r="H176" i="16"/>
  <c r="H171" i="16"/>
  <c r="H172" i="16"/>
  <c r="H168" i="16"/>
  <c r="H170" i="16"/>
  <c r="H169" i="16"/>
  <c r="H104" i="16"/>
  <c r="L56" i="17"/>
  <c r="L59" i="17"/>
  <c r="L83" i="17"/>
  <c r="M101" i="17"/>
  <c r="L15" i="17"/>
  <c r="L93" i="17"/>
  <c r="M93" i="17" s="1"/>
  <c r="M65" i="17"/>
  <c r="E69" i="1" s="1"/>
  <c r="L87" i="17"/>
  <c r="L53" i="17"/>
  <c r="M42" i="17"/>
  <c r="E103" i="1" s="1"/>
  <c r="M33" i="17"/>
  <c r="E100" i="1" s="1"/>
  <c r="B800" i="16" l="1"/>
  <c r="B801" i="16" s="1"/>
  <c r="A97" i="25"/>
  <c r="A98" i="25" s="1"/>
  <c r="A99" i="25" s="1"/>
  <c r="A100" i="25" s="1"/>
  <c r="A101" i="25" s="1"/>
  <c r="A102" i="25" s="1"/>
  <c r="A103" i="25" s="1"/>
  <c r="A104" i="25" s="1"/>
  <c r="M82" i="17"/>
  <c r="E77" i="1" s="1"/>
  <c r="E128" i="1"/>
  <c r="E59" i="1"/>
  <c r="E127" i="1" s="1"/>
  <c r="M51" i="17"/>
  <c r="E75" i="1" s="1"/>
  <c r="B802" i="16" l="1"/>
  <c r="A106" i="25"/>
  <c r="A107" i="25" s="1"/>
  <c r="A108" i="25" s="1"/>
  <c r="A109" i="25" s="1"/>
  <c r="A105" i="25"/>
  <c r="E126" i="1"/>
  <c r="E129" i="1" s="1"/>
  <c r="E58" i="1"/>
  <c r="L25" i="17"/>
  <c r="M25" i="17" s="1"/>
  <c r="E89" i="1" s="1"/>
  <c r="M4" i="17"/>
  <c r="E76" i="1" s="1"/>
  <c r="G136" i="25"/>
  <c r="G154" i="25"/>
  <c r="E57" i="1" s="1"/>
  <c r="G57" i="25"/>
  <c r="H57" i="25" s="1"/>
  <c r="G19" i="25"/>
  <c r="H19" i="25" s="1"/>
  <c r="A5" i="25"/>
  <c r="A6" i="25" s="1"/>
  <c r="A7" i="25" s="1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G47" i="25"/>
  <c r="AH47" i="25" s="1"/>
  <c r="G37" i="25"/>
  <c r="AH37" i="25" s="1"/>
  <c r="G35" i="25"/>
  <c r="AH35" i="25" s="1"/>
  <c r="F34" i="25"/>
  <c r="G34" i="25"/>
  <c r="G28" i="25"/>
  <c r="G21" i="25"/>
  <c r="R21" i="25" s="1"/>
  <c r="F21" i="25"/>
  <c r="G20" i="25"/>
  <c r="R20" i="25" s="1"/>
  <c r="G62" i="25"/>
  <c r="G61" i="25"/>
  <c r="AH61" i="25" s="1"/>
  <c r="G60" i="25"/>
  <c r="G15" i="25"/>
  <c r="G66" i="25"/>
  <c r="AH66" i="25" s="1"/>
  <c r="G13" i="25"/>
  <c r="G30" i="25"/>
  <c r="G71" i="25"/>
  <c r="AH71" i="25" s="1"/>
  <c r="G52" i="25"/>
  <c r="AH52" i="25" s="1"/>
  <c r="G27" i="25"/>
  <c r="G8" i="25"/>
  <c r="G42" i="25"/>
  <c r="AH42" i="25" s="1"/>
  <c r="G4" i="25"/>
  <c r="G68" i="25"/>
  <c r="AH68" i="25" s="1"/>
  <c r="G11" i="25"/>
  <c r="G49" i="25"/>
  <c r="G36" i="25"/>
  <c r="G46" i="25"/>
  <c r="G16" i="25"/>
  <c r="G18" i="25"/>
  <c r="G12" i="25"/>
  <c r="R12" i="25" s="1"/>
  <c r="G7" i="25"/>
  <c r="R7" i="25" s="1"/>
  <c r="G14" i="25"/>
  <c r="R14" i="25" s="1"/>
  <c r="G33" i="25"/>
  <c r="G59" i="25"/>
  <c r="AH59" i="25" s="1"/>
  <c r="G58" i="25"/>
  <c r="AH58" i="25" s="1"/>
  <c r="G51" i="25"/>
  <c r="AH51" i="25" s="1"/>
  <c r="G32" i="25"/>
  <c r="AH32" i="25" s="1"/>
  <c r="G29" i="25"/>
  <c r="G127" i="25"/>
  <c r="G129" i="25"/>
  <c r="G130" i="25"/>
  <c r="G131" i="25"/>
  <c r="G133" i="25"/>
  <c r="G134" i="25"/>
  <c r="G141" i="25"/>
  <c r="G142" i="25"/>
  <c r="F129" i="25"/>
  <c r="F130" i="25"/>
  <c r="F131" i="25"/>
  <c r="F132" i="25"/>
  <c r="H132" i="25" s="1"/>
  <c r="F133" i="25"/>
  <c r="F134" i="25"/>
  <c r="F135" i="25"/>
  <c r="H135" i="25" s="1"/>
  <c r="F136" i="25"/>
  <c r="F141" i="25"/>
  <c r="F142" i="25"/>
  <c r="F127" i="25"/>
  <c r="F20" i="25"/>
  <c r="F65" i="25"/>
  <c r="H65" i="25" s="1"/>
  <c r="F62" i="25"/>
  <c r="F61" i="25"/>
  <c r="F63" i="25"/>
  <c r="H63" i="25" s="1"/>
  <c r="F60" i="25"/>
  <c r="F15" i="25"/>
  <c r="F47" i="25"/>
  <c r="F66" i="25"/>
  <c r="F26" i="25"/>
  <c r="H26" i="25" s="1"/>
  <c r="F13" i="25"/>
  <c r="F55" i="25"/>
  <c r="H55" i="25" s="1"/>
  <c r="F45" i="25"/>
  <c r="H45" i="25" s="1"/>
  <c r="F30" i="25"/>
  <c r="F71" i="25"/>
  <c r="F52" i="25"/>
  <c r="F27" i="25"/>
  <c r="F8" i="25"/>
  <c r="F42" i="25"/>
  <c r="F35" i="25"/>
  <c r="F4" i="25"/>
  <c r="F67" i="25"/>
  <c r="H67" i="25" s="1"/>
  <c r="F68" i="25"/>
  <c r="F11" i="25"/>
  <c r="F9" i="25"/>
  <c r="H9" i="25" s="1"/>
  <c r="F10" i="25"/>
  <c r="H10" i="25" s="1"/>
  <c r="F49" i="25"/>
  <c r="F54" i="25"/>
  <c r="H54" i="25" s="1"/>
  <c r="F36" i="25"/>
  <c r="F46" i="25"/>
  <c r="F16" i="25"/>
  <c r="F18" i="25"/>
  <c r="F17" i="25"/>
  <c r="H17" i="25" s="1"/>
  <c r="F12" i="25"/>
  <c r="F7" i="25"/>
  <c r="F53" i="25"/>
  <c r="H53" i="25" s="1"/>
  <c r="F31" i="25"/>
  <c r="H31" i="25" s="1"/>
  <c r="F14" i="25"/>
  <c r="F33" i="25"/>
  <c r="F59" i="25"/>
  <c r="F58" i="25"/>
  <c r="F51" i="25"/>
  <c r="F48" i="25"/>
  <c r="H48" i="25" s="1"/>
  <c r="F37" i="25"/>
  <c r="F69" i="25"/>
  <c r="H69" i="25" s="1"/>
  <c r="F32" i="25"/>
  <c r="F6" i="25"/>
  <c r="H6" i="25" s="1"/>
  <c r="F29" i="25"/>
  <c r="F43" i="25"/>
  <c r="H43" i="25" s="1"/>
  <c r="F28" i="25"/>
  <c r="F5" i="25"/>
  <c r="R8" i="25" l="1"/>
  <c r="AH8" i="25"/>
  <c r="R27" i="25"/>
  <c r="AH27" i="25"/>
  <c r="R33" i="25"/>
  <c r="AH33" i="25"/>
  <c r="R11" i="25"/>
  <c r="AH11" i="25"/>
  <c r="R30" i="25"/>
  <c r="AH30" i="25"/>
  <c r="R13" i="25"/>
  <c r="AH13" i="25"/>
  <c r="R29" i="25"/>
  <c r="AH29" i="25"/>
  <c r="R4" i="25"/>
  <c r="R78" i="25" s="1"/>
  <c r="AH4" i="25"/>
  <c r="R28" i="25"/>
  <c r="AH28" i="25"/>
  <c r="R15" i="25"/>
  <c r="AH15" i="25"/>
  <c r="R34" i="25"/>
  <c r="AH34" i="25"/>
  <c r="A110" i="25"/>
  <c r="A111" i="25" s="1"/>
  <c r="E130" i="1"/>
  <c r="A26" i="25"/>
  <c r="A27" i="25" s="1"/>
  <c r="A28" i="25" s="1"/>
  <c r="A29" i="25" s="1"/>
  <c r="A30" i="25" s="1"/>
  <c r="A31" i="25" s="1"/>
  <c r="A32" i="25" s="1"/>
  <c r="A33" i="25" s="1"/>
  <c r="A34" i="25" s="1"/>
  <c r="A35" i="25" s="1"/>
  <c r="A36" i="25" s="1"/>
  <c r="A37" i="25" s="1"/>
  <c r="A25" i="25"/>
  <c r="G78" i="25"/>
  <c r="F80" i="25"/>
  <c r="G79" i="25"/>
  <c r="G80" i="25"/>
  <c r="H5" i="25"/>
  <c r="H7" i="25"/>
  <c r="H13" i="25"/>
  <c r="H134" i="25"/>
  <c r="H49" i="25"/>
  <c r="H129" i="25"/>
  <c r="H30" i="25"/>
  <c r="H21" i="25"/>
  <c r="H68" i="25"/>
  <c r="H131" i="25"/>
  <c r="H59" i="25"/>
  <c r="H36" i="25"/>
  <c r="H62" i="25"/>
  <c r="H142" i="25"/>
  <c r="H29" i="25"/>
  <c r="H12" i="25"/>
  <c r="H4" i="25"/>
  <c r="H66" i="25"/>
  <c r="H28" i="25"/>
  <c r="H141" i="25"/>
  <c r="H32" i="25"/>
  <c r="H18" i="25"/>
  <c r="H42" i="25"/>
  <c r="H15" i="25"/>
  <c r="H34" i="25"/>
  <c r="H14" i="25"/>
  <c r="H11" i="25"/>
  <c r="H127" i="25"/>
  <c r="H51" i="25"/>
  <c r="H16" i="25"/>
  <c r="H8" i="25"/>
  <c r="H60" i="25"/>
  <c r="H136" i="25"/>
  <c r="H133" i="25"/>
  <c r="H58" i="25"/>
  <c r="H46" i="25"/>
  <c r="H27" i="25"/>
  <c r="H61" i="25"/>
  <c r="H35" i="25"/>
  <c r="H37" i="25"/>
  <c r="H52" i="25"/>
  <c r="H130" i="25"/>
  <c r="H33" i="25"/>
  <c r="H71" i="25"/>
  <c r="H20" i="25"/>
  <c r="H47" i="25"/>
  <c r="E95" i="1"/>
  <c r="F146" i="25"/>
  <c r="G146" i="25"/>
  <c r="E51" i="1" s="1"/>
  <c r="F78" i="25"/>
  <c r="E146" i="25"/>
  <c r="E78" i="25"/>
  <c r="A131" i="25"/>
  <c r="A132" i="25" s="1"/>
  <c r="A133" i="25" s="1"/>
  <c r="A134" i="25" s="1"/>
  <c r="A135" i="25" s="1"/>
  <c r="A136" i="25" s="1"/>
  <c r="A137" i="25" s="1"/>
  <c r="A138" i="25" s="1"/>
  <c r="AH78" i="25" l="1"/>
  <c r="A112" i="25"/>
  <c r="A113" i="25" s="1"/>
  <c r="A114" i="25" s="1"/>
  <c r="A115" i="25" s="1"/>
  <c r="A116" i="25" s="1"/>
  <c r="A117" i="25" s="1"/>
  <c r="A139" i="25"/>
  <c r="F81" i="25"/>
  <c r="A38" i="25"/>
  <c r="A39" i="25" s="1"/>
  <c r="A40" i="25" s="1"/>
  <c r="H79" i="25"/>
  <c r="E41" i="1"/>
  <c r="E48" i="1" s="1"/>
  <c r="G81" i="25"/>
  <c r="H146" i="25"/>
  <c r="H78" i="25"/>
  <c r="G160" i="25"/>
  <c r="E160" i="25"/>
  <c r="F160" i="25"/>
  <c r="Z55" i="1"/>
  <c r="A118" i="25" l="1"/>
  <c r="A119" i="25" s="1"/>
  <c r="A120" i="25" s="1"/>
  <c r="A121" i="25" s="1"/>
  <c r="A122" i="25" s="1"/>
  <c r="A123" i="25" s="1"/>
  <c r="E38" i="1"/>
  <c r="E9" i="1" s="1"/>
  <c r="A141" i="25"/>
  <c r="A142" i="25" s="1"/>
  <c r="A143" i="25" s="1"/>
  <c r="A144" i="25" s="1"/>
  <c r="A145" i="25" s="1"/>
  <c r="A140" i="25"/>
  <c r="A41" i="25"/>
  <c r="A42" i="25" s="1"/>
  <c r="A43" i="25" s="1"/>
  <c r="R22" i="1"/>
  <c r="E7" i="1" l="1"/>
  <c r="E160" i="1"/>
  <c r="G159" i="1" s="1"/>
  <c r="G161" i="1" s="1"/>
  <c r="G143" i="1" s="1"/>
  <c r="E70" i="1"/>
  <c r="E71" i="1" s="1"/>
  <c r="E85" i="1"/>
  <c r="E74" i="1" s="1"/>
  <c r="E73" i="1" s="1"/>
  <c r="E108" i="1"/>
  <c r="A44" i="25"/>
  <c r="A45" i="25" s="1"/>
  <c r="A46" i="25" s="1"/>
  <c r="A47" i="25" s="1"/>
  <c r="A48" i="25" s="1"/>
  <c r="A49" i="25" s="1"/>
  <c r="B64" i="23"/>
  <c r="N55" i="1"/>
  <c r="P55" i="1"/>
  <c r="R55" i="1"/>
  <c r="T55" i="1"/>
  <c r="H32" i="1"/>
  <c r="H14" i="16"/>
  <c r="D23" i="1"/>
  <c r="D87" i="1"/>
  <c r="Z92" i="1"/>
  <c r="L92" i="1"/>
  <c r="N92" i="1"/>
  <c r="P92" i="1"/>
  <c r="R92" i="1"/>
  <c r="T92" i="1"/>
  <c r="V92" i="1"/>
  <c r="J92" i="1"/>
  <c r="Z69" i="1"/>
  <c r="V69" i="1"/>
  <c r="S58" i="1" s="1"/>
  <c r="S70" i="1" s="1"/>
  <c r="S71" i="1" s="1"/>
  <c r="T69" i="1"/>
  <c r="Q58" i="1" s="1"/>
  <c r="Q70" i="1" s="1"/>
  <c r="R69" i="1"/>
  <c r="O58" i="1" s="1"/>
  <c r="O70" i="1" s="1"/>
  <c r="O71" i="1" s="1"/>
  <c r="P69" i="1"/>
  <c r="M58" i="1" s="1"/>
  <c r="M70" i="1" s="1"/>
  <c r="M71" i="1" s="1"/>
  <c r="N69" i="1"/>
  <c r="I58" i="1" s="1"/>
  <c r="I70" i="1" s="1"/>
  <c r="L69" i="1"/>
  <c r="J69" i="1"/>
  <c r="G58" i="1" s="1"/>
  <c r="G70" i="1" s="1"/>
  <c r="H69" i="1"/>
  <c r="H92" i="1"/>
  <c r="F92" i="1"/>
  <c r="D92" i="1"/>
  <c r="F57" i="1"/>
  <c r="H57" i="1"/>
  <c r="J57" i="1"/>
  <c r="L57" i="1"/>
  <c r="N57" i="1"/>
  <c r="P57" i="1"/>
  <c r="R57" i="1"/>
  <c r="T57" i="1"/>
  <c r="V57" i="1"/>
  <c r="Z57" i="1"/>
  <c r="D57" i="1"/>
  <c r="J79" i="1"/>
  <c r="L79" i="1"/>
  <c r="N79" i="1"/>
  <c r="P79" i="1"/>
  <c r="R79" i="1"/>
  <c r="T79" i="1"/>
  <c r="Z79" i="1"/>
  <c r="H79" i="1"/>
  <c r="F94" i="1"/>
  <c r="F44" i="1"/>
  <c r="H44" i="1"/>
  <c r="J44" i="1"/>
  <c r="L44" i="1"/>
  <c r="N44" i="1"/>
  <c r="P44" i="1"/>
  <c r="R44" i="1"/>
  <c r="T44" i="1"/>
  <c r="V44" i="1"/>
  <c r="Z44" i="1"/>
  <c r="D44" i="1"/>
  <c r="Q219" i="9"/>
  <c r="N8" i="22"/>
  <c r="N7" i="22"/>
  <c r="W58" i="1" l="1"/>
  <c r="W70" i="1" s="1"/>
  <c r="W71" i="1" s="1"/>
  <c r="Q71" i="1"/>
  <c r="Q105" i="1"/>
  <c r="E142" i="1"/>
  <c r="I71" i="1"/>
  <c r="I105" i="1"/>
  <c r="G71" i="1"/>
  <c r="G105" i="1"/>
  <c r="A51" i="25"/>
  <c r="A52" i="25" s="1"/>
  <c r="A53" i="25" s="1"/>
  <c r="A54" i="25" s="1"/>
  <c r="A55" i="25" s="1"/>
  <c r="A57" i="25" s="1"/>
  <c r="A58" i="25" s="1"/>
  <c r="A59" i="25" s="1"/>
  <c r="A60" i="25" s="1"/>
  <c r="A61" i="25" s="1"/>
  <c r="A62" i="25" s="1"/>
  <c r="A63" i="25" s="1"/>
  <c r="A50" i="25"/>
  <c r="E105" i="1"/>
  <c r="E106" i="1" s="1"/>
  <c r="F15" i="1"/>
  <c r="H15" i="1" s="1"/>
  <c r="F14" i="1"/>
  <c r="D18" i="1"/>
  <c r="D17" i="1"/>
  <c r="F20" i="1"/>
  <c r="F18" i="1" s="1"/>
  <c r="F19" i="1"/>
  <c r="F17" i="1" s="1"/>
  <c r="J23" i="1"/>
  <c r="P23" i="1"/>
  <c r="R23" i="1"/>
  <c r="T23" i="1"/>
  <c r="V23" i="1"/>
  <c r="Z23" i="1"/>
  <c r="L25" i="1"/>
  <c r="L23" i="1" s="1"/>
  <c r="L24" i="1"/>
  <c r="N24" i="1" s="1"/>
  <c r="F25" i="1"/>
  <c r="F23" i="1" s="1"/>
  <c r="F24" i="1"/>
  <c r="H24" i="1" s="1"/>
  <c r="D22" i="1"/>
  <c r="D27" i="1"/>
  <c r="F27" i="1"/>
  <c r="H27" i="1"/>
  <c r="J27" i="1"/>
  <c r="L27" i="1"/>
  <c r="N27" i="1"/>
  <c r="P27" i="1"/>
  <c r="R27" i="1"/>
  <c r="T27" i="1"/>
  <c r="V27" i="1"/>
  <c r="Z27" i="1"/>
  <c r="F33" i="1"/>
  <c r="H33" i="1" s="1"/>
  <c r="J33" i="1" s="1"/>
  <c r="B8" i="22"/>
  <c r="H45" i="1" s="1"/>
  <c r="K38" i="23"/>
  <c r="H35" i="23"/>
  <c r="H56" i="1"/>
  <c r="J56" i="1"/>
  <c r="L56" i="1"/>
  <c r="N56" i="1"/>
  <c r="P56" i="1"/>
  <c r="R56" i="1"/>
  <c r="T56" i="1"/>
  <c r="Z56" i="1"/>
  <c r="F56" i="1"/>
  <c r="F72" i="23"/>
  <c r="E72" i="23"/>
  <c r="D72" i="23"/>
  <c r="C72" i="23"/>
  <c r="B72" i="23"/>
  <c r="B70" i="23"/>
  <c r="H25" i="23"/>
  <c r="K25" i="23" s="1"/>
  <c r="E32" i="23"/>
  <c r="K58" i="23"/>
  <c r="H55" i="23"/>
  <c r="E44" i="23"/>
  <c r="K55" i="23"/>
  <c r="L55" i="23" s="1"/>
  <c r="M55" i="23" s="1"/>
  <c r="N55" i="23" s="1"/>
  <c r="O55" i="23" s="1"/>
  <c r="I54" i="23"/>
  <c r="J54" i="23" s="1"/>
  <c r="K54" i="23" s="1"/>
  <c r="L54" i="23" s="1"/>
  <c r="M54" i="23" s="1"/>
  <c r="N54" i="23" s="1"/>
  <c r="B61" i="23"/>
  <c r="D34" i="1" s="1"/>
  <c r="D35" i="1" s="1"/>
  <c r="D9" i="24" s="1"/>
  <c r="B29" i="23"/>
  <c r="B41" i="23" s="1"/>
  <c r="B8" i="23"/>
  <c r="W105" i="1" l="1"/>
  <c r="W112" i="1" s="1"/>
  <c r="Q112" i="1"/>
  <c r="Q164" i="1"/>
  <c r="Q167" i="1" s="1"/>
  <c r="Q106" i="1"/>
  <c r="A64" i="25"/>
  <c r="A65" i="25" s="1"/>
  <c r="A66" i="25" s="1"/>
  <c r="A67" i="25" s="1"/>
  <c r="A68" i="25" s="1"/>
  <c r="A69" i="25" s="1"/>
  <c r="A70" i="25" s="1"/>
  <c r="A71" i="25" s="1"/>
  <c r="A72" i="25" s="1"/>
  <c r="A73" i="25" s="1"/>
  <c r="I164" i="1"/>
  <c r="I167" i="1" s="1"/>
  <c r="I112" i="1"/>
  <c r="I106" i="1"/>
  <c r="G106" i="1"/>
  <c r="G112" i="1"/>
  <c r="G164" i="1"/>
  <c r="G167" i="1" s="1"/>
  <c r="A56" i="25"/>
  <c r="E112" i="1"/>
  <c r="E116" i="1" s="1"/>
  <c r="H20" i="1"/>
  <c r="J20" i="1" s="1"/>
  <c r="L20" i="1" s="1"/>
  <c r="N20" i="1" s="1"/>
  <c r="P20" i="1" s="1"/>
  <c r="R20" i="1" s="1"/>
  <c r="T20" i="1" s="1"/>
  <c r="V20" i="1" s="1"/>
  <c r="H19" i="1"/>
  <c r="J19" i="1" s="1"/>
  <c r="L19" i="1" s="1"/>
  <c r="N19" i="1" s="1"/>
  <c r="H14" i="1"/>
  <c r="J14" i="1" s="1"/>
  <c r="N25" i="1"/>
  <c r="N23" i="1" s="1"/>
  <c r="H25" i="1"/>
  <c r="H23" i="1" s="1"/>
  <c r="C23" i="1" s="1"/>
  <c r="J15" i="1"/>
  <c r="D21" i="1"/>
  <c r="L33" i="1"/>
  <c r="K56" i="23"/>
  <c r="L56" i="23" s="1"/>
  <c r="M56" i="23" s="1"/>
  <c r="N56" i="23" s="1"/>
  <c r="O56" i="23" s="1"/>
  <c r="P56" i="23" s="1"/>
  <c r="D49" i="23"/>
  <c r="L57" i="23"/>
  <c r="M57" i="23" s="1"/>
  <c r="N57" i="23" s="1"/>
  <c r="O57" i="23" s="1"/>
  <c r="P57" i="23" s="1"/>
  <c r="Q57" i="23" s="1"/>
  <c r="C50" i="23"/>
  <c r="C29" i="23"/>
  <c r="C30" i="23"/>
  <c r="D30" i="23" s="1"/>
  <c r="W106" i="1" l="1"/>
  <c r="W164" i="1"/>
  <c r="W167" i="1" s="1"/>
  <c r="X20" i="1"/>
  <c r="X18" i="1" s="1"/>
  <c r="W116" i="1"/>
  <c r="W113" i="1"/>
  <c r="A74" i="25"/>
  <c r="A75" i="25" s="1"/>
  <c r="A76" i="25" s="1"/>
  <c r="A77" i="25" s="1"/>
  <c r="Q116" i="1"/>
  <c r="Q113" i="1"/>
  <c r="I116" i="1"/>
  <c r="I113" i="1"/>
  <c r="G113" i="1"/>
  <c r="G116" i="1"/>
  <c r="E114" i="1"/>
  <c r="G114" i="1" s="1"/>
  <c r="I114" i="1" s="1"/>
  <c r="E113" i="1"/>
  <c r="H18" i="1"/>
  <c r="N17" i="1"/>
  <c r="P19" i="1"/>
  <c r="P17" i="1" s="1"/>
  <c r="R19" i="1"/>
  <c r="V18" i="1"/>
  <c r="P18" i="1"/>
  <c r="R18" i="1"/>
  <c r="J18" i="1"/>
  <c r="L18" i="1"/>
  <c r="N18" i="1"/>
  <c r="T18" i="1"/>
  <c r="H17" i="1"/>
  <c r="L17" i="1"/>
  <c r="L14" i="1"/>
  <c r="J17" i="1"/>
  <c r="L15" i="1"/>
  <c r="J32" i="1"/>
  <c r="L32" i="1" s="1"/>
  <c r="N32" i="1" s="1"/>
  <c r="N33" i="1"/>
  <c r="D51" i="23"/>
  <c r="E52" i="23" s="1"/>
  <c r="F53" i="23" s="1"/>
  <c r="C61" i="23"/>
  <c r="F34" i="1" s="1"/>
  <c r="E49" i="23"/>
  <c r="D61" i="23"/>
  <c r="H34" i="1" s="1"/>
  <c r="H35" i="1" s="1"/>
  <c r="F9" i="24" s="1"/>
  <c r="M58" i="23"/>
  <c r="N58" i="23" s="1"/>
  <c r="F49" i="23"/>
  <c r="E50" i="23"/>
  <c r="F50" i="23" s="1"/>
  <c r="G50" i="23" s="1"/>
  <c r="H50" i="23" s="1"/>
  <c r="I50" i="23" s="1"/>
  <c r="J50" i="23" s="1"/>
  <c r="C41" i="23"/>
  <c r="D29" i="23"/>
  <c r="E30" i="23"/>
  <c r="F30" i="23" s="1"/>
  <c r="G30" i="23" s="1"/>
  <c r="H30" i="23" s="1"/>
  <c r="I30" i="23" s="1"/>
  <c r="J30" i="23" s="1"/>
  <c r="D31" i="23"/>
  <c r="E31" i="23" s="1"/>
  <c r="C8" i="23"/>
  <c r="B21" i="23"/>
  <c r="C9" i="23"/>
  <c r="D9" i="23" s="1"/>
  <c r="Z20" i="1" l="1"/>
  <c r="Z18" i="1" s="1"/>
  <c r="C18" i="1" s="1"/>
  <c r="N14" i="1"/>
  <c r="P14" i="1" s="1"/>
  <c r="P32" i="1"/>
  <c r="R32" i="1"/>
  <c r="T32" i="1" s="1"/>
  <c r="N15" i="1"/>
  <c r="F35" i="1"/>
  <c r="E9" i="24" s="1"/>
  <c r="E61" i="23"/>
  <c r="J34" i="1" s="1"/>
  <c r="J35" i="1" s="1"/>
  <c r="G9" i="24" s="1"/>
  <c r="G54" i="23"/>
  <c r="I56" i="23"/>
  <c r="G49" i="23"/>
  <c r="N59" i="23"/>
  <c r="O59" i="23" s="1"/>
  <c r="P59" i="23" s="1"/>
  <c r="Q59" i="23" s="1"/>
  <c r="R59" i="23" s="1"/>
  <c r="S59" i="23" s="1"/>
  <c r="O58" i="23"/>
  <c r="F31" i="23"/>
  <c r="G31" i="23" s="1"/>
  <c r="H31" i="23" s="1"/>
  <c r="I31" i="23" s="1"/>
  <c r="J31" i="23" s="1"/>
  <c r="K31" i="23" s="1"/>
  <c r="F32" i="23"/>
  <c r="D41" i="23"/>
  <c r="E29" i="23"/>
  <c r="E9" i="23"/>
  <c r="F9" i="23" s="1"/>
  <c r="G9" i="23" s="1"/>
  <c r="H9" i="23" s="1"/>
  <c r="I9" i="23" s="1"/>
  <c r="J9" i="23" s="1"/>
  <c r="K9" i="23" s="1"/>
  <c r="L9" i="23" s="1"/>
  <c r="M9" i="23" s="1"/>
  <c r="N9" i="23" s="1"/>
  <c r="D10" i="23"/>
  <c r="E10" i="23" s="1"/>
  <c r="D8" i="23"/>
  <c r="C21" i="23"/>
  <c r="C64" i="23" s="1"/>
  <c r="AB18" i="1" l="1"/>
  <c r="T19" i="1"/>
  <c r="R17" i="1"/>
  <c r="R14" i="1"/>
  <c r="P15" i="1"/>
  <c r="V32" i="1"/>
  <c r="X32" i="1" s="1"/>
  <c r="X35" i="1" s="1"/>
  <c r="J57" i="23"/>
  <c r="P58" i="23"/>
  <c r="H49" i="23"/>
  <c r="F51" i="23"/>
  <c r="F61" i="23" s="1"/>
  <c r="L34" i="1" s="1"/>
  <c r="L35" i="1" s="1"/>
  <c r="H9" i="24" s="1"/>
  <c r="G32" i="23"/>
  <c r="H32" i="23" s="1"/>
  <c r="I32" i="23" s="1"/>
  <c r="J32" i="23" s="1"/>
  <c r="K32" i="23" s="1"/>
  <c r="L32" i="23" s="1"/>
  <c r="F33" i="23"/>
  <c r="G33" i="23" s="1"/>
  <c r="E41" i="23"/>
  <c r="F29" i="23"/>
  <c r="E8" i="23"/>
  <c r="D21" i="23"/>
  <c r="D64" i="23" s="1"/>
  <c r="F10" i="23"/>
  <c r="G10" i="23" s="1"/>
  <c r="H10" i="23" s="1"/>
  <c r="I10" i="23" s="1"/>
  <c r="J10" i="23" s="1"/>
  <c r="K10" i="23" s="1"/>
  <c r="L10" i="23" s="1"/>
  <c r="M10" i="23" s="1"/>
  <c r="N10" i="23" s="1"/>
  <c r="O10" i="23" s="1"/>
  <c r="E11" i="23"/>
  <c r="F11" i="23" s="1"/>
  <c r="V19" i="1" l="1"/>
  <c r="X19" i="1" s="1"/>
  <c r="X17" i="1" s="1"/>
  <c r="X16" i="1" s="1"/>
  <c r="T17" i="1"/>
  <c r="T14" i="1"/>
  <c r="R15" i="1"/>
  <c r="H33" i="23"/>
  <c r="I33" i="23" s="1"/>
  <c r="J33" i="23" s="1"/>
  <c r="K33" i="23" s="1"/>
  <c r="L33" i="23" s="1"/>
  <c r="M33" i="23" s="1"/>
  <c r="G34" i="23"/>
  <c r="H34" i="23" s="1"/>
  <c r="G51" i="23"/>
  <c r="I49" i="23"/>
  <c r="Q58" i="23"/>
  <c r="G29" i="23"/>
  <c r="F41" i="23"/>
  <c r="E21" i="23"/>
  <c r="E64" i="23" s="1"/>
  <c r="F8" i="23"/>
  <c r="G11" i="23"/>
  <c r="H11" i="23" s="1"/>
  <c r="I11" i="23" s="1"/>
  <c r="J11" i="23" s="1"/>
  <c r="F12" i="23"/>
  <c r="G12" i="23" s="1"/>
  <c r="V17" i="1" l="1"/>
  <c r="V14" i="1"/>
  <c r="X14" i="1" s="1"/>
  <c r="T15" i="1"/>
  <c r="Z32" i="1"/>
  <c r="I34" i="23"/>
  <c r="J34" i="23" s="1"/>
  <c r="K34" i="23" s="1"/>
  <c r="L34" i="23" s="1"/>
  <c r="M34" i="23" s="1"/>
  <c r="N34" i="23" s="1"/>
  <c r="I35" i="23"/>
  <c r="H12" i="23"/>
  <c r="I12" i="23" s="1"/>
  <c r="J12" i="23" s="1"/>
  <c r="K12" i="23" s="1"/>
  <c r="L12" i="23" s="1"/>
  <c r="M12" i="23" s="1"/>
  <c r="N12" i="23" s="1"/>
  <c r="O12" i="23" s="1"/>
  <c r="P12" i="23" s="1"/>
  <c r="Q12" i="23" s="1"/>
  <c r="G13" i="23"/>
  <c r="H13" i="23" s="1"/>
  <c r="L59" i="23"/>
  <c r="R58" i="23"/>
  <c r="H51" i="23"/>
  <c r="G52" i="23"/>
  <c r="H52" i="23" s="1"/>
  <c r="I52" i="23" s="1"/>
  <c r="J52" i="23" s="1"/>
  <c r="K52" i="23" s="1"/>
  <c r="L52" i="23" s="1"/>
  <c r="H29" i="23"/>
  <c r="G41" i="23"/>
  <c r="G8" i="23"/>
  <c r="F21" i="23"/>
  <c r="F64" i="23" s="1"/>
  <c r="K11" i="23"/>
  <c r="Z19" i="1" l="1"/>
  <c r="Z17" i="1" s="1"/>
  <c r="V15" i="1"/>
  <c r="X15" i="1" s="1"/>
  <c r="J35" i="23"/>
  <c r="K35" i="23" s="1"/>
  <c r="L35" i="23" s="1"/>
  <c r="M35" i="23" s="1"/>
  <c r="N35" i="23" s="1"/>
  <c r="O35" i="23" s="1"/>
  <c r="I36" i="23"/>
  <c r="G61" i="23"/>
  <c r="N34" i="1" s="1"/>
  <c r="H61" i="23"/>
  <c r="P34" i="1" s="1"/>
  <c r="P35" i="1" s="1"/>
  <c r="J9" i="24" s="1"/>
  <c r="I13" i="23"/>
  <c r="J13" i="23" s="1"/>
  <c r="K13" i="23" s="1"/>
  <c r="L13" i="23" s="1"/>
  <c r="M13" i="23" s="1"/>
  <c r="N13" i="23" s="1"/>
  <c r="O13" i="23" s="1"/>
  <c r="P13" i="23" s="1"/>
  <c r="Q13" i="23" s="1"/>
  <c r="R13" i="23" s="1"/>
  <c r="H14" i="23"/>
  <c r="I14" i="23" s="1"/>
  <c r="M60" i="23"/>
  <c r="I53" i="23"/>
  <c r="J53" i="23" s="1"/>
  <c r="K53" i="23" s="1"/>
  <c r="L53" i="23" s="1"/>
  <c r="M53" i="23" s="1"/>
  <c r="I51" i="23"/>
  <c r="I61" i="23" s="1"/>
  <c r="R34" i="1" s="1"/>
  <c r="R35" i="1" s="1"/>
  <c r="K9" i="24" s="1"/>
  <c r="I29" i="23"/>
  <c r="C70" i="23" s="1"/>
  <c r="H41" i="23"/>
  <c r="L11" i="23"/>
  <c r="H8" i="23"/>
  <c r="G21" i="23"/>
  <c r="G64" i="23" s="1"/>
  <c r="C17" i="1" l="1"/>
  <c r="C16" i="1" s="1"/>
  <c r="AB17" i="1"/>
  <c r="Z14" i="1"/>
  <c r="N35" i="1"/>
  <c r="I9" i="24" s="1"/>
  <c r="D70" i="23"/>
  <c r="J37" i="23"/>
  <c r="K37" i="23" s="1"/>
  <c r="J36" i="23"/>
  <c r="K36" i="23" s="1"/>
  <c r="L36" i="23" s="1"/>
  <c r="M36" i="23" s="1"/>
  <c r="N36" i="23" s="1"/>
  <c r="O36" i="23" s="1"/>
  <c r="P36" i="23" s="1"/>
  <c r="M61" i="23"/>
  <c r="Z34" i="1" s="1"/>
  <c r="Z35" i="1" s="1"/>
  <c r="O9" i="24" s="1"/>
  <c r="J14" i="23"/>
  <c r="K14" i="23" s="1"/>
  <c r="L14" i="23" s="1"/>
  <c r="M14" i="23" s="1"/>
  <c r="N14" i="23" s="1"/>
  <c r="O14" i="23" s="1"/>
  <c r="P14" i="23" s="1"/>
  <c r="Q14" i="23" s="1"/>
  <c r="R14" i="23" s="1"/>
  <c r="S14" i="23" s="1"/>
  <c r="I15" i="23"/>
  <c r="L61" i="23"/>
  <c r="N9" i="24" s="1"/>
  <c r="J51" i="23"/>
  <c r="J61" i="23" s="1"/>
  <c r="T34" i="1" s="1"/>
  <c r="T35" i="1" s="1"/>
  <c r="L9" i="24" s="1"/>
  <c r="M11" i="23"/>
  <c r="N11" i="23" s="1"/>
  <c r="I41" i="23"/>
  <c r="I8" i="23"/>
  <c r="H21" i="23"/>
  <c r="H64" i="23" s="1"/>
  <c r="Y11" i="1" l="1"/>
  <c r="Y10" i="1" s="1"/>
  <c r="X12" i="1"/>
  <c r="X13" i="1"/>
  <c r="U11" i="1"/>
  <c r="U10" i="1" s="1"/>
  <c r="S11" i="1"/>
  <c r="S10" i="1" s="1"/>
  <c r="Q11" i="1"/>
  <c r="Q10" i="1" s="1"/>
  <c r="L12" i="1"/>
  <c r="L13" i="1"/>
  <c r="K11" i="1"/>
  <c r="K10" i="1" s="1"/>
  <c r="G11" i="1"/>
  <c r="G10" i="1" s="1"/>
  <c r="Z15" i="1"/>
  <c r="L38" i="23"/>
  <c r="L37" i="23"/>
  <c r="M37" i="23" s="1"/>
  <c r="N37" i="23" s="1"/>
  <c r="O37" i="23" s="1"/>
  <c r="J15" i="23"/>
  <c r="K15" i="23" s="1"/>
  <c r="L15" i="23" s="1"/>
  <c r="M15" i="23" s="1"/>
  <c r="N15" i="23" s="1"/>
  <c r="O15" i="23" s="1"/>
  <c r="P15" i="23" s="1"/>
  <c r="Q15" i="23" s="1"/>
  <c r="R15" i="23" s="1"/>
  <c r="S15" i="23" s="1"/>
  <c r="T15" i="23" s="1"/>
  <c r="J16" i="23"/>
  <c r="K16" i="23" s="1"/>
  <c r="K51" i="23"/>
  <c r="K61" i="23" s="1"/>
  <c r="V34" i="1" s="1"/>
  <c r="V35" i="1" s="1"/>
  <c r="M9" i="24" s="1"/>
  <c r="P9" i="24" s="1"/>
  <c r="I21" i="23"/>
  <c r="I64" i="23" s="1"/>
  <c r="J8" i="23"/>
  <c r="O11" i="23"/>
  <c r="J41" i="23"/>
  <c r="X11" i="1" l="1"/>
  <c r="X10" i="1" s="1"/>
  <c r="W11" i="1"/>
  <c r="W10" i="1" s="1"/>
  <c r="AC10" i="1" s="1"/>
  <c r="O11" i="1"/>
  <c r="O10" i="1" s="1"/>
  <c r="M11" i="1"/>
  <c r="M10" i="1" s="1"/>
  <c r="E11" i="1"/>
  <c r="E10" i="1" s="1"/>
  <c r="D13" i="1"/>
  <c r="C13" i="1" s="1"/>
  <c r="AB13" i="1" s="1"/>
  <c r="Z13" i="1"/>
  <c r="D12" i="1"/>
  <c r="C12" i="1" s="1"/>
  <c r="AB12" i="1" s="1"/>
  <c r="H13" i="1"/>
  <c r="F13" i="1"/>
  <c r="F12" i="1"/>
  <c r="H12" i="1"/>
  <c r="J12" i="1"/>
  <c r="J13" i="1"/>
  <c r="N12" i="1"/>
  <c r="P12" i="1"/>
  <c r="N13" i="1"/>
  <c r="R12" i="1"/>
  <c r="P13" i="1"/>
  <c r="T12" i="1"/>
  <c r="R13" i="1"/>
  <c r="V12" i="1"/>
  <c r="T13" i="1"/>
  <c r="V13" i="1"/>
  <c r="Z12" i="1"/>
  <c r="I65" i="23"/>
  <c r="P37" i="23"/>
  <c r="M38" i="23"/>
  <c r="N38" i="23" s="1"/>
  <c r="O38" i="23" s="1"/>
  <c r="P38" i="23" s="1"/>
  <c r="Q38" i="23" s="1"/>
  <c r="R38" i="23" s="1"/>
  <c r="L39" i="23"/>
  <c r="M39" i="23" s="1"/>
  <c r="N61" i="23"/>
  <c r="K17" i="23"/>
  <c r="L17" i="23" s="1"/>
  <c r="L16" i="23"/>
  <c r="M16" i="23" s="1"/>
  <c r="N16" i="23" s="1"/>
  <c r="O16" i="23" s="1"/>
  <c r="P16" i="23" s="1"/>
  <c r="Q16" i="23" s="1"/>
  <c r="R16" i="23" s="1"/>
  <c r="S16" i="23" s="1"/>
  <c r="T16" i="23" s="1"/>
  <c r="P11" i="23"/>
  <c r="K8" i="23"/>
  <c r="J21" i="23"/>
  <c r="J64" i="23" s="1"/>
  <c r="K41" i="23"/>
  <c r="E70" i="23" l="1"/>
  <c r="F70" i="23" s="1"/>
  <c r="N39" i="23"/>
  <c r="O39" i="23" s="1"/>
  <c r="P39" i="23" s="1"/>
  <c r="Q39" i="23" s="1"/>
  <c r="R39" i="23" s="1"/>
  <c r="S39" i="23" s="1"/>
  <c r="M40" i="23"/>
  <c r="N40" i="23" s="1"/>
  <c r="O40" i="23" s="1"/>
  <c r="P40" i="23" s="1"/>
  <c r="Q40" i="23" s="1"/>
  <c r="R40" i="23" s="1"/>
  <c r="S40" i="23" s="1"/>
  <c r="T40" i="23" s="1"/>
  <c r="T41" i="23" s="1"/>
  <c r="Q37" i="23"/>
  <c r="L18" i="23"/>
  <c r="M18" i="23" s="1"/>
  <c r="M17" i="23"/>
  <c r="N17" i="23" s="1"/>
  <c r="O17" i="23" s="1"/>
  <c r="K21" i="23"/>
  <c r="K64" i="23" s="1"/>
  <c r="L8" i="23"/>
  <c r="L41" i="23"/>
  <c r="M41" i="23" l="1"/>
  <c r="Q41" i="23"/>
  <c r="O41" i="23"/>
  <c r="P41" i="23"/>
  <c r="R41" i="23"/>
  <c r="N41" i="23"/>
  <c r="S41" i="23"/>
  <c r="P17" i="23"/>
  <c r="M19" i="23"/>
  <c r="N19" i="23" s="1"/>
  <c r="O19" i="23" s="1"/>
  <c r="P19" i="23" s="1"/>
  <c r="Q19" i="23" s="1"/>
  <c r="N18" i="23"/>
  <c r="M8" i="23"/>
  <c r="B69" i="23" s="1"/>
  <c r="B74" i="23" s="1"/>
  <c r="L21" i="23"/>
  <c r="L64" i="23" s="1"/>
  <c r="M21" i="23" l="1"/>
  <c r="M64" i="23" s="1"/>
  <c r="N64" i="23" s="1"/>
  <c r="N65" i="23" s="1"/>
  <c r="C69" i="23"/>
  <c r="U41" i="23"/>
  <c r="O18" i="23"/>
  <c r="N21" i="23"/>
  <c r="R19" i="23"/>
  <c r="S19" i="23" s="1"/>
  <c r="T19" i="23" s="1"/>
  <c r="Q17" i="23"/>
  <c r="R17" i="23" s="1"/>
  <c r="S17" i="23" s="1"/>
  <c r="T17" i="23" s="1"/>
  <c r="U17" i="23" s="1"/>
  <c r="N22" i="23"/>
  <c r="D69" i="23" l="1"/>
  <c r="C74" i="23"/>
  <c r="C75" i="23" s="1"/>
  <c r="U19" i="23"/>
  <c r="V19" i="23" s="1"/>
  <c r="W19" i="23" s="1"/>
  <c r="P18" i="23"/>
  <c r="O21" i="23"/>
  <c r="C8" i="22"/>
  <c r="J45" i="1" s="1"/>
  <c r="D8" i="22"/>
  <c r="L45" i="1" s="1"/>
  <c r="E8" i="22"/>
  <c r="N45" i="1" s="1"/>
  <c r="F8" i="22"/>
  <c r="P45" i="1" s="1"/>
  <c r="G8" i="22"/>
  <c r="R45" i="1" s="1"/>
  <c r="H8" i="22"/>
  <c r="T45" i="1" s="1"/>
  <c r="I8" i="22"/>
  <c r="V45" i="1" s="1"/>
  <c r="J8" i="22"/>
  <c r="K8" i="22"/>
  <c r="Z45" i="1" s="1"/>
  <c r="L8" i="22"/>
  <c r="M8" i="22"/>
  <c r="E69" i="23" l="1"/>
  <c r="D74" i="23"/>
  <c r="D75" i="23" s="1"/>
  <c r="Q18" i="23"/>
  <c r="P21" i="23"/>
  <c r="F68" i="16"/>
  <c r="J53" i="1"/>
  <c r="G64" i="16"/>
  <c r="H64" i="16" s="1"/>
  <c r="K63" i="16"/>
  <c r="G63" i="16"/>
  <c r="H63" i="16" s="1"/>
  <c r="K62" i="16"/>
  <c r="G62" i="16"/>
  <c r="H62" i="16" s="1"/>
  <c r="K61" i="16"/>
  <c r="G61" i="16"/>
  <c r="H61" i="16" s="1"/>
  <c r="K60" i="16"/>
  <c r="G60" i="16"/>
  <c r="H60" i="16" s="1"/>
  <c r="H57" i="16"/>
  <c r="I57" i="16" s="1"/>
  <c r="H56" i="16"/>
  <c r="I56" i="16" s="1"/>
  <c r="H55" i="16"/>
  <c r="I55" i="16" s="1"/>
  <c r="O52" i="16"/>
  <c r="Q52" i="16" s="1"/>
  <c r="P52" i="16" s="1"/>
  <c r="H52" i="16"/>
  <c r="I52" i="16" s="1"/>
  <c r="O51" i="16"/>
  <c r="Q51" i="16" s="1"/>
  <c r="P51" i="16" s="1"/>
  <c r="H51" i="16"/>
  <c r="I51" i="16" s="1"/>
  <c r="O50" i="16"/>
  <c r="Q50" i="16" s="1"/>
  <c r="H50" i="16"/>
  <c r="I50" i="16" s="1"/>
  <c r="O49" i="16"/>
  <c r="Q49" i="16" s="1"/>
  <c r="P49" i="16" s="1"/>
  <c r="H49" i="16"/>
  <c r="I49" i="16" s="1"/>
  <c r="O48" i="16"/>
  <c r="N48" i="16" s="1"/>
  <c r="H48" i="16"/>
  <c r="I48" i="16" s="1"/>
  <c r="O47" i="16"/>
  <c r="N47" i="16" s="1"/>
  <c r="H47" i="16"/>
  <c r="I47" i="16" s="1"/>
  <c r="O46" i="16"/>
  <c r="N46" i="16" s="1"/>
  <c r="H46" i="16"/>
  <c r="I46" i="16" s="1"/>
  <c r="O45" i="16"/>
  <c r="Q45" i="16" s="1"/>
  <c r="P45" i="16" s="1"/>
  <c r="H45" i="16"/>
  <c r="I45" i="16" s="1"/>
  <c r="O44" i="16"/>
  <c r="Q44" i="16" s="1"/>
  <c r="P44" i="16" s="1"/>
  <c r="H44" i="16"/>
  <c r="I44" i="16" s="1"/>
  <c r="O43" i="16"/>
  <c r="Q43" i="16" s="1"/>
  <c r="P43" i="16" s="1"/>
  <c r="H43" i="16"/>
  <c r="I43" i="16" s="1"/>
  <c r="Q42" i="16"/>
  <c r="P42" i="16" s="1"/>
  <c r="N42" i="16"/>
  <c r="H42" i="16"/>
  <c r="I42" i="16" s="1"/>
  <c r="Q41" i="16"/>
  <c r="P41" i="16" s="1"/>
  <c r="N41" i="16"/>
  <c r="H41" i="16"/>
  <c r="I41" i="16" s="1"/>
  <c r="Q40" i="16"/>
  <c r="P40" i="16" s="1"/>
  <c r="N40" i="16"/>
  <c r="H40" i="16"/>
  <c r="I40" i="16" s="1"/>
  <c r="Q39" i="16"/>
  <c r="P39" i="16" s="1"/>
  <c r="N39" i="16"/>
  <c r="H39" i="16"/>
  <c r="I39" i="16" s="1"/>
  <c r="Q38" i="16"/>
  <c r="N38" i="16"/>
  <c r="H38" i="16"/>
  <c r="I38" i="16" s="1"/>
  <c r="Q37" i="16"/>
  <c r="R37" i="16" s="1"/>
  <c r="S37" i="16" s="1"/>
  <c r="V37" i="16" s="1"/>
  <c r="N37" i="16"/>
  <c r="H37" i="16"/>
  <c r="I37" i="16" s="1"/>
  <c r="J37" i="16" s="1"/>
  <c r="C71" i="16" s="1"/>
  <c r="Q36" i="16"/>
  <c r="P36" i="16" s="1"/>
  <c r="N36" i="16"/>
  <c r="H36" i="16"/>
  <c r="I36" i="16" s="1"/>
  <c r="Q35" i="16"/>
  <c r="P35" i="16" s="1"/>
  <c r="N35" i="16"/>
  <c r="H35" i="16"/>
  <c r="I35" i="16" s="1"/>
  <c r="Q34" i="16"/>
  <c r="P34" i="16" s="1"/>
  <c r="N34" i="16"/>
  <c r="H34" i="16"/>
  <c r="I34" i="16" s="1"/>
  <c r="Q33" i="16"/>
  <c r="P33" i="16" s="1"/>
  <c r="N33" i="16"/>
  <c r="H33" i="16"/>
  <c r="I33" i="16" s="1"/>
  <c r="O32" i="16"/>
  <c r="N32" i="16" s="1"/>
  <c r="H32" i="16"/>
  <c r="I32" i="16" s="1"/>
  <c r="Q31" i="16"/>
  <c r="P31" i="16" s="1"/>
  <c r="N31" i="16"/>
  <c r="H31" i="16"/>
  <c r="I31" i="16" s="1"/>
  <c r="Q30" i="16"/>
  <c r="P30" i="16" s="1"/>
  <c r="N30" i="16"/>
  <c r="H30" i="16"/>
  <c r="I30" i="16" s="1"/>
  <c r="Q29" i="16"/>
  <c r="H29" i="16"/>
  <c r="I29" i="16" s="1"/>
  <c r="Q28" i="16"/>
  <c r="H28" i="16"/>
  <c r="I28" i="16" s="1"/>
  <c r="Q27" i="16"/>
  <c r="P27" i="16" s="1"/>
  <c r="N27" i="16"/>
  <c r="H27" i="16"/>
  <c r="I27" i="16" s="1"/>
  <c r="N26" i="16"/>
  <c r="I26" i="16"/>
  <c r="N25" i="16"/>
  <c r="I25" i="16"/>
  <c r="Q24" i="16"/>
  <c r="P24" i="16" s="1"/>
  <c r="N24" i="16"/>
  <c r="H24" i="16"/>
  <c r="I24" i="16" s="1"/>
  <c r="Q23" i="16"/>
  <c r="P23" i="16" s="1"/>
  <c r="N23" i="16"/>
  <c r="H23" i="16"/>
  <c r="I23" i="16" s="1"/>
  <c r="Q22" i="16"/>
  <c r="P22" i="16" s="1"/>
  <c r="N22" i="16"/>
  <c r="H22" i="16"/>
  <c r="I22" i="16" s="1"/>
  <c r="Q21" i="16"/>
  <c r="P21" i="16" s="1"/>
  <c r="N21" i="16"/>
  <c r="H21" i="16"/>
  <c r="I21" i="16" s="1"/>
  <c r="Q20" i="16"/>
  <c r="P20" i="16" s="1"/>
  <c r="N20" i="16"/>
  <c r="H20" i="16"/>
  <c r="I20" i="16" s="1"/>
  <c r="Q19" i="16"/>
  <c r="P19" i="16" s="1"/>
  <c r="N19" i="16"/>
  <c r="H19" i="16"/>
  <c r="I19" i="16" s="1"/>
  <c r="Q18" i="16"/>
  <c r="P18" i="16" s="1"/>
  <c r="N18" i="16"/>
  <c r="H18" i="16"/>
  <c r="I18" i="16" s="1"/>
  <c r="Q54" i="16"/>
  <c r="P54" i="16" s="1"/>
  <c r="N54" i="16"/>
  <c r="H54" i="16"/>
  <c r="I54" i="16" s="1"/>
  <c r="Q17" i="16"/>
  <c r="N17" i="16"/>
  <c r="H17" i="16"/>
  <c r="I17" i="16" s="1"/>
  <c r="Q16" i="16"/>
  <c r="H16" i="16"/>
  <c r="I16" i="16" s="1"/>
  <c r="Q15" i="16"/>
  <c r="P15" i="16" s="1"/>
  <c r="N15" i="16"/>
  <c r="H15" i="16"/>
  <c r="I15" i="16" s="1"/>
  <c r="Q14" i="16"/>
  <c r="N14" i="16"/>
  <c r="I14" i="16"/>
  <c r="Q13" i="16"/>
  <c r="P13" i="16" s="1"/>
  <c r="N13" i="16"/>
  <c r="H13" i="16"/>
  <c r="I13" i="16" s="1"/>
  <c r="Q12" i="16"/>
  <c r="R12" i="16" s="1"/>
  <c r="S12" i="16" s="1"/>
  <c r="V12" i="16" s="1"/>
  <c r="N12" i="16"/>
  <c r="H12" i="16"/>
  <c r="I12" i="16" s="1"/>
  <c r="J12" i="16" s="1"/>
  <c r="Q11" i="16"/>
  <c r="N11" i="16"/>
  <c r="H11" i="16"/>
  <c r="I11" i="16" s="1"/>
  <c r="Q10" i="16"/>
  <c r="P10" i="16" s="1"/>
  <c r="N10" i="16"/>
  <c r="H10" i="16"/>
  <c r="I10" i="16" s="1"/>
  <c r="Q9" i="16"/>
  <c r="P9" i="16" s="1"/>
  <c r="N9" i="16"/>
  <c r="H9" i="16"/>
  <c r="I9" i="16" s="1"/>
  <c r="Q8" i="16"/>
  <c r="P8" i="16" s="1"/>
  <c r="N8" i="16"/>
  <c r="H8" i="16"/>
  <c r="I8" i="16" s="1"/>
  <c r="Q7" i="16"/>
  <c r="P7" i="16" s="1"/>
  <c r="N7" i="16"/>
  <c r="H7" i="16"/>
  <c r="I7" i="16" s="1"/>
  <c r="P4" i="16"/>
  <c r="N4" i="16"/>
  <c r="H4" i="16"/>
  <c r="C77" i="16" l="1"/>
  <c r="D77" i="16" s="1"/>
  <c r="C87" i="1"/>
  <c r="F87" i="1"/>
  <c r="E74" i="23"/>
  <c r="F74" i="23" s="1"/>
  <c r="F69" i="23"/>
  <c r="R18" i="23"/>
  <c r="Q21" i="23"/>
  <c r="K65" i="16"/>
  <c r="B68" i="16" s="1"/>
  <c r="G71" i="16"/>
  <c r="C78" i="16"/>
  <c r="D78" i="16" s="1"/>
  <c r="G77" i="16"/>
  <c r="D66" i="1" s="1"/>
  <c r="F66" i="1" s="1"/>
  <c r="G78" i="16"/>
  <c r="D67" i="1" s="1"/>
  <c r="F67" i="1" s="1"/>
  <c r="I60" i="16"/>
  <c r="J54" i="16"/>
  <c r="K54" i="16" s="1"/>
  <c r="N45" i="16"/>
  <c r="P12" i="16"/>
  <c r="J13" i="16"/>
  <c r="R27" i="16"/>
  <c r="S27" i="16" s="1"/>
  <c r="J50" i="16"/>
  <c r="C73" i="16" s="1"/>
  <c r="R7" i="16"/>
  <c r="S7" i="16" s="1"/>
  <c r="V7" i="16" s="1"/>
  <c r="R13" i="16"/>
  <c r="S13" i="16" s="1"/>
  <c r="V13" i="16" s="1"/>
  <c r="R17" i="16"/>
  <c r="S17" i="16" s="1"/>
  <c r="V17" i="16" s="1"/>
  <c r="J32" i="16"/>
  <c r="C70" i="16" s="1"/>
  <c r="Q48" i="16"/>
  <c r="P48" i="16" s="1"/>
  <c r="Q32" i="16"/>
  <c r="P32" i="16" s="1"/>
  <c r="R20" i="16"/>
  <c r="S20" i="16" s="1"/>
  <c r="V20" i="16" s="1"/>
  <c r="C102" i="1" s="1"/>
  <c r="D102" i="1" s="1"/>
  <c r="R38" i="16"/>
  <c r="R4" i="16"/>
  <c r="N44" i="16"/>
  <c r="N49" i="16"/>
  <c r="N52" i="16"/>
  <c r="J17" i="16"/>
  <c r="J38" i="16"/>
  <c r="C75" i="16" s="1"/>
  <c r="R50" i="16"/>
  <c r="P50" i="16"/>
  <c r="J27" i="16"/>
  <c r="V27" i="16" s="1"/>
  <c r="C97" i="1" s="1"/>
  <c r="D97" i="1" s="1"/>
  <c r="F97" i="1" s="1"/>
  <c r="H97" i="1" s="1"/>
  <c r="J97" i="1" s="1"/>
  <c r="L97" i="1" s="1"/>
  <c r="N97" i="1" s="1"/>
  <c r="J41" i="16"/>
  <c r="C72" i="16" s="1"/>
  <c r="J46" i="16"/>
  <c r="C74" i="16" s="1"/>
  <c r="J20" i="16"/>
  <c r="J7" i="16"/>
  <c r="P17" i="16"/>
  <c r="R41" i="16"/>
  <c r="P14" i="16"/>
  <c r="N43" i="16"/>
  <c r="Q46" i="16"/>
  <c r="Q47" i="16"/>
  <c r="P47" i="16" s="1"/>
  <c r="N50" i="16"/>
  <c r="N51" i="16"/>
  <c r="P37" i="16"/>
  <c r="P38" i="16"/>
  <c r="Y88" i="1" l="1"/>
  <c r="AA88" i="1"/>
  <c r="U88" i="1"/>
  <c r="X87" i="1"/>
  <c r="X88" i="1" s="1"/>
  <c r="P97" i="1"/>
  <c r="R97" i="1" s="1"/>
  <c r="T97" i="1" s="1"/>
  <c r="V97" i="1" s="1"/>
  <c r="M88" i="1"/>
  <c r="O88" i="1"/>
  <c r="D76" i="16"/>
  <c r="H87" i="1"/>
  <c r="K88" i="1"/>
  <c r="K4" i="16"/>
  <c r="C83" i="1"/>
  <c r="AA84" i="1" s="1"/>
  <c r="H71" i="16"/>
  <c r="I71" i="16" s="1"/>
  <c r="D61" i="1"/>
  <c r="F102" i="1"/>
  <c r="H102" i="1" s="1"/>
  <c r="J102" i="1" s="1"/>
  <c r="L102" i="1" s="1"/>
  <c r="N102" i="1" s="1"/>
  <c r="P102" i="1" s="1"/>
  <c r="R102" i="1" s="1"/>
  <c r="T102" i="1" s="1"/>
  <c r="V102" i="1" s="1"/>
  <c r="E75" i="23"/>
  <c r="S18" i="23"/>
  <c r="R21" i="23"/>
  <c r="F83" i="16"/>
  <c r="S41" i="16"/>
  <c r="V41" i="16" s="1"/>
  <c r="G72" i="16"/>
  <c r="S50" i="16"/>
  <c r="V50" i="16" s="1"/>
  <c r="G73" i="16"/>
  <c r="H77" i="16"/>
  <c r="I77" i="16" s="1"/>
  <c r="H78" i="16"/>
  <c r="I78" i="16" s="1"/>
  <c r="C69" i="16"/>
  <c r="S38" i="16"/>
  <c r="V38" i="16" s="1"/>
  <c r="G75" i="16"/>
  <c r="D65" i="1" s="1"/>
  <c r="F65" i="1" s="1"/>
  <c r="S4" i="16"/>
  <c r="V4" i="16"/>
  <c r="C81" i="1" s="1"/>
  <c r="C68" i="16"/>
  <c r="D81" i="16" s="1"/>
  <c r="B67" i="16"/>
  <c r="B82" i="16" s="1"/>
  <c r="R54" i="16"/>
  <c r="S54" i="16" s="1"/>
  <c r="T54" i="16" s="1"/>
  <c r="V54" i="16" s="1"/>
  <c r="K32" i="16"/>
  <c r="R32" i="16"/>
  <c r="G70" i="16" s="1"/>
  <c r="D60" i="1" s="1"/>
  <c r="J53" i="16"/>
  <c r="R46" i="16"/>
  <c r="P46" i="16"/>
  <c r="AA128" i="1" l="1"/>
  <c r="X81" i="1"/>
  <c r="X83" i="1"/>
  <c r="Y84" i="1"/>
  <c r="Y74" i="1" s="1"/>
  <c r="X97" i="1"/>
  <c r="X98" i="1" s="1"/>
  <c r="X84" i="1"/>
  <c r="X102" i="1"/>
  <c r="O84" i="1"/>
  <c r="U84" i="1"/>
  <c r="O128" i="1"/>
  <c r="O126" i="1" s="1"/>
  <c r="K126" i="1"/>
  <c r="K129" i="1" s="1"/>
  <c r="K84" i="1"/>
  <c r="K74" i="1" s="1"/>
  <c r="M84" i="1"/>
  <c r="J78" i="16"/>
  <c r="K78" i="16" s="1"/>
  <c r="L78" i="16" s="1"/>
  <c r="M78" i="16" s="1"/>
  <c r="N78" i="16" s="1"/>
  <c r="O78" i="16" s="1"/>
  <c r="H67" i="1"/>
  <c r="L67" i="1" s="1"/>
  <c r="N67" i="1" s="1"/>
  <c r="P67" i="1" s="1"/>
  <c r="R67" i="1" s="1"/>
  <c r="J77" i="16"/>
  <c r="K77" i="16" s="1"/>
  <c r="L77" i="16" s="1"/>
  <c r="M77" i="16" s="1"/>
  <c r="N77" i="16" s="1"/>
  <c r="O77" i="16" s="1"/>
  <c r="H66" i="1"/>
  <c r="L66" i="1" s="1"/>
  <c r="N66" i="1" s="1"/>
  <c r="P66" i="1" s="1"/>
  <c r="R66" i="1" s="1"/>
  <c r="J71" i="16"/>
  <c r="K71" i="16" s="1"/>
  <c r="L71" i="16" s="1"/>
  <c r="M71" i="16" s="1"/>
  <c r="N71" i="16" s="1"/>
  <c r="O71" i="16" s="1"/>
  <c r="H61" i="1"/>
  <c r="H72" i="16"/>
  <c r="I72" i="16" s="1"/>
  <c r="D62" i="1"/>
  <c r="H73" i="16"/>
  <c r="I73" i="16" s="1"/>
  <c r="D63" i="1"/>
  <c r="F63" i="1" s="1"/>
  <c r="T4" i="16"/>
  <c r="G80" i="16" s="1"/>
  <c r="S21" i="23"/>
  <c r="T18" i="23"/>
  <c r="D75" i="16"/>
  <c r="D73" i="16"/>
  <c r="H75" i="16"/>
  <c r="I75" i="16" s="1"/>
  <c r="S46" i="16"/>
  <c r="V46" i="16" s="1"/>
  <c r="G74" i="16"/>
  <c r="D64" i="1" s="1"/>
  <c r="F64" i="1" s="1"/>
  <c r="S32" i="16"/>
  <c r="V32" i="16" s="1"/>
  <c r="B69" i="16"/>
  <c r="D69" i="16" s="1"/>
  <c r="D72" i="16"/>
  <c r="D70" i="16"/>
  <c r="D74" i="16"/>
  <c r="D71" i="16"/>
  <c r="K53" i="16"/>
  <c r="L4" i="16" s="1"/>
  <c r="B80" i="16"/>
  <c r="D80" i="16" s="1"/>
  <c r="X128" i="1" l="1"/>
  <c r="Y128" i="1"/>
  <c r="Y126" i="1" s="1"/>
  <c r="Y73" i="1"/>
  <c r="Y105" i="1" s="1"/>
  <c r="Z102" i="1"/>
  <c r="Z97" i="1"/>
  <c r="U74" i="1"/>
  <c r="U73" i="1" s="1"/>
  <c r="U128" i="1"/>
  <c r="O130" i="1"/>
  <c r="O129" i="1"/>
  <c r="M126" i="1"/>
  <c r="K130" i="1"/>
  <c r="V53" i="16"/>
  <c r="J75" i="16"/>
  <c r="K75" i="16" s="1"/>
  <c r="L75" i="16" s="1"/>
  <c r="M75" i="16" s="1"/>
  <c r="N75" i="16" s="1"/>
  <c r="O75" i="16" s="1"/>
  <c r="H65" i="1"/>
  <c r="J65" i="1" s="1"/>
  <c r="L65" i="1" s="1"/>
  <c r="N65" i="1" s="1"/>
  <c r="P65" i="1" s="1"/>
  <c r="R65" i="1" s="1"/>
  <c r="P71" i="16"/>
  <c r="T61" i="1"/>
  <c r="P77" i="16"/>
  <c r="T66" i="1"/>
  <c r="F61" i="1"/>
  <c r="J61" i="1"/>
  <c r="L61" i="1" s="1"/>
  <c r="N61" i="1" s="1"/>
  <c r="P61" i="1" s="1"/>
  <c r="R61" i="1" s="1"/>
  <c r="P78" i="16"/>
  <c r="T67" i="1"/>
  <c r="J72" i="16"/>
  <c r="K72" i="16" s="1"/>
  <c r="L72" i="16" s="1"/>
  <c r="M72" i="16" s="1"/>
  <c r="N72" i="16" s="1"/>
  <c r="O72" i="16" s="1"/>
  <c r="H62" i="1"/>
  <c r="F62" i="1"/>
  <c r="D59" i="1"/>
  <c r="D127" i="1" s="1"/>
  <c r="J73" i="16"/>
  <c r="K73" i="16" s="1"/>
  <c r="L73" i="16" s="1"/>
  <c r="M73" i="16" s="1"/>
  <c r="N73" i="16" s="1"/>
  <c r="O73" i="16" s="1"/>
  <c r="H63" i="1"/>
  <c r="J63" i="1" s="1"/>
  <c r="L63" i="1" s="1"/>
  <c r="N63" i="1" s="1"/>
  <c r="P63" i="1" s="1"/>
  <c r="R63" i="1" s="1"/>
  <c r="U18" i="23"/>
  <c r="V18" i="23" s="1"/>
  <c r="T21" i="23"/>
  <c r="U21" i="23"/>
  <c r="S53" i="16"/>
  <c r="H74" i="16"/>
  <c r="I74" i="16" s="1"/>
  <c r="T32" i="16"/>
  <c r="T53" i="16" s="1"/>
  <c r="T58" i="16" s="1"/>
  <c r="G69" i="16"/>
  <c r="H70" i="16"/>
  <c r="I70" i="16" s="1"/>
  <c r="H60" i="1" s="1"/>
  <c r="L32" i="16"/>
  <c r="K58" i="16"/>
  <c r="Y106" i="1" l="1"/>
  <c r="Y112" i="1"/>
  <c r="Y164" i="1"/>
  <c r="Y167" i="1" s="1"/>
  <c r="Y130" i="1"/>
  <c r="Y129" i="1"/>
  <c r="M130" i="1"/>
  <c r="M129" i="1"/>
  <c r="Q71" i="16"/>
  <c r="X61" i="1" s="1"/>
  <c r="V61" i="1"/>
  <c r="F60" i="1"/>
  <c r="F59" i="1" s="1"/>
  <c r="F127" i="1" s="1"/>
  <c r="J60" i="1"/>
  <c r="L60" i="1" s="1"/>
  <c r="N60" i="1" s="1"/>
  <c r="P60" i="1" s="1"/>
  <c r="R60" i="1" s="1"/>
  <c r="Q77" i="16"/>
  <c r="X66" i="1" s="1"/>
  <c r="V66" i="1"/>
  <c r="Q78" i="16"/>
  <c r="X67" i="1" s="1"/>
  <c r="V67" i="1"/>
  <c r="P75" i="16"/>
  <c r="T65" i="1"/>
  <c r="P73" i="16"/>
  <c r="T63" i="1"/>
  <c r="J62" i="1"/>
  <c r="J74" i="16"/>
  <c r="K74" i="16" s="1"/>
  <c r="L74" i="16" s="1"/>
  <c r="M74" i="16" s="1"/>
  <c r="N74" i="16" s="1"/>
  <c r="O74" i="16" s="1"/>
  <c r="H64" i="1"/>
  <c r="J64" i="1" s="1"/>
  <c r="L64" i="1" s="1"/>
  <c r="N64" i="1" s="1"/>
  <c r="P64" i="1" s="1"/>
  <c r="R64" i="1" s="1"/>
  <c r="P72" i="16"/>
  <c r="T62" i="1"/>
  <c r="U32" i="16"/>
  <c r="U4" i="16"/>
  <c r="I69" i="16"/>
  <c r="J70" i="16"/>
  <c r="Y116" i="1" l="1"/>
  <c r="Y113" i="1"/>
  <c r="R77" i="16"/>
  <c r="Q75" i="16"/>
  <c r="X65" i="1" s="1"/>
  <c r="V65" i="1"/>
  <c r="R78" i="16"/>
  <c r="R71" i="16"/>
  <c r="Q72" i="16"/>
  <c r="X62" i="1" s="1"/>
  <c r="V62" i="1"/>
  <c r="H59" i="1"/>
  <c r="H127" i="1" s="1"/>
  <c r="P74" i="16"/>
  <c r="T64" i="1"/>
  <c r="L62" i="1"/>
  <c r="J59" i="1"/>
  <c r="J127" i="1" s="1"/>
  <c r="Q73" i="16"/>
  <c r="X63" i="1" s="1"/>
  <c r="V63" i="1"/>
  <c r="J69" i="16"/>
  <c r="K70" i="16"/>
  <c r="K65" i="17"/>
  <c r="K51" i="17"/>
  <c r="G103" i="17"/>
  <c r="E103" i="17" s="1"/>
  <c r="F103" i="17" s="1"/>
  <c r="G102" i="17"/>
  <c r="E102" i="17" s="1"/>
  <c r="F102" i="17" s="1"/>
  <c r="E101" i="17"/>
  <c r="F101" i="17" s="1"/>
  <c r="G100" i="17"/>
  <c r="E100" i="17" s="1"/>
  <c r="F100" i="17" s="1"/>
  <c r="G97" i="17"/>
  <c r="E97" i="17" s="1"/>
  <c r="F97" i="17" s="1"/>
  <c r="G96" i="17"/>
  <c r="E96" i="17" s="1"/>
  <c r="F96" i="17" s="1"/>
  <c r="G95" i="17"/>
  <c r="E95" i="17" s="1"/>
  <c r="F95" i="17" s="1"/>
  <c r="G94" i="17"/>
  <c r="F94" i="17" s="1"/>
  <c r="G93" i="17"/>
  <c r="E93" i="17" s="1"/>
  <c r="F93" i="17" s="1"/>
  <c r="E92" i="17"/>
  <c r="F92" i="17" s="1"/>
  <c r="E89" i="17"/>
  <c r="G89" i="17" s="1"/>
  <c r="E88" i="17"/>
  <c r="F88" i="17" s="1"/>
  <c r="E87" i="17"/>
  <c r="F87" i="17" s="1"/>
  <c r="G85" i="17"/>
  <c r="E85" i="17" s="1"/>
  <c r="F85" i="17" s="1"/>
  <c r="E84" i="17"/>
  <c r="F84" i="17" s="1"/>
  <c r="G83" i="17"/>
  <c r="E83" i="17" s="1"/>
  <c r="G82" i="17"/>
  <c r="F82" i="17"/>
  <c r="E81" i="17"/>
  <c r="F81" i="17" s="1"/>
  <c r="E77" i="17"/>
  <c r="F77" i="17" s="1"/>
  <c r="E68" i="17"/>
  <c r="F68" i="17" s="1"/>
  <c r="E66" i="17"/>
  <c r="F66" i="17" s="1"/>
  <c r="E65" i="17"/>
  <c r="F65" i="17" s="1"/>
  <c r="E63" i="17"/>
  <c r="F63" i="17" s="1"/>
  <c r="E62" i="17"/>
  <c r="F62" i="17" s="1"/>
  <c r="E61" i="17"/>
  <c r="F61" i="17" s="1"/>
  <c r="E60" i="17"/>
  <c r="F60" i="17" s="1"/>
  <c r="E59" i="17"/>
  <c r="F59" i="17" s="1"/>
  <c r="F57" i="17"/>
  <c r="E56" i="17"/>
  <c r="F56" i="17" s="1"/>
  <c r="E55" i="17"/>
  <c r="F55" i="17" s="1"/>
  <c r="F54" i="17"/>
  <c r="E54" i="17"/>
  <c r="E53" i="17"/>
  <c r="F53" i="17" s="1"/>
  <c r="E51" i="17"/>
  <c r="F51" i="17" s="1"/>
  <c r="E50" i="17"/>
  <c r="F50" i="17" s="1"/>
  <c r="E44" i="17"/>
  <c r="F44" i="17" s="1"/>
  <c r="G43" i="17"/>
  <c r="E43" i="17" s="1"/>
  <c r="G42" i="17"/>
  <c r="E41" i="17"/>
  <c r="G41" i="17" s="1"/>
  <c r="E38" i="17"/>
  <c r="F38" i="17" s="1"/>
  <c r="E37" i="17"/>
  <c r="F37" i="17" s="1"/>
  <c r="E36" i="17"/>
  <c r="F36" i="17" s="1"/>
  <c r="G35" i="17"/>
  <c r="E35" i="17" s="1"/>
  <c r="G34" i="17"/>
  <c r="E34" i="17" s="1"/>
  <c r="E33" i="17"/>
  <c r="F33" i="17" s="1"/>
  <c r="E32" i="17"/>
  <c r="F32" i="17" s="1"/>
  <c r="G31" i="17"/>
  <c r="E31" i="17" s="1"/>
  <c r="E29" i="17"/>
  <c r="F29" i="17" s="1"/>
  <c r="E28" i="17"/>
  <c r="F28" i="17" s="1"/>
  <c r="E27" i="17"/>
  <c r="F27" i="17" s="1"/>
  <c r="F26" i="17"/>
  <c r="E26" i="17"/>
  <c r="E25" i="17"/>
  <c r="F25" i="17" s="1"/>
  <c r="E24" i="17"/>
  <c r="F24" i="17" s="1"/>
  <c r="E16" i="17"/>
  <c r="G16" i="17" s="1"/>
  <c r="G15" i="17"/>
  <c r="E15" i="17" s="1"/>
  <c r="F15" i="17" s="1"/>
  <c r="G14" i="17"/>
  <c r="E14" i="17" s="1"/>
  <c r="F14" i="17" s="1"/>
  <c r="G13" i="17"/>
  <c r="E13" i="17" s="1"/>
  <c r="F13" i="17" s="1"/>
  <c r="G12" i="17"/>
  <c r="E12" i="17" s="1"/>
  <c r="F12" i="17" s="1"/>
  <c r="G11" i="17"/>
  <c r="E11" i="17" s="1"/>
  <c r="F11" i="17" s="1"/>
  <c r="G10" i="17"/>
  <c r="E10" i="17" s="1"/>
  <c r="F10" i="17" s="1"/>
  <c r="E9" i="17"/>
  <c r="G9" i="17" s="1"/>
  <c r="G7" i="17"/>
  <c r="E7" i="17" s="1"/>
  <c r="F7" i="17" s="1"/>
  <c r="F5" i="17"/>
  <c r="E4" i="17"/>
  <c r="F4" i="17" s="1"/>
  <c r="K82" i="17" l="1"/>
  <c r="C77" i="1" s="1"/>
  <c r="X77" i="1" s="1"/>
  <c r="K42" i="17"/>
  <c r="C104" i="1"/>
  <c r="S71" i="16"/>
  <c r="Z61" i="1"/>
  <c r="S78" i="16"/>
  <c r="Z67" i="1"/>
  <c r="R75" i="16"/>
  <c r="S77" i="16"/>
  <c r="Z66" i="1"/>
  <c r="N62" i="1"/>
  <c r="L59" i="1"/>
  <c r="L127" i="1" s="1"/>
  <c r="Q74" i="16"/>
  <c r="X64" i="1" s="1"/>
  <c r="V64" i="1"/>
  <c r="R73" i="16"/>
  <c r="R72" i="16"/>
  <c r="C75" i="1"/>
  <c r="D75" i="1"/>
  <c r="K93" i="17"/>
  <c r="K101" i="17"/>
  <c r="L70" i="16"/>
  <c r="K69" i="16"/>
  <c r="E42" i="17"/>
  <c r="F42" i="17" s="1"/>
  <c r="K4" i="17"/>
  <c r="K33" i="17"/>
  <c r="C100" i="1" s="1"/>
  <c r="D100" i="1" s="1"/>
  <c r="F100" i="1" s="1"/>
  <c r="H100" i="1" s="1"/>
  <c r="J100" i="1" s="1"/>
  <c r="L100" i="1" s="1"/>
  <c r="N100" i="1" s="1"/>
  <c r="G32" i="17"/>
  <c r="K25" i="17" s="1"/>
  <c r="C89" i="1" s="1"/>
  <c r="X89" i="1" s="1"/>
  <c r="E94" i="17"/>
  <c r="F41" i="17"/>
  <c r="P100" i="1" l="1"/>
  <c r="R100" i="1" s="1"/>
  <c r="T100" i="1" s="1"/>
  <c r="V100" i="1" s="1"/>
  <c r="C76" i="1"/>
  <c r="D104" i="1"/>
  <c r="F104" i="1" s="1"/>
  <c r="H104" i="1" s="1"/>
  <c r="J104" i="1" s="1"/>
  <c r="L104" i="1" s="1"/>
  <c r="N104" i="1" s="1"/>
  <c r="P104" i="1" s="1"/>
  <c r="R104" i="1" s="1"/>
  <c r="T104" i="1" s="1"/>
  <c r="V104" i="1" s="1"/>
  <c r="S75" i="16"/>
  <c r="Z65" i="1"/>
  <c r="S72" i="16"/>
  <c r="Z62" i="1"/>
  <c r="S73" i="16"/>
  <c r="Z63" i="1"/>
  <c r="R74" i="16"/>
  <c r="P62" i="1"/>
  <c r="N59" i="1"/>
  <c r="N127" i="1" s="1"/>
  <c r="F75" i="1"/>
  <c r="H75" i="1" s="1"/>
  <c r="J75" i="1" s="1"/>
  <c r="L75" i="1" s="1"/>
  <c r="N75" i="1" s="1"/>
  <c r="P75" i="1" s="1"/>
  <c r="R75" i="1" s="1"/>
  <c r="T75" i="1" s="1"/>
  <c r="V75" i="1" s="1"/>
  <c r="M70" i="16"/>
  <c r="L69" i="16"/>
  <c r="X75" i="1" l="1"/>
  <c r="S74" i="1"/>
  <c r="S73" i="1" s="1"/>
  <c r="S105" i="1" s="1"/>
  <c r="S112" i="1" s="1"/>
  <c r="X76" i="1"/>
  <c r="X104" i="1"/>
  <c r="Z104" i="1" s="1"/>
  <c r="X100" i="1"/>
  <c r="Z100" i="1" s="1"/>
  <c r="M74" i="1"/>
  <c r="M73" i="1" s="1"/>
  <c r="M105" i="1" s="1"/>
  <c r="M106" i="1" s="1"/>
  <c r="O74" i="1"/>
  <c r="O73" i="1" s="1"/>
  <c r="O105" i="1" s="1"/>
  <c r="V76" i="1"/>
  <c r="K73" i="1"/>
  <c r="K105" i="1" s="1"/>
  <c r="P76" i="1"/>
  <c r="Z76" i="1"/>
  <c r="R76" i="1"/>
  <c r="T76" i="1"/>
  <c r="S74" i="16"/>
  <c r="Z64" i="1"/>
  <c r="R62" i="1"/>
  <c r="R59" i="1" s="1"/>
  <c r="R127" i="1" s="1"/>
  <c r="P59" i="1"/>
  <c r="P127" i="1" s="1"/>
  <c r="N70" i="16"/>
  <c r="M69" i="16"/>
  <c r="S164" i="1" l="1"/>
  <c r="S167" i="1" s="1"/>
  <c r="S106" i="1"/>
  <c r="Z75" i="1"/>
  <c r="S113" i="1"/>
  <c r="S116" i="1"/>
  <c r="M112" i="1"/>
  <c r="M113" i="1" s="1"/>
  <c r="M164" i="1"/>
  <c r="M167" i="1" s="1"/>
  <c r="O106" i="1"/>
  <c r="O164" i="1"/>
  <c r="O167" i="1" s="1"/>
  <c r="O112" i="1"/>
  <c r="K164" i="1"/>
  <c r="K167" i="1" s="1"/>
  <c r="K112" i="1"/>
  <c r="K114" i="1" s="1"/>
  <c r="K106" i="1"/>
  <c r="O70" i="16"/>
  <c r="T60" i="1" s="1"/>
  <c r="T59" i="1" s="1"/>
  <c r="T127" i="1" s="1"/>
  <c r="N69" i="16"/>
  <c r="S134" i="9"/>
  <c r="S127" i="9"/>
  <c r="S119" i="9"/>
  <c r="S109" i="9"/>
  <c r="F51" i="1"/>
  <c r="H51" i="1" s="1"/>
  <c r="M114" i="1" l="1"/>
  <c r="O114" i="1" s="1"/>
  <c r="Q114" i="1" s="1"/>
  <c r="S114" i="1" s="1"/>
  <c r="M116" i="1"/>
  <c r="O116" i="1"/>
  <c r="O113" i="1"/>
  <c r="K116" i="1"/>
  <c r="K113" i="1"/>
  <c r="P70" i="16"/>
  <c r="O69" i="16"/>
  <c r="J51" i="1"/>
  <c r="L51" i="1" s="1"/>
  <c r="P177" i="9"/>
  <c r="O177" i="9"/>
  <c r="P166" i="9"/>
  <c r="O166" i="9"/>
  <c r="Z40" i="1"/>
  <c r="B5" i="10"/>
  <c r="F8" i="10"/>
  <c r="E8" i="10"/>
  <c r="D8" i="10"/>
  <c r="C8" i="10"/>
  <c r="B8" i="10"/>
  <c r="V60" i="1" l="1"/>
  <c r="V59" i="1" s="1"/>
  <c r="V127" i="1" s="1"/>
  <c r="Q70" i="16"/>
  <c r="X60" i="1" s="1"/>
  <c r="X59" i="1" s="1"/>
  <c r="P69" i="16"/>
  <c r="N51" i="1"/>
  <c r="X127" i="1" l="1"/>
  <c r="X58" i="1"/>
  <c r="U127" i="1"/>
  <c r="U58" i="1"/>
  <c r="U70" i="1" s="1"/>
  <c r="R70" i="16"/>
  <c r="Z60" i="1" s="1"/>
  <c r="Z59" i="1" s="1"/>
  <c r="Q69" i="16"/>
  <c r="R51" i="1"/>
  <c r="P51" i="1"/>
  <c r="X126" i="1" l="1"/>
  <c r="X130" i="1" s="1"/>
  <c r="U71" i="1"/>
  <c r="U105" i="1"/>
  <c r="U126" i="1"/>
  <c r="U130" i="1" s="1"/>
  <c r="Z58" i="1"/>
  <c r="O10" i="24" s="1"/>
  <c r="Z127" i="1"/>
  <c r="S70" i="16"/>
  <c r="AA59" i="1" s="1"/>
  <c r="R69" i="16"/>
  <c r="C7" i="10"/>
  <c r="D7" i="10" s="1"/>
  <c r="E7" i="10" s="1"/>
  <c r="F7" i="10" s="1"/>
  <c r="G7" i="10" s="1"/>
  <c r="H7" i="10" s="1"/>
  <c r="I7" i="10" s="1"/>
  <c r="J7" i="10" s="1"/>
  <c r="K7" i="10" s="1"/>
  <c r="L7" i="10" s="1"/>
  <c r="M7" i="10" s="1"/>
  <c r="AA127" i="1" l="1"/>
  <c r="AA58" i="1"/>
  <c r="X129" i="1"/>
  <c r="U129" i="1"/>
  <c r="U106" i="1"/>
  <c r="U112" i="1"/>
  <c r="U164" i="1"/>
  <c r="U167" i="1" s="1"/>
  <c r="S69" i="16"/>
  <c r="P127" i="9"/>
  <c r="P134" i="9"/>
  <c r="O216" i="9"/>
  <c r="N36" i="9"/>
  <c r="AA126" i="1" l="1"/>
  <c r="AA130" i="1" s="1"/>
  <c r="U114" i="1"/>
  <c r="W114" i="1" s="1"/>
  <c r="Y114" i="1" s="1"/>
  <c r="U113" i="1"/>
  <c r="U116" i="1"/>
  <c r="P219" i="9"/>
  <c r="O231" i="9"/>
  <c r="AA129" i="1" l="1"/>
  <c r="P220" i="9"/>
  <c r="P231" i="9" s="1"/>
  <c r="R219" i="9" l="1"/>
  <c r="R220" i="9" l="1"/>
  <c r="S219" i="9"/>
  <c r="Q231" i="9"/>
  <c r="R231" i="9" l="1"/>
  <c r="S220" i="9"/>
  <c r="S221" i="9" s="1"/>
  <c r="T219" i="9"/>
  <c r="S231" i="9" l="1"/>
  <c r="T220" i="9"/>
  <c r="T221" i="9" s="1"/>
  <c r="T222" i="9" s="1"/>
  <c r="U219" i="9"/>
  <c r="T231" i="9" l="1"/>
  <c r="U220" i="9"/>
  <c r="V219" i="9"/>
  <c r="W219" i="9" l="1"/>
  <c r="V220" i="9"/>
  <c r="U221" i="9"/>
  <c r="U222" i="9" s="1"/>
  <c r="U223" i="9" s="1"/>
  <c r="X219" i="9" l="1"/>
  <c r="V221" i="9"/>
  <c r="W220" i="9"/>
  <c r="X220" i="9" s="1"/>
  <c r="Y220" i="9" s="1"/>
  <c r="Z220" i="9" s="1"/>
  <c r="U231" i="9"/>
  <c r="W221" i="9" l="1"/>
  <c r="V222" i="9"/>
  <c r="Y219" i="9"/>
  <c r="V223" i="9" l="1"/>
  <c r="V224" i="9" s="1"/>
  <c r="Z219" i="9"/>
  <c r="W222" i="9"/>
  <c r="X221" i="9"/>
  <c r="V231" i="9" l="1"/>
  <c r="Y221" i="9"/>
  <c r="X222" i="9"/>
  <c r="W223" i="9"/>
  <c r="W224" i="9" s="1"/>
  <c r="W225" i="9" s="1"/>
  <c r="W231" i="9" l="1"/>
  <c r="X223" i="9"/>
  <c r="Y222" i="9"/>
  <c r="Z222" i="9" s="1"/>
  <c r="Z221" i="9"/>
  <c r="Y223" i="9" l="1"/>
  <c r="X224" i="9"/>
  <c r="X225" i="9" s="1"/>
  <c r="X226" i="9" s="1"/>
  <c r="X231" i="9" l="1"/>
  <c r="Z223" i="9"/>
  <c r="Y224" i="9"/>
  <c r="Z224" i="9" l="1"/>
  <c r="Z225" i="9" s="1"/>
  <c r="Z226" i="9" s="1"/>
  <c r="Z227" i="9" s="1"/>
  <c r="Z228" i="9" s="1"/>
  <c r="Y225" i="9"/>
  <c r="Y226" i="9" s="1"/>
  <c r="Y227" i="9" s="1"/>
  <c r="Y231" i="9" s="1"/>
  <c r="Z231" i="9" l="1"/>
  <c r="AA231" i="9" s="1"/>
  <c r="R196" i="9" s="1"/>
  <c r="Q6" i="9"/>
  <c r="R6" i="9" s="1"/>
  <c r="Q181" i="9"/>
  <c r="R181" i="9" s="1"/>
  <c r="Q180" i="9"/>
  <c r="R180" i="9" s="1"/>
  <c r="Q153" i="9"/>
  <c r="R153" i="9" s="1"/>
  <c r="Q147" i="9"/>
  <c r="R147" i="9" s="1"/>
  <c r="Q95" i="9"/>
  <c r="R95" i="9" s="1"/>
  <c r="Q69" i="9"/>
  <c r="R69" i="9" s="1"/>
  <c r="Q44" i="9"/>
  <c r="R44" i="9" s="1"/>
  <c r="Q25" i="9"/>
  <c r="R25" i="9" s="1"/>
  <c r="P16" i="9"/>
  <c r="P18" i="9"/>
  <c r="P119" i="9"/>
  <c r="O16" i="9"/>
  <c r="O18" i="9"/>
  <c r="O119" i="9"/>
  <c r="O127" i="9"/>
  <c r="O134" i="9"/>
  <c r="O143" i="9"/>
  <c r="O179" i="9"/>
  <c r="N112" i="9"/>
  <c r="N174" i="9" l="1"/>
  <c r="N145" i="9"/>
  <c r="N146" i="9"/>
  <c r="N151" i="9"/>
  <c r="N160" i="9"/>
  <c r="N161" i="9"/>
  <c r="N163" i="9"/>
  <c r="N169" i="9"/>
  <c r="N170" i="9"/>
  <c r="N144" i="9"/>
  <c r="N128" i="9"/>
  <c r="N135" i="9"/>
  <c r="N125" i="9"/>
  <c r="N124" i="9"/>
  <c r="N107" i="9"/>
  <c r="N5" i="9"/>
  <c r="N7" i="9"/>
  <c r="N8" i="9"/>
  <c r="N9" i="9"/>
  <c r="N11" i="9"/>
  <c r="N12" i="9"/>
  <c r="N17" i="9"/>
  <c r="N24" i="9"/>
  <c r="N33" i="9"/>
  <c r="N34" i="9"/>
  <c r="N35" i="9"/>
  <c r="N37" i="9"/>
  <c r="N39" i="9"/>
  <c r="N41" i="9"/>
  <c r="N50" i="9"/>
  <c r="N51" i="9"/>
  <c r="N66" i="9"/>
  <c r="N67" i="9"/>
  <c r="N70" i="9"/>
  <c r="N71" i="9"/>
  <c r="N72" i="9"/>
  <c r="N75" i="9"/>
  <c r="N76" i="9"/>
  <c r="N77" i="9"/>
  <c r="N79" i="9"/>
  <c r="N81" i="9"/>
  <c r="N83" i="9"/>
  <c r="N85" i="9"/>
  <c r="N90" i="9"/>
  <c r="N93" i="9"/>
  <c r="N94" i="9"/>
  <c r="N97" i="9"/>
  <c r="N99" i="9"/>
  <c r="N4" i="9"/>
  <c r="P124" i="9" l="1"/>
  <c r="S124" i="9"/>
  <c r="P151" i="9"/>
  <c r="O151" i="9"/>
  <c r="O124" i="9"/>
  <c r="C35" i="19" l="1"/>
  <c r="C15" i="19" l="1"/>
  <c r="C56" i="19" l="1"/>
  <c r="C76" i="19"/>
  <c r="M112" i="9" l="1"/>
  <c r="M109" i="9"/>
  <c r="M177" i="9"/>
  <c r="L178" i="9"/>
  <c r="M178" i="9"/>
  <c r="M137" i="9"/>
  <c r="M116" i="9"/>
  <c r="M146" i="9"/>
  <c r="M160" i="9"/>
  <c r="M161" i="9"/>
  <c r="M163" i="9"/>
  <c r="M174" i="9"/>
  <c r="M144" i="9"/>
  <c r="M52" i="9"/>
  <c r="M128" i="9"/>
  <c r="M135" i="9"/>
  <c r="M125" i="9"/>
  <c r="M107" i="9"/>
  <c r="M4" i="9"/>
  <c r="M5" i="9"/>
  <c r="M7" i="9"/>
  <c r="M8" i="9"/>
  <c r="M9" i="9"/>
  <c r="M10" i="9"/>
  <c r="M11" i="9"/>
  <c r="M12" i="9"/>
  <c r="M17" i="9"/>
  <c r="M24" i="9"/>
  <c r="M30" i="9"/>
  <c r="M33" i="9"/>
  <c r="M34" i="9"/>
  <c r="M35" i="9"/>
  <c r="M36" i="9"/>
  <c r="M37" i="9"/>
  <c r="M39" i="9"/>
  <c r="M41" i="9"/>
  <c r="M43" i="9"/>
  <c r="M48" i="9"/>
  <c r="M50" i="9"/>
  <c r="M51" i="9"/>
  <c r="M56" i="9"/>
  <c r="M66" i="9"/>
  <c r="M70" i="9"/>
  <c r="M71" i="9"/>
  <c r="M76" i="9"/>
  <c r="M77" i="9"/>
  <c r="M79" i="9"/>
  <c r="M81" i="9"/>
  <c r="M83" i="9"/>
  <c r="M89" i="9"/>
  <c r="M90" i="9"/>
  <c r="M93" i="9"/>
  <c r="M94" i="9"/>
  <c r="M96" i="9"/>
  <c r="M97" i="9"/>
  <c r="M99" i="9"/>
  <c r="O178" i="9" l="1"/>
  <c r="P178" i="9"/>
  <c r="O52" i="9"/>
  <c r="P52" i="9"/>
  <c r="C34" i="19"/>
  <c r="C14" i="19"/>
  <c r="F31" i="19" l="1"/>
  <c r="F72" i="19"/>
  <c r="L112" i="9" l="1"/>
  <c r="L142" i="9"/>
  <c r="L145" i="9"/>
  <c r="L146" i="9"/>
  <c r="L160" i="9"/>
  <c r="L161" i="9"/>
  <c r="L170" i="9"/>
  <c r="L144" i="9"/>
  <c r="L128" i="9"/>
  <c r="L125" i="9"/>
  <c r="L107" i="9"/>
  <c r="L5" i="9"/>
  <c r="L7" i="9"/>
  <c r="L8" i="9"/>
  <c r="L9" i="9"/>
  <c r="L10" i="9"/>
  <c r="L11" i="9"/>
  <c r="L12" i="9"/>
  <c r="L17" i="9"/>
  <c r="L24" i="9"/>
  <c r="L26" i="9"/>
  <c r="L33" i="9"/>
  <c r="L34" i="9"/>
  <c r="L35" i="9"/>
  <c r="L39" i="9"/>
  <c r="L41" i="9"/>
  <c r="L43" i="9"/>
  <c r="L47" i="9"/>
  <c r="L48" i="9"/>
  <c r="L50" i="9"/>
  <c r="L56" i="9"/>
  <c r="L64" i="9"/>
  <c r="L66" i="9"/>
  <c r="L67" i="9"/>
  <c r="L70" i="9"/>
  <c r="L71" i="9"/>
  <c r="L72" i="9"/>
  <c r="L75" i="9"/>
  <c r="L76" i="9"/>
  <c r="L77" i="9"/>
  <c r="L79" i="9"/>
  <c r="L81" i="9"/>
  <c r="L83" i="9"/>
  <c r="L85" i="9"/>
  <c r="L90" i="9"/>
  <c r="L93" i="9"/>
  <c r="L94" i="9"/>
  <c r="L96" i="9"/>
  <c r="L97" i="9"/>
  <c r="L99" i="9"/>
  <c r="L4" i="9"/>
  <c r="P142" i="9" l="1"/>
  <c r="S142" i="9"/>
  <c r="O26" i="9"/>
  <c r="P26" i="9"/>
  <c r="O47" i="9"/>
  <c r="P47" i="9"/>
  <c r="O142" i="9"/>
  <c r="C33" i="19" l="1"/>
  <c r="C13" i="19"/>
  <c r="C55" i="19" l="1"/>
  <c r="C75" i="19"/>
  <c r="C54" i="19" l="1"/>
  <c r="C74" i="19" l="1"/>
  <c r="K85" i="9" l="1"/>
  <c r="K48" i="9" l="1"/>
  <c r="K135" i="9"/>
  <c r="K112" i="9"/>
  <c r="K145" i="9"/>
  <c r="K146" i="9"/>
  <c r="K149" i="9"/>
  <c r="K152" i="9"/>
  <c r="K160" i="9"/>
  <c r="K144" i="9"/>
  <c r="K128" i="9"/>
  <c r="K130" i="9"/>
  <c r="K125" i="9"/>
  <c r="K121" i="9"/>
  <c r="K107" i="9"/>
  <c r="K5" i="9"/>
  <c r="K7" i="9"/>
  <c r="K8" i="9"/>
  <c r="K9" i="9"/>
  <c r="K10" i="9"/>
  <c r="K11" i="9"/>
  <c r="K12" i="9"/>
  <c r="K17" i="9"/>
  <c r="K24" i="9"/>
  <c r="K31" i="9"/>
  <c r="K33" i="9"/>
  <c r="K34" i="9"/>
  <c r="K35" i="9"/>
  <c r="K36" i="9"/>
  <c r="K37" i="9"/>
  <c r="K39" i="9"/>
  <c r="K40" i="9"/>
  <c r="K41" i="9"/>
  <c r="K43" i="9"/>
  <c r="K50" i="9"/>
  <c r="K56" i="9"/>
  <c r="K66" i="9"/>
  <c r="K68" i="9"/>
  <c r="K70" i="9"/>
  <c r="K71" i="9"/>
  <c r="K72" i="9"/>
  <c r="K73" i="9"/>
  <c r="K76" i="9"/>
  <c r="K77" i="9"/>
  <c r="K78" i="9"/>
  <c r="K79" i="9"/>
  <c r="K81" i="9"/>
  <c r="K83" i="9"/>
  <c r="K93" i="9"/>
  <c r="K94" i="9"/>
  <c r="K96" i="9"/>
  <c r="K97" i="9"/>
  <c r="K99" i="9"/>
  <c r="K4" i="9"/>
  <c r="K2" i="9"/>
  <c r="P96" i="9" l="1"/>
  <c r="O96" i="9"/>
  <c r="C32" i="19" l="1"/>
  <c r="C12" i="19"/>
  <c r="D32" i="19" l="1"/>
  <c r="E32" i="19"/>
  <c r="C73" i="19" l="1"/>
  <c r="C53" i="19"/>
  <c r="J112" i="9" l="1"/>
  <c r="J133" i="9"/>
  <c r="J173" i="9"/>
  <c r="J171" i="9"/>
  <c r="J172" i="9"/>
  <c r="J145" i="9"/>
  <c r="J160" i="9"/>
  <c r="J161" i="9"/>
  <c r="J163" i="9"/>
  <c r="J168" i="9"/>
  <c r="J170" i="9"/>
  <c r="J144" i="9"/>
  <c r="J121" i="9"/>
  <c r="J125" i="9"/>
  <c r="J128" i="9"/>
  <c r="J108" i="9"/>
  <c r="J107" i="9"/>
  <c r="J5" i="9"/>
  <c r="J7" i="9"/>
  <c r="J8" i="9"/>
  <c r="J9" i="9"/>
  <c r="J10" i="9"/>
  <c r="J11" i="9"/>
  <c r="J12" i="9"/>
  <c r="J17" i="9"/>
  <c r="J19" i="9"/>
  <c r="J23" i="9"/>
  <c r="J24" i="9"/>
  <c r="J30" i="9"/>
  <c r="J31" i="9"/>
  <c r="J33" i="9"/>
  <c r="J34" i="9"/>
  <c r="J35" i="9"/>
  <c r="J36" i="9"/>
  <c r="J37" i="9"/>
  <c r="J39" i="9"/>
  <c r="J41" i="9"/>
  <c r="J43" i="9"/>
  <c r="J50" i="9"/>
  <c r="J51" i="9"/>
  <c r="J56" i="9"/>
  <c r="J66" i="9"/>
  <c r="J68" i="9"/>
  <c r="J70" i="9"/>
  <c r="J71" i="9"/>
  <c r="J72" i="9"/>
  <c r="J73" i="9"/>
  <c r="Q73" i="9" s="1"/>
  <c r="R73" i="9" s="1"/>
  <c r="J76" i="9"/>
  <c r="J77" i="9"/>
  <c r="J78" i="9"/>
  <c r="J79" i="9"/>
  <c r="J81" i="9"/>
  <c r="J83" i="9"/>
  <c r="J84" i="9"/>
  <c r="J85" i="9"/>
  <c r="Q85" i="9" s="1"/>
  <c r="R85" i="9" s="1"/>
  <c r="J89" i="9"/>
  <c r="J93" i="9"/>
  <c r="J94" i="9"/>
  <c r="J97" i="9"/>
  <c r="J4" i="9"/>
  <c r="O42" i="20"/>
  <c r="O41" i="20"/>
  <c r="D31" i="20"/>
  <c r="G38" i="20"/>
  <c r="E38" i="20" s="1"/>
  <c r="E39" i="20"/>
  <c r="J40" i="20"/>
  <c r="L40" i="20"/>
  <c r="M40" i="20"/>
  <c r="N40" i="20"/>
  <c r="P40" i="20"/>
  <c r="Q40" i="20"/>
  <c r="R40" i="20"/>
  <c r="S40" i="20"/>
  <c r="T40" i="20"/>
  <c r="U40" i="20"/>
  <c r="V40" i="20"/>
  <c r="W40" i="20"/>
  <c r="M41" i="20"/>
  <c r="L42" i="20"/>
  <c r="N42" i="20" s="1"/>
  <c r="P42" i="20" s="1"/>
  <c r="M42" i="20"/>
  <c r="E42" i="20" s="1"/>
  <c r="E43" i="20"/>
  <c r="J43" i="20"/>
  <c r="D44" i="20"/>
  <c r="L44" i="20"/>
  <c r="M44" i="20"/>
  <c r="E44" i="20" s="1"/>
  <c r="M46" i="20"/>
  <c r="J47" i="20"/>
  <c r="M47" i="20"/>
  <c r="E47" i="20" s="1"/>
  <c r="D48" i="20"/>
  <c r="M48" i="20"/>
  <c r="E48" i="20" s="1"/>
  <c r="E49" i="20"/>
  <c r="H49" i="20"/>
  <c r="H50" i="20"/>
  <c r="J50" i="20"/>
  <c r="L50" i="20"/>
  <c r="M50" i="20"/>
  <c r="E50" i="20" s="1"/>
  <c r="N50" i="20"/>
  <c r="P50" i="20"/>
  <c r="Q50" i="20"/>
  <c r="R50" i="20"/>
  <c r="S50" i="20"/>
  <c r="T50" i="20"/>
  <c r="U50" i="20"/>
  <c r="V50" i="20"/>
  <c r="W50" i="20"/>
  <c r="G53" i="20"/>
  <c r="I53" i="20"/>
  <c r="K53" i="20"/>
  <c r="Z53" i="20"/>
  <c r="AA53" i="20"/>
  <c r="AB53" i="20"/>
  <c r="AC53" i="20"/>
  <c r="AD53" i="20"/>
  <c r="AE53" i="20"/>
  <c r="AF53" i="20"/>
  <c r="D26" i="20"/>
  <c r="D21" i="20"/>
  <c r="D15" i="20"/>
  <c r="D34" i="20" s="1"/>
  <c r="D4" i="20"/>
  <c r="O145" i="9" l="1"/>
  <c r="P145" i="9"/>
  <c r="O161" i="9"/>
  <c r="P161" i="9"/>
  <c r="O30" i="9"/>
  <c r="P30" i="9"/>
  <c r="O97" i="9"/>
  <c r="P97" i="9"/>
  <c r="O51" i="9"/>
  <c r="P51" i="9"/>
  <c r="E41" i="20"/>
  <c r="J53" i="20"/>
  <c r="K54" i="20" s="1"/>
  <c r="H53" i="20"/>
  <c r="I54" i="20" s="1"/>
  <c r="D53" i="20"/>
  <c r="L53" i="20"/>
  <c r="N44" i="20"/>
  <c r="P44" i="20" s="1"/>
  <c r="Q44" i="20" s="1"/>
  <c r="R44" i="20" s="1"/>
  <c r="S44" i="20" s="1"/>
  <c r="M53" i="20"/>
  <c r="M54" i="20" s="1"/>
  <c r="Q42" i="20"/>
  <c r="E40" i="20"/>
  <c r="P53" i="20" l="1"/>
  <c r="N53" i="20"/>
  <c r="R53" i="20"/>
  <c r="Q53" i="20"/>
  <c r="T44" i="20"/>
  <c r="S53" i="20"/>
  <c r="C31" i="19" l="1"/>
  <c r="G31" i="19" s="1"/>
  <c r="H31" i="19" s="1"/>
  <c r="I31" i="19" s="1"/>
  <c r="C11" i="19"/>
  <c r="T53" i="20"/>
  <c r="U44" i="20"/>
  <c r="G11" i="19" l="1"/>
  <c r="D31" i="19"/>
  <c r="E31" i="19"/>
  <c r="U53" i="20"/>
  <c r="V44" i="20"/>
  <c r="W44" i="20" l="1"/>
  <c r="V53" i="20"/>
  <c r="X44" i="20" l="1"/>
  <c r="W53" i="20"/>
  <c r="C52" i="19" l="1"/>
  <c r="C72" i="19"/>
  <c r="G72" i="19" s="1"/>
  <c r="H72" i="19" s="1"/>
  <c r="I72" i="19" s="1"/>
  <c r="Y44" i="20"/>
  <c r="Y53" i="20" s="1"/>
  <c r="X53" i="20"/>
  <c r="D72" i="19" l="1"/>
  <c r="E72" i="19"/>
  <c r="G52" i="19"/>
  <c r="B79" i="19" l="1"/>
  <c r="F69" i="19"/>
  <c r="F28" i="19" l="1"/>
  <c r="I112" i="9" l="1"/>
  <c r="O112" i="9" l="1"/>
  <c r="S112" i="9"/>
  <c r="P112" i="9"/>
  <c r="I109" i="9" l="1"/>
  <c r="I48" i="9"/>
  <c r="I132" i="9"/>
  <c r="O46" i="20" s="1"/>
  <c r="I174" i="9"/>
  <c r="I170" i="9"/>
  <c r="I169" i="9"/>
  <c r="I71" i="9"/>
  <c r="I72" i="9"/>
  <c r="I57" i="9"/>
  <c r="I59" i="9"/>
  <c r="I40" i="9"/>
  <c r="I19" i="9"/>
  <c r="Q19" i="9" s="1"/>
  <c r="I146" i="9"/>
  <c r="I149" i="9"/>
  <c r="I152" i="9"/>
  <c r="I160" i="9"/>
  <c r="I163" i="9"/>
  <c r="I165" i="9"/>
  <c r="I144" i="9"/>
  <c r="I121" i="9"/>
  <c r="S121" i="9" s="1"/>
  <c r="I125" i="9"/>
  <c r="S125" i="9" s="1"/>
  <c r="I128" i="9"/>
  <c r="S128" i="9" s="1"/>
  <c r="I107" i="9"/>
  <c r="I5" i="9"/>
  <c r="O5" i="9" s="1"/>
  <c r="I7" i="9"/>
  <c r="I8" i="9"/>
  <c r="I9" i="9"/>
  <c r="I10" i="9"/>
  <c r="O10" i="9" s="1"/>
  <c r="I11" i="9"/>
  <c r="O11" i="9" s="1"/>
  <c r="I12" i="9"/>
  <c r="I17" i="9"/>
  <c r="I24" i="9"/>
  <c r="I31" i="9"/>
  <c r="I33" i="9"/>
  <c r="I34" i="9"/>
  <c r="I39" i="9"/>
  <c r="I41" i="9"/>
  <c r="I50" i="9"/>
  <c r="I61" i="9"/>
  <c r="I67" i="9"/>
  <c r="I68" i="9"/>
  <c r="Q68" i="9" s="1"/>
  <c r="R68" i="9" s="1"/>
  <c r="I70" i="9"/>
  <c r="I76" i="9"/>
  <c r="I77" i="9"/>
  <c r="I78" i="9"/>
  <c r="I79" i="9"/>
  <c r="I81" i="9"/>
  <c r="I83" i="9"/>
  <c r="I84" i="9"/>
  <c r="Q84" i="9" s="1"/>
  <c r="R84" i="9" s="1"/>
  <c r="I89" i="9"/>
  <c r="P89" i="9" s="1"/>
  <c r="I90" i="9"/>
  <c r="I93" i="9"/>
  <c r="I94" i="9"/>
  <c r="I99" i="9"/>
  <c r="I4" i="9"/>
  <c r="I23" i="9"/>
  <c r="Q23" i="9" s="1"/>
  <c r="R23" i="9" s="1"/>
  <c r="I56" i="9"/>
  <c r="I36" i="9"/>
  <c r="I66" i="9"/>
  <c r="I37" i="9"/>
  <c r="I35" i="9"/>
  <c r="P4" i="9" l="1"/>
  <c r="O4" i="9"/>
  <c r="P152" i="9"/>
  <c r="O152" i="9"/>
  <c r="P160" i="9"/>
  <c r="O160" i="9"/>
  <c r="P144" i="9"/>
  <c r="Q144" i="9"/>
  <c r="P163" i="9"/>
  <c r="O163" i="9"/>
  <c r="P109" i="9"/>
  <c r="O109" i="9"/>
  <c r="O36" i="9"/>
  <c r="P36" i="9"/>
  <c r="Q83" i="9"/>
  <c r="R83" i="9" s="1"/>
  <c r="P78" i="9"/>
  <c r="O78" i="9"/>
  <c r="O121" i="9"/>
  <c r="P121" i="9"/>
  <c r="R19" i="9"/>
  <c r="Q56" i="9"/>
  <c r="O79" i="9"/>
  <c r="P79" i="9"/>
  <c r="O50" i="9"/>
  <c r="P50" i="9"/>
  <c r="O128" i="9"/>
  <c r="P128" i="9"/>
  <c r="O107" i="9"/>
  <c r="S107" i="9" s="1"/>
  <c r="S179" i="9" s="1"/>
  <c r="P107" i="9"/>
  <c r="O35" i="9"/>
  <c r="P35" i="9"/>
  <c r="O41" i="9"/>
  <c r="P41" i="9"/>
  <c r="P11" i="9"/>
  <c r="O125" i="9"/>
  <c r="P125" i="9"/>
  <c r="O146" i="9"/>
  <c r="P146" i="9"/>
  <c r="O81" i="9"/>
  <c r="P81" i="9"/>
  <c r="O17" i="9"/>
  <c r="P17" i="9"/>
  <c r="O71" i="9"/>
  <c r="P71" i="9"/>
  <c r="O94" i="9"/>
  <c r="P94" i="9"/>
  <c r="O37" i="9"/>
  <c r="P37" i="9"/>
  <c r="O93" i="9"/>
  <c r="P93" i="9"/>
  <c r="O77" i="9"/>
  <c r="P77" i="9"/>
  <c r="O39" i="9"/>
  <c r="P39" i="9"/>
  <c r="P10" i="9"/>
  <c r="O90" i="9"/>
  <c r="P90" i="9"/>
  <c r="O76" i="9"/>
  <c r="P76" i="9"/>
  <c r="O34" i="9"/>
  <c r="P34" i="9"/>
  <c r="O9" i="9"/>
  <c r="P9" i="9"/>
  <c r="O144" i="9"/>
  <c r="O40" i="9"/>
  <c r="P40" i="9"/>
  <c r="O33" i="9"/>
  <c r="P33" i="9"/>
  <c r="O8" i="9"/>
  <c r="P8" i="9"/>
  <c r="O89" i="9"/>
  <c r="O31" i="9"/>
  <c r="P31" i="9"/>
  <c r="O7" i="9"/>
  <c r="P7" i="9"/>
  <c r="O66" i="9"/>
  <c r="P66" i="9"/>
  <c r="O67" i="9"/>
  <c r="P67" i="9"/>
  <c r="O24" i="9"/>
  <c r="P24" i="9"/>
  <c r="P5" i="9"/>
  <c r="O72" i="9"/>
  <c r="P72" i="9"/>
  <c r="O50" i="20"/>
  <c r="O44" i="20"/>
  <c r="E46" i="20"/>
  <c r="E53" i="20" s="1"/>
  <c r="E54" i="20" s="1"/>
  <c r="I43" i="9"/>
  <c r="P190" i="9" l="1"/>
  <c r="P189" i="9"/>
  <c r="Q192" i="9"/>
  <c r="Q188" i="9"/>
  <c r="R56" i="9"/>
  <c r="R188" i="9" s="1"/>
  <c r="O53" i="20"/>
  <c r="O54" i="20" s="1"/>
  <c r="O43" i="9"/>
  <c r="O188" i="9" s="1"/>
  <c r="P43" i="9"/>
  <c r="P188" i="9" s="1"/>
  <c r="C30" i="19"/>
  <c r="E30" i="19" s="1"/>
  <c r="C10" i="19"/>
  <c r="D39" i="1" l="1"/>
  <c r="Q193" i="9"/>
  <c r="O198" i="9" s="1"/>
  <c r="O201" i="9" s="1"/>
  <c r="P201" i="9" s="1"/>
  <c r="R191" i="9"/>
  <c r="R192" i="9" s="1"/>
  <c r="R197" i="9"/>
  <c r="O213" i="9" l="1"/>
  <c r="Q201" i="9"/>
  <c r="P202" i="9"/>
  <c r="P213" i="9" s="1"/>
  <c r="R201" i="9" l="1"/>
  <c r="Q202" i="9"/>
  <c r="Q203" i="9" s="1"/>
  <c r="Q213" i="9" l="1"/>
  <c r="R202" i="9"/>
  <c r="R203" i="9" s="1"/>
  <c r="R204" i="9" s="1"/>
  <c r="S201" i="9"/>
  <c r="R213" i="9" l="1"/>
  <c r="S202" i="9"/>
  <c r="S203" i="9" s="1"/>
  <c r="S204" i="9" s="1"/>
  <c r="S205" i="9" s="1"/>
  <c r="S213" i="9" s="1"/>
  <c r="T201" i="9"/>
  <c r="T202" i="9" l="1"/>
  <c r="T203" i="9" s="1"/>
  <c r="T204" i="9" s="1"/>
  <c r="T205" i="9" s="1"/>
  <c r="T206" i="9" s="1"/>
  <c r="U201" i="9"/>
  <c r="C71" i="19"/>
  <c r="D71" i="19" s="1"/>
  <c r="C51" i="19"/>
  <c r="H76" i="19"/>
  <c r="H77" i="19"/>
  <c r="I77" i="19" s="1"/>
  <c r="I76" i="19"/>
  <c r="H75" i="19"/>
  <c r="I75" i="19" s="1"/>
  <c r="F66" i="19"/>
  <c r="F79" i="19" s="1"/>
  <c r="E77" i="19"/>
  <c r="D77" i="19"/>
  <c r="E76" i="19"/>
  <c r="D76" i="19"/>
  <c r="E75" i="19"/>
  <c r="D75" i="19"/>
  <c r="E74" i="19"/>
  <c r="D74" i="19"/>
  <c r="E73" i="19"/>
  <c r="D73" i="19"/>
  <c r="T213" i="9" l="1"/>
  <c r="U202" i="9"/>
  <c r="V201" i="9"/>
  <c r="E71" i="19"/>
  <c r="W201" i="9" l="1"/>
  <c r="V202" i="9"/>
  <c r="U203" i="9"/>
  <c r="C137" i="19"/>
  <c r="B137" i="19"/>
  <c r="C136" i="19"/>
  <c r="B136" i="19"/>
  <c r="C135" i="19"/>
  <c r="B135" i="19"/>
  <c r="H57" i="19"/>
  <c r="I57" i="19" s="1"/>
  <c r="E57" i="19"/>
  <c r="D57" i="19"/>
  <c r="H56" i="19"/>
  <c r="I56" i="19" s="1"/>
  <c r="H55" i="19"/>
  <c r="I55" i="19" s="1"/>
  <c r="C48" i="19"/>
  <c r="B48" i="19"/>
  <c r="C47" i="19"/>
  <c r="B47" i="19"/>
  <c r="C46" i="19"/>
  <c r="B46" i="19"/>
  <c r="H36" i="19"/>
  <c r="I36" i="19" s="1"/>
  <c r="B36" i="19"/>
  <c r="E36" i="19" s="1"/>
  <c r="H35" i="19"/>
  <c r="I35" i="19" s="1"/>
  <c r="D35" i="19"/>
  <c r="H34" i="19"/>
  <c r="I34" i="19" s="1"/>
  <c r="D34" i="19"/>
  <c r="E27" i="19"/>
  <c r="D27" i="19"/>
  <c r="E26" i="19"/>
  <c r="D26" i="19"/>
  <c r="G25" i="19"/>
  <c r="H25" i="19" s="1"/>
  <c r="I25" i="19" s="1"/>
  <c r="F25" i="19"/>
  <c r="E25" i="19"/>
  <c r="D25" i="19"/>
  <c r="H16" i="19"/>
  <c r="I16" i="19" s="1"/>
  <c r="B16" i="19"/>
  <c r="H15" i="19"/>
  <c r="I15" i="19" s="1"/>
  <c r="B15" i="19"/>
  <c r="H14" i="19"/>
  <c r="I14" i="19" s="1"/>
  <c r="B14" i="19"/>
  <c r="B13" i="19"/>
  <c r="B12" i="19"/>
  <c r="B11" i="19"/>
  <c r="B10" i="19"/>
  <c r="B9" i="19"/>
  <c r="B8" i="19"/>
  <c r="B7" i="19"/>
  <c r="D7" i="19" s="1"/>
  <c r="B6" i="19"/>
  <c r="D6" i="19" s="1"/>
  <c r="G5" i="19"/>
  <c r="B5" i="19"/>
  <c r="U204" i="9" l="1"/>
  <c r="U205" i="9" s="1"/>
  <c r="U206" i="9" s="1"/>
  <c r="U207" i="9" s="1"/>
  <c r="V203" i="9"/>
  <c r="W202" i="9"/>
  <c r="X202" i="9" s="1"/>
  <c r="Y202" i="9" s="1"/>
  <c r="Z202" i="9" s="1"/>
  <c r="X201" i="9"/>
  <c r="E14" i="19"/>
  <c r="D14" i="19"/>
  <c r="F8" i="19"/>
  <c r="D15" i="19"/>
  <c r="E15" i="19"/>
  <c r="E13" i="19"/>
  <c r="D13" i="19"/>
  <c r="F11" i="19"/>
  <c r="H11" i="19" s="1"/>
  <c r="I11" i="19" s="1"/>
  <c r="E11" i="19"/>
  <c r="D11" i="19"/>
  <c r="D33" i="19"/>
  <c r="E33" i="19"/>
  <c r="E12" i="19"/>
  <c r="D12" i="19"/>
  <c r="D10" i="19"/>
  <c r="E10" i="19"/>
  <c r="B18" i="19"/>
  <c r="B38" i="19"/>
  <c r="G46" i="19"/>
  <c r="E46" i="19"/>
  <c r="D30" i="19"/>
  <c r="F38" i="19"/>
  <c r="E47" i="19"/>
  <c r="E7" i="19"/>
  <c r="F46" i="19"/>
  <c r="E137" i="19"/>
  <c r="E35" i="19"/>
  <c r="E136" i="19"/>
  <c r="F5" i="19"/>
  <c r="H5" i="19" s="1"/>
  <c r="D48" i="19"/>
  <c r="F135" i="19"/>
  <c r="E48" i="19"/>
  <c r="G135" i="19"/>
  <c r="E34" i="19"/>
  <c r="D5" i="19"/>
  <c r="E6" i="19"/>
  <c r="D36" i="19"/>
  <c r="D135" i="19"/>
  <c r="D136" i="19"/>
  <c r="D46" i="19"/>
  <c r="E135" i="19"/>
  <c r="D47" i="19"/>
  <c r="E5" i="19"/>
  <c r="D137" i="19"/>
  <c r="Y201" i="9" l="1"/>
  <c r="W203" i="9"/>
  <c r="V204" i="9"/>
  <c r="U213" i="9"/>
  <c r="H46" i="19"/>
  <c r="I46" i="19" s="1"/>
  <c r="F18" i="19"/>
  <c r="H135" i="19"/>
  <c r="I135" i="19" s="1"/>
  <c r="I5" i="19"/>
  <c r="V205" i="9" l="1"/>
  <c r="V206" i="9" s="1"/>
  <c r="V207" i="9" s="1"/>
  <c r="V208" i="9" s="1"/>
  <c r="X203" i="9"/>
  <c r="W204" i="9"/>
  <c r="Z201" i="9"/>
  <c r="V213" i="9" l="1"/>
  <c r="X204" i="9"/>
  <c r="W205" i="9"/>
  <c r="Y203" i="9"/>
  <c r="Z203" i="9" l="1"/>
  <c r="W206" i="9"/>
  <c r="W207" i="9" s="1"/>
  <c r="W208" i="9" s="1"/>
  <c r="W209" i="9" s="1"/>
  <c r="W213" i="9" s="1"/>
  <c r="X205" i="9"/>
  <c r="Y204" i="9"/>
  <c r="Z204" i="9" s="1"/>
  <c r="Y205" i="9" l="1"/>
  <c r="X206" i="9"/>
  <c r="X207" i="9" s="1"/>
  <c r="X208" i="9" s="1"/>
  <c r="X209" i="9" s="1"/>
  <c r="X210" i="9" s="1"/>
  <c r="X213" i="9" s="1"/>
  <c r="Z205" i="9" l="1"/>
  <c r="Y206" i="9"/>
  <c r="Z206" i="9" l="1"/>
  <c r="Z207" i="9" s="1"/>
  <c r="Z208" i="9" s="1"/>
  <c r="Z209" i="9" s="1"/>
  <c r="Z210" i="9" s="1"/>
  <c r="Z211" i="9" s="1"/>
  <c r="Z212" i="9" s="1"/>
  <c r="Y207" i="9"/>
  <c r="Y208" i="9" s="1"/>
  <c r="Y209" i="9" s="1"/>
  <c r="Y210" i="9" s="1"/>
  <c r="Y211" i="9" s="1"/>
  <c r="Z213" i="9" l="1"/>
  <c r="Y213" i="9"/>
  <c r="C29" i="19"/>
  <c r="E29" i="19" s="1"/>
  <c r="C9" i="19"/>
  <c r="D9" i="19" s="1"/>
  <c r="AA213" i="9" l="1"/>
  <c r="E9" i="19"/>
  <c r="D29" i="19"/>
  <c r="C70" i="19"/>
  <c r="D70" i="19" l="1"/>
  <c r="E70" i="19"/>
  <c r="C50" i="19" l="1"/>
  <c r="C8" i="19" l="1"/>
  <c r="G8" i="19" s="1"/>
  <c r="C18" i="19" l="1"/>
  <c r="E8" i="19"/>
  <c r="D8" i="19"/>
  <c r="C28" i="19"/>
  <c r="D28" i="19" s="1"/>
  <c r="D38" i="19" s="1"/>
  <c r="H8" i="19"/>
  <c r="G18" i="19"/>
  <c r="E28" i="19" l="1"/>
  <c r="G28" i="19"/>
  <c r="H28" i="19" s="1"/>
  <c r="I28" i="19" s="1"/>
  <c r="C38" i="19"/>
  <c r="E38" i="19" s="1"/>
  <c r="I8" i="19"/>
  <c r="H18" i="19"/>
  <c r="I18" i="19" s="1"/>
  <c r="D18" i="19" s="1"/>
  <c r="G38" i="19" l="1"/>
  <c r="H38" i="19"/>
  <c r="I38" i="19" s="1"/>
  <c r="C69" i="19"/>
  <c r="G69" i="19" s="1"/>
  <c r="H69" i="19" l="1"/>
  <c r="I69" i="19" s="1"/>
  <c r="D69" i="19"/>
  <c r="E69" i="19"/>
  <c r="C49" i="19"/>
  <c r="G49" i="19" s="1"/>
  <c r="D11" i="1"/>
  <c r="F11" i="1"/>
  <c r="H11" i="1"/>
  <c r="J11" i="1"/>
  <c r="L11" i="1"/>
  <c r="N11" i="1"/>
  <c r="P11" i="1"/>
  <c r="R11" i="1"/>
  <c r="T11" i="1"/>
  <c r="V11" i="1"/>
  <c r="Z11" i="1"/>
  <c r="D16" i="1"/>
  <c r="F16" i="1"/>
  <c r="H16" i="1"/>
  <c r="J16" i="1"/>
  <c r="L16" i="1"/>
  <c r="N16" i="1"/>
  <c r="P16" i="1"/>
  <c r="R16" i="1"/>
  <c r="T16" i="1"/>
  <c r="V16" i="1"/>
  <c r="Z16" i="1"/>
  <c r="AB16" i="1" l="1"/>
  <c r="C11" i="1"/>
  <c r="AB11" i="1" s="1"/>
  <c r="D10" i="1"/>
  <c r="C68" i="19"/>
  <c r="D49" i="19"/>
  <c r="E49" i="19"/>
  <c r="C59" i="19"/>
  <c r="D8" i="24" l="1"/>
  <c r="G59" i="19"/>
  <c r="D68" i="19"/>
  <c r="E68" i="19"/>
  <c r="C67" i="19" l="1"/>
  <c r="E67" i="19" l="1"/>
  <c r="D67" i="19"/>
  <c r="T51" i="1"/>
  <c r="V51" i="1" s="1"/>
  <c r="L94" i="1"/>
  <c r="Z98" i="1"/>
  <c r="V98" i="1"/>
  <c r="T98" i="1"/>
  <c r="R98" i="1"/>
  <c r="P98" i="1"/>
  <c r="N98" i="1"/>
  <c r="L98" i="1"/>
  <c r="J98" i="1"/>
  <c r="H98" i="1"/>
  <c r="F98" i="1"/>
  <c r="D98" i="1"/>
  <c r="F82" i="1"/>
  <c r="H82" i="1"/>
  <c r="J82" i="1"/>
  <c r="L82" i="1"/>
  <c r="N82" i="1"/>
  <c r="P82" i="1"/>
  <c r="R82" i="1"/>
  <c r="T82" i="1"/>
  <c r="V82" i="1"/>
  <c r="Z82" i="1"/>
  <c r="D82" i="1"/>
  <c r="G13" i="14"/>
  <c r="D16" i="14"/>
  <c r="G16" i="14" s="1"/>
  <c r="D15" i="14"/>
  <c r="G15" i="14" s="1"/>
  <c r="D14" i="14"/>
  <c r="G14" i="14" s="1"/>
  <c r="D3" i="14"/>
  <c r="E3" i="14" s="1"/>
  <c r="B2" i="13"/>
  <c r="B5" i="13" s="1"/>
  <c r="X51" i="1" l="1"/>
  <c r="Z51" i="1" s="1"/>
  <c r="N94" i="1"/>
  <c r="P94" i="1" s="1"/>
  <c r="R94" i="1" s="1"/>
  <c r="T94" i="1" s="1"/>
  <c r="V94" i="1" s="1"/>
  <c r="G17" i="14"/>
  <c r="H17" i="14" s="1"/>
  <c r="D17" i="14"/>
  <c r="F3" i="14"/>
  <c r="C5" i="13"/>
  <c r="B17" i="13"/>
  <c r="X94" i="1" l="1"/>
  <c r="Z94" i="1" s="1"/>
  <c r="G3" i="14"/>
  <c r="D5" i="13"/>
  <c r="C6" i="13"/>
  <c r="C17" i="13"/>
  <c r="H3" i="14" l="1"/>
  <c r="E5" i="13"/>
  <c r="D6" i="13"/>
  <c r="D7" i="13" s="1"/>
  <c r="I3" i="14" l="1"/>
  <c r="D17" i="13"/>
  <c r="E6" i="13"/>
  <c r="E7" i="13" s="1"/>
  <c r="E8" i="13" s="1"/>
  <c r="F5" i="13"/>
  <c r="J3" i="14" l="1"/>
  <c r="F6" i="13"/>
  <c r="F7" i="13" s="1"/>
  <c r="F8" i="13" s="1"/>
  <c r="F9" i="13" s="1"/>
  <c r="G5" i="13"/>
  <c r="E17" i="13"/>
  <c r="K3" i="14" l="1"/>
  <c r="F17" i="13"/>
  <c r="H5" i="13"/>
  <c r="G6" i="13"/>
  <c r="G7" i="13" s="1"/>
  <c r="G8" i="13" s="1"/>
  <c r="G9" i="13" s="1"/>
  <c r="G10" i="13" s="1"/>
  <c r="L3" i="14" l="1"/>
  <c r="G17" i="13"/>
  <c r="I5" i="13"/>
  <c r="J5" i="13" s="1"/>
  <c r="K5" i="13" s="1"/>
  <c r="L5" i="13" s="1"/>
  <c r="M5" i="13" s="1"/>
  <c r="H6" i="13"/>
  <c r="M3" i="14" l="1"/>
  <c r="I6" i="13"/>
  <c r="H7" i="13"/>
  <c r="H8" i="13" s="1"/>
  <c r="H9" i="13" s="1"/>
  <c r="H10" i="13" s="1"/>
  <c r="H11" i="13" s="1"/>
  <c r="N3" i="14" l="1"/>
  <c r="H17" i="13"/>
  <c r="J6" i="13"/>
  <c r="K6" i="13" s="1"/>
  <c r="L6" i="13" s="1"/>
  <c r="M6" i="13" s="1"/>
  <c r="I7" i="13"/>
  <c r="O3" i="14" l="1"/>
  <c r="I8" i="13"/>
  <c r="I9" i="13" s="1"/>
  <c r="I10" i="13" s="1"/>
  <c r="I11" i="13" s="1"/>
  <c r="I12" i="13" s="1"/>
  <c r="J7" i="13"/>
  <c r="I17" i="13" l="1"/>
  <c r="K7" i="13"/>
  <c r="L7" i="13" s="1"/>
  <c r="M7" i="13" s="1"/>
  <c r="J8" i="13"/>
  <c r="K8" i="13" l="1"/>
  <c r="J9" i="13"/>
  <c r="J10" i="13" s="1"/>
  <c r="J11" i="13" s="1"/>
  <c r="J12" i="13" s="1"/>
  <c r="J13" i="13" s="1"/>
  <c r="J17" i="13" l="1"/>
  <c r="L8" i="13"/>
  <c r="M8" i="13" s="1"/>
  <c r="K9" i="13"/>
  <c r="L9" i="13" l="1"/>
  <c r="K10" i="13"/>
  <c r="K11" i="13" s="1"/>
  <c r="K12" i="13" s="1"/>
  <c r="K13" i="13" s="1"/>
  <c r="K14" i="13" s="1"/>
  <c r="K17" i="13" l="1"/>
  <c r="M9" i="13"/>
  <c r="L10" i="13"/>
  <c r="M10" i="13" l="1"/>
  <c r="L11" i="13"/>
  <c r="L12" i="13" s="1"/>
  <c r="L13" i="13" s="1"/>
  <c r="L14" i="13" s="1"/>
  <c r="L15" i="13" s="1"/>
  <c r="L17" i="13" l="1"/>
  <c r="M11" i="13"/>
  <c r="M12" i="13" l="1"/>
  <c r="M13" i="13" s="1"/>
  <c r="M14" i="13" s="1"/>
  <c r="M15" i="13" s="1"/>
  <c r="M16" i="13" s="1"/>
  <c r="M17" i="13"/>
  <c r="F88" i="1" l="1"/>
  <c r="H88" i="1"/>
  <c r="J87" i="1"/>
  <c r="J88" i="1" s="1"/>
  <c r="L87" i="1"/>
  <c r="L88" i="1" s="1"/>
  <c r="N87" i="1"/>
  <c r="N88" i="1" s="1"/>
  <c r="P87" i="1"/>
  <c r="P88" i="1" s="1"/>
  <c r="R87" i="1"/>
  <c r="R88" i="1" s="1"/>
  <c r="T87" i="1"/>
  <c r="T88" i="1" s="1"/>
  <c r="V87" i="1"/>
  <c r="V88" i="1" s="1"/>
  <c r="Z87" i="1"/>
  <c r="Z88" i="1" s="1"/>
  <c r="D88" i="1"/>
  <c r="B2" i="12"/>
  <c r="B5" i="12" s="1"/>
  <c r="H2" i="12"/>
  <c r="F7" i="11"/>
  <c r="G7" i="11" s="1"/>
  <c r="H7" i="11" s="1"/>
  <c r="E7" i="11"/>
  <c r="B14" i="11"/>
  <c r="E4" i="11"/>
  <c r="F4" i="11" s="1"/>
  <c r="G4" i="11" s="1"/>
  <c r="H4" i="11" s="1"/>
  <c r="I4" i="11" s="1"/>
  <c r="J4" i="11" s="1"/>
  <c r="K4" i="11" s="1"/>
  <c r="L4" i="11" s="1"/>
  <c r="M4" i="11" s="1"/>
  <c r="N4" i="11" s="1"/>
  <c r="O4" i="11" s="1"/>
  <c r="P4" i="11" s="1"/>
  <c r="E2" i="11"/>
  <c r="F12" i="11"/>
  <c r="G12" i="11" s="1"/>
  <c r="H12" i="11" s="1"/>
  <c r="I12" i="11" s="1"/>
  <c r="J12" i="11" s="1"/>
  <c r="K12" i="11" s="1"/>
  <c r="L12" i="11" s="1"/>
  <c r="F6" i="11"/>
  <c r="G6" i="11" s="1"/>
  <c r="H6" i="11" s="1"/>
  <c r="I6" i="11" s="1"/>
  <c r="J6" i="11" s="1"/>
  <c r="E6" i="11"/>
  <c r="E5" i="11"/>
  <c r="F5" i="11" s="1"/>
  <c r="P53" i="1"/>
  <c r="R53" i="1" s="1"/>
  <c r="T53" i="1" s="1"/>
  <c r="V53" i="1" s="1"/>
  <c r="D69" i="1"/>
  <c r="F58" i="1"/>
  <c r="E10" i="24" s="1"/>
  <c r="H58" i="1"/>
  <c r="F10" i="24" s="1"/>
  <c r="J58" i="1"/>
  <c r="G10" i="24" s="1"/>
  <c r="L58" i="1"/>
  <c r="H10" i="24" s="1"/>
  <c r="N58" i="1"/>
  <c r="I10" i="24" s="1"/>
  <c r="P58" i="1"/>
  <c r="J10" i="24" s="1"/>
  <c r="R58" i="1"/>
  <c r="K10" i="24" s="1"/>
  <c r="T58" i="1"/>
  <c r="L10" i="24" s="1"/>
  <c r="V58" i="1"/>
  <c r="M10" i="24" s="1"/>
  <c r="N10" i="24"/>
  <c r="D148" i="1"/>
  <c r="E147" i="1" s="1"/>
  <c r="E149" i="1" s="1"/>
  <c r="N2" i="10"/>
  <c r="N3" i="10" s="1"/>
  <c r="C1" i="10"/>
  <c r="D1" i="10" s="1"/>
  <c r="E1" i="10" s="1"/>
  <c r="F1" i="10" s="1"/>
  <c r="G1" i="10" s="1"/>
  <c r="H1" i="10" s="1"/>
  <c r="I1" i="10" s="1"/>
  <c r="J1" i="10" s="1"/>
  <c r="K1" i="10" s="1"/>
  <c r="L1" i="10" s="1"/>
  <c r="M1" i="10" s="1"/>
  <c r="L8" i="7"/>
  <c r="K8" i="7"/>
  <c r="G8" i="7"/>
  <c r="H8" i="7"/>
  <c r="I8" i="7"/>
  <c r="J8" i="7"/>
  <c r="M8" i="7"/>
  <c r="N8" i="7"/>
  <c r="O8" i="7"/>
  <c r="P8" i="7"/>
  <c r="Q8" i="7"/>
  <c r="R8" i="7"/>
  <c r="S8" i="7"/>
  <c r="T8" i="7"/>
  <c r="U8" i="7"/>
  <c r="V8" i="7"/>
  <c r="D163" i="1"/>
  <c r="D159" i="1"/>
  <c r="D153" i="1"/>
  <c r="D147" i="1"/>
  <c r="Z111" i="1"/>
  <c r="V111" i="1"/>
  <c r="T111" i="1"/>
  <c r="R111" i="1"/>
  <c r="P111" i="1"/>
  <c r="N111" i="1"/>
  <c r="L111" i="1"/>
  <c r="J111" i="1"/>
  <c r="H111" i="1"/>
  <c r="F111" i="1"/>
  <c r="D111" i="1"/>
  <c r="Z110" i="1"/>
  <c r="V110" i="1"/>
  <c r="T110" i="1"/>
  <c r="R110" i="1"/>
  <c r="P110" i="1"/>
  <c r="N110" i="1"/>
  <c r="L110" i="1"/>
  <c r="J110" i="1"/>
  <c r="H110" i="1"/>
  <c r="F110" i="1"/>
  <c r="D110" i="1"/>
  <c r="Z90" i="1"/>
  <c r="V90" i="1"/>
  <c r="T90" i="1"/>
  <c r="R90" i="1"/>
  <c r="P90" i="1"/>
  <c r="N90" i="1"/>
  <c r="L90" i="1"/>
  <c r="J90" i="1"/>
  <c r="H90" i="1"/>
  <c r="F90" i="1"/>
  <c r="D90" i="1"/>
  <c r="Z77" i="1"/>
  <c r="V77" i="1"/>
  <c r="T77" i="1"/>
  <c r="R77" i="1"/>
  <c r="P77" i="1"/>
  <c r="N77" i="1"/>
  <c r="L77" i="1"/>
  <c r="J77" i="1"/>
  <c r="H77" i="1"/>
  <c r="F77" i="1"/>
  <c r="D77" i="1"/>
  <c r="Z89" i="1"/>
  <c r="V89" i="1"/>
  <c r="T89" i="1"/>
  <c r="R89" i="1"/>
  <c r="P89" i="1"/>
  <c r="N89" i="1"/>
  <c r="L89" i="1"/>
  <c r="J89" i="1"/>
  <c r="H89" i="1"/>
  <c r="F89" i="1"/>
  <c r="D89" i="1"/>
  <c r="Z83" i="1"/>
  <c r="Z84" i="1" s="1"/>
  <c r="V83" i="1"/>
  <c r="V84" i="1" s="1"/>
  <c r="T83" i="1"/>
  <c r="T84" i="1" s="1"/>
  <c r="R83" i="1"/>
  <c r="R84" i="1" s="1"/>
  <c r="P83" i="1"/>
  <c r="P84" i="1" s="1"/>
  <c r="N83" i="1"/>
  <c r="N84" i="1" s="1"/>
  <c r="L83" i="1"/>
  <c r="L84" i="1" s="1"/>
  <c r="J83" i="1"/>
  <c r="J84" i="1" s="1"/>
  <c r="H83" i="1"/>
  <c r="H84" i="1" s="1"/>
  <c r="F83" i="1"/>
  <c r="F84" i="1" s="1"/>
  <c r="D83" i="1"/>
  <c r="Z81" i="1"/>
  <c r="V81" i="1"/>
  <c r="T81" i="1"/>
  <c r="R81" i="1"/>
  <c r="P81" i="1"/>
  <c r="N81" i="1"/>
  <c r="L81" i="1"/>
  <c r="J81" i="1"/>
  <c r="H81" i="1"/>
  <c r="F81" i="1"/>
  <c r="D81" i="1"/>
  <c r="N76" i="1"/>
  <c r="L76" i="1"/>
  <c r="J76" i="1"/>
  <c r="H76" i="1"/>
  <c r="F76" i="1"/>
  <c r="D76" i="1"/>
  <c r="X53" i="1" l="1"/>
  <c r="Z53" i="1" s="1"/>
  <c r="V128" i="1"/>
  <c r="V126" i="1" s="1"/>
  <c r="V129" i="1" s="1"/>
  <c r="F128" i="1"/>
  <c r="F126" i="1" s="1"/>
  <c r="F129" i="1" s="1"/>
  <c r="D128" i="1"/>
  <c r="D126" i="1" s="1"/>
  <c r="D129" i="1" s="1"/>
  <c r="N128" i="1"/>
  <c r="N126" i="1" s="1"/>
  <c r="N129" i="1" s="1"/>
  <c r="T128" i="1"/>
  <c r="T126" i="1" s="1"/>
  <c r="T129" i="1" s="1"/>
  <c r="R128" i="1"/>
  <c r="R126" i="1" s="1"/>
  <c r="R129" i="1" s="1"/>
  <c r="H128" i="1"/>
  <c r="H126" i="1" s="1"/>
  <c r="H129" i="1" s="1"/>
  <c r="P128" i="1"/>
  <c r="J128" i="1"/>
  <c r="L128" i="1"/>
  <c r="Z128" i="1"/>
  <c r="D58" i="1"/>
  <c r="D10" i="24" s="1"/>
  <c r="P10" i="24" s="1"/>
  <c r="F69" i="1"/>
  <c r="C92" i="1"/>
  <c r="D84" i="1"/>
  <c r="E14" i="11"/>
  <c r="F2" i="11"/>
  <c r="F14" i="11" s="1"/>
  <c r="G2" i="11"/>
  <c r="H2" i="11" s="1"/>
  <c r="I2" i="11" s="1"/>
  <c r="I14" i="11" s="1"/>
  <c r="G14" i="11"/>
  <c r="M12" i="11"/>
  <c r="L14" i="11"/>
  <c r="H14" i="11"/>
  <c r="B21" i="12"/>
  <c r="B24" i="12" s="1"/>
  <c r="C24" i="12" s="1"/>
  <c r="B17" i="12"/>
  <c r="C5" i="12"/>
  <c r="C6" i="12" s="1"/>
  <c r="C17" i="12" s="1"/>
  <c r="J2" i="11"/>
  <c r="C5" i="10"/>
  <c r="K5" i="10"/>
  <c r="D5" i="10"/>
  <c r="L5" i="10"/>
  <c r="E5" i="10"/>
  <c r="M5" i="10"/>
  <c r="F5" i="10"/>
  <c r="G5" i="10"/>
  <c r="H5" i="10"/>
  <c r="I5" i="10"/>
  <c r="J5" i="10"/>
  <c r="T130" i="1" l="1"/>
  <c r="R130" i="1"/>
  <c r="F130" i="1"/>
  <c r="P126" i="1"/>
  <c r="P129" i="1" s="1"/>
  <c r="N130" i="1"/>
  <c r="H130" i="1"/>
  <c r="J126" i="1"/>
  <c r="J129" i="1" s="1"/>
  <c r="V130" i="1"/>
  <c r="Z126" i="1"/>
  <c r="Z129" i="1" s="1"/>
  <c r="L126" i="1"/>
  <c r="L129" i="1" s="1"/>
  <c r="D130" i="1"/>
  <c r="D5" i="12"/>
  <c r="E5" i="12" s="1"/>
  <c r="F16" i="11"/>
  <c r="N12" i="11"/>
  <c r="M14" i="11"/>
  <c r="I31" i="12"/>
  <c r="J32" i="12" s="1"/>
  <c r="G29" i="12"/>
  <c r="H29" i="12" s="1"/>
  <c r="I29" i="12" s="1"/>
  <c r="J29" i="12" s="1"/>
  <c r="K29" i="12" s="1"/>
  <c r="L29" i="12" s="1"/>
  <c r="M29" i="12" s="1"/>
  <c r="N29" i="12" s="1"/>
  <c r="H30" i="12"/>
  <c r="I30" i="12" s="1"/>
  <c r="C25" i="12"/>
  <c r="D25" i="12" s="1"/>
  <c r="E25" i="12" s="1"/>
  <c r="F25" i="12" s="1"/>
  <c r="G25" i="12" s="1"/>
  <c r="H25" i="12" s="1"/>
  <c r="I25" i="12" s="1"/>
  <c r="J25" i="12" s="1"/>
  <c r="B36" i="12"/>
  <c r="D24" i="12"/>
  <c r="E24" i="12" s="1"/>
  <c r="K2" i="11"/>
  <c r="K14" i="11" s="1"/>
  <c r="J14" i="11"/>
  <c r="J130" i="1" l="1"/>
  <c r="L130" i="1"/>
  <c r="P130" i="1"/>
  <c r="Z130" i="1"/>
  <c r="D6" i="12"/>
  <c r="D7" i="12" s="1"/>
  <c r="O12" i="11"/>
  <c r="N14" i="11"/>
  <c r="D26" i="12"/>
  <c r="E26" i="12" s="1"/>
  <c r="F26" i="12" s="1"/>
  <c r="G26" i="12" s="1"/>
  <c r="H26" i="12" s="1"/>
  <c r="I26" i="12" s="1"/>
  <c r="J26" i="12" s="1"/>
  <c r="K26" i="12" s="1"/>
  <c r="C36" i="12"/>
  <c r="D17" i="12"/>
  <c r="F5" i="12"/>
  <c r="F24" i="12"/>
  <c r="E6" i="12"/>
  <c r="E7" i="12" s="1"/>
  <c r="E8" i="12" s="1"/>
  <c r="D36" i="12" l="1"/>
  <c r="E27" i="12"/>
  <c r="E36" i="12" s="1"/>
  <c r="P12" i="11"/>
  <c r="O14" i="11"/>
  <c r="F27" i="12"/>
  <c r="G27" i="12" s="1"/>
  <c r="H27" i="12" s="1"/>
  <c r="I27" i="12" s="1"/>
  <c r="J27" i="12" s="1"/>
  <c r="K27" i="12" s="1"/>
  <c r="L27" i="12" s="1"/>
  <c r="F28" i="12"/>
  <c r="G28" i="12" s="1"/>
  <c r="F36" i="12"/>
  <c r="E17" i="12"/>
  <c r="G5" i="12"/>
  <c r="G24" i="12"/>
  <c r="F6" i="12"/>
  <c r="F7" i="12" s="1"/>
  <c r="F8" i="12" s="1"/>
  <c r="F9" i="12" s="1"/>
  <c r="Q12" i="11" l="1"/>
  <c r="Q14" i="11" s="1"/>
  <c r="P14" i="11"/>
  <c r="R14" i="11"/>
  <c r="F17" i="12"/>
  <c r="H28" i="12"/>
  <c r="G36" i="12"/>
  <c r="H5" i="12"/>
  <c r="I5" i="12" s="1"/>
  <c r="H24" i="12"/>
  <c r="I24" i="12" s="1"/>
  <c r="G6" i="12"/>
  <c r="G7" i="12" s="1"/>
  <c r="G8" i="12" s="1"/>
  <c r="G9" i="12" s="1"/>
  <c r="G10" i="12" s="1"/>
  <c r="I28" i="12" l="1"/>
  <c r="H36" i="12"/>
  <c r="G17" i="12"/>
  <c r="H6" i="12"/>
  <c r="H7" i="12" s="1"/>
  <c r="H8" i="12" s="1"/>
  <c r="H9" i="12" s="1"/>
  <c r="H10" i="12" s="1"/>
  <c r="H11" i="12" s="1"/>
  <c r="J28" i="12" l="1"/>
  <c r="K28" i="12" s="1"/>
  <c r="L28" i="12" s="1"/>
  <c r="M28" i="12" s="1"/>
  <c r="I36" i="12"/>
  <c r="H17" i="12"/>
  <c r="I6" i="12"/>
  <c r="J6" i="12" s="1"/>
  <c r="I7" i="12" l="1"/>
  <c r="F148" i="1"/>
  <c r="F154" i="1"/>
  <c r="H153" i="1" s="1"/>
  <c r="J30" i="12" l="1"/>
  <c r="K30" i="12" s="1"/>
  <c r="L30" i="12" s="1"/>
  <c r="M30" i="12" s="1"/>
  <c r="N30" i="12" s="1"/>
  <c r="O30" i="12" s="1"/>
  <c r="J31" i="12"/>
  <c r="J36" i="12" s="1"/>
  <c r="I8" i="12"/>
  <c r="J7" i="12"/>
  <c r="K7" i="12" s="1"/>
  <c r="D149" i="1"/>
  <c r="F147" i="1"/>
  <c r="F149" i="1" s="1"/>
  <c r="D154" i="1"/>
  <c r="E153" i="1" s="1"/>
  <c r="E155" i="1" s="1"/>
  <c r="H147" i="1"/>
  <c r="H148" i="1"/>
  <c r="H154" i="1"/>
  <c r="J153" i="1" s="1"/>
  <c r="K31" i="12" l="1"/>
  <c r="L31" i="12" s="1"/>
  <c r="M31" i="12" s="1"/>
  <c r="N31" i="12" s="1"/>
  <c r="O31" i="12" s="1"/>
  <c r="P31" i="12" s="1"/>
  <c r="K32" i="12"/>
  <c r="J8" i="12"/>
  <c r="I9" i="12"/>
  <c r="I10" i="12" s="1"/>
  <c r="I11" i="12" s="1"/>
  <c r="I12" i="12" s="1"/>
  <c r="D155" i="1"/>
  <c r="F153" i="1"/>
  <c r="F155" i="1" s="1"/>
  <c r="J154" i="1"/>
  <c r="J148" i="1"/>
  <c r="J147" i="1"/>
  <c r="H149" i="1"/>
  <c r="H155" i="1"/>
  <c r="K33" i="12" l="1"/>
  <c r="L33" i="12" s="1"/>
  <c r="L32" i="12"/>
  <c r="I17" i="12"/>
  <c r="K8" i="12"/>
  <c r="L8" i="12" s="1"/>
  <c r="J9" i="12"/>
  <c r="J10" i="12" s="1"/>
  <c r="J11" i="12" s="1"/>
  <c r="J12" i="12" s="1"/>
  <c r="J13" i="12" s="1"/>
  <c r="L154" i="1"/>
  <c r="L148" i="1"/>
  <c r="J149" i="1"/>
  <c r="L147" i="1"/>
  <c r="L153" i="1"/>
  <c r="J155" i="1"/>
  <c r="M32" i="12" l="1"/>
  <c r="K36" i="12"/>
  <c r="M33" i="12"/>
  <c r="N33" i="12" s="1"/>
  <c r="O33" i="12" s="1"/>
  <c r="P33" i="12" s="1"/>
  <c r="Q33" i="12" s="1"/>
  <c r="R33" i="12" s="1"/>
  <c r="L34" i="12"/>
  <c r="M34" i="12" s="1"/>
  <c r="J17" i="12"/>
  <c r="K9" i="12"/>
  <c r="N147" i="1"/>
  <c r="L149" i="1"/>
  <c r="N153" i="1"/>
  <c r="L155" i="1"/>
  <c r="L36" i="12" l="1"/>
  <c r="N32" i="12"/>
  <c r="M35" i="12"/>
  <c r="N35" i="12" s="1"/>
  <c r="O35" i="12" s="1"/>
  <c r="P35" i="12" s="1"/>
  <c r="Q35" i="12" s="1"/>
  <c r="R35" i="12" s="1"/>
  <c r="S35" i="12" s="1"/>
  <c r="N34" i="12"/>
  <c r="O34" i="12" s="1"/>
  <c r="P34" i="12" s="1"/>
  <c r="Q34" i="12" s="1"/>
  <c r="R34" i="12" s="1"/>
  <c r="S34" i="12" s="1"/>
  <c r="L9" i="12"/>
  <c r="M9" i="12" s="1"/>
  <c r="K10" i="12"/>
  <c r="K11" i="12" s="1"/>
  <c r="K12" i="12" s="1"/>
  <c r="K13" i="12" s="1"/>
  <c r="K14" i="12" s="1"/>
  <c r="P148" i="1"/>
  <c r="P154" i="1"/>
  <c r="S36" i="12" l="1"/>
  <c r="T35" i="12"/>
  <c r="T36" i="12" s="1"/>
  <c r="M36" i="12"/>
  <c r="R36" i="12"/>
  <c r="O32" i="12"/>
  <c r="N36" i="12"/>
  <c r="K17" i="12"/>
  <c r="L10" i="12"/>
  <c r="N148" i="1"/>
  <c r="N154" i="1"/>
  <c r="R148" i="1"/>
  <c r="R154" i="1"/>
  <c r="R153" i="1"/>
  <c r="R147" i="1"/>
  <c r="P32" i="12" l="1"/>
  <c r="O36" i="12"/>
  <c r="M10" i="12"/>
  <c r="N10" i="12" s="1"/>
  <c r="L11" i="12"/>
  <c r="L12" i="12" s="1"/>
  <c r="L13" i="12" s="1"/>
  <c r="L14" i="12" s="1"/>
  <c r="L15" i="12" s="1"/>
  <c r="N149" i="1"/>
  <c r="P147" i="1"/>
  <c r="P149" i="1" s="1"/>
  <c r="N155" i="1"/>
  <c r="P153" i="1"/>
  <c r="P155" i="1" s="1"/>
  <c r="T153" i="1"/>
  <c r="R155" i="1"/>
  <c r="T148" i="1"/>
  <c r="T154" i="1"/>
  <c r="T147" i="1"/>
  <c r="R149" i="1"/>
  <c r="P36" i="12" l="1"/>
  <c r="U36" i="12" s="1"/>
  <c r="Q32" i="12"/>
  <c r="Q36" i="12" s="1"/>
  <c r="L17" i="12"/>
  <c r="M11" i="12"/>
  <c r="N11" i="12" s="1"/>
  <c r="O11" i="12" s="1"/>
  <c r="V153" i="1"/>
  <c r="T155" i="1"/>
  <c r="V148" i="1"/>
  <c r="X147" i="1" s="1"/>
  <c r="X149" i="1" s="1"/>
  <c r="V154" i="1"/>
  <c r="X153" i="1" s="1"/>
  <c r="X155" i="1" s="1"/>
  <c r="T149" i="1"/>
  <c r="V147" i="1"/>
  <c r="M12" i="12" l="1"/>
  <c r="M13" i="12" s="1"/>
  <c r="M14" i="12" s="1"/>
  <c r="M15" i="12" s="1"/>
  <c r="M16" i="12" s="1"/>
  <c r="M17" i="12" s="1"/>
  <c r="N12" i="12"/>
  <c r="V155" i="1"/>
  <c r="V149" i="1"/>
  <c r="N13" i="12" l="1"/>
  <c r="N14" i="12" s="1"/>
  <c r="N15" i="12" s="1"/>
  <c r="N16" i="12" s="1"/>
  <c r="O12" i="12"/>
  <c r="P12" i="12" s="1"/>
  <c r="Z153" i="1"/>
  <c r="Z147" i="1"/>
  <c r="N17" i="12" l="1"/>
  <c r="O13" i="12"/>
  <c r="O14" i="12" l="1"/>
  <c r="O15" i="12" s="1"/>
  <c r="O16" i="12" s="1"/>
  <c r="O17" i="12" s="1"/>
  <c r="P13" i="12"/>
  <c r="Q13" i="12" s="1"/>
  <c r="Z148" i="1"/>
  <c r="Z149" i="1" s="1"/>
  <c r="Z154" i="1"/>
  <c r="Z155" i="1" s="1"/>
  <c r="P14" i="12" l="1"/>
  <c r="Q14" i="12" l="1"/>
  <c r="R14" i="12" s="1"/>
  <c r="P15" i="12"/>
  <c r="P16" i="12" s="1"/>
  <c r="P17" i="12" l="1"/>
  <c r="Q15" i="12"/>
  <c r="R15" i="12" l="1"/>
  <c r="S15" i="12" s="1"/>
  <c r="Q16" i="12"/>
  <c r="Q17" i="12" s="1"/>
  <c r="R16" i="12" l="1"/>
  <c r="S16" i="12" s="1"/>
  <c r="S17" i="12" l="1"/>
  <c r="T16" i="12"/>
  <c r="T17" i="12" s="1"/>
  <c r="U17" i="12" s="1"/>
  <c r="R17" i="12"/>
  <c r="F39" i="1" l="1"/>
  <c r="H39" i="1" s="1"/>
  <c r="J39" i="1" l="1"/>
  <c r="L39" i="1" l="1"/>
  <c r="N39" i="1" l="1"/>
  <c r="P39" i="1" l="1"/>
  <c r="R39" i="1" l="1"/>
  <c r="C35" i="1" l="1"/>
  <c r="T39" i="1"/>
  <c r="V39" i="1" l="1"/>
  <c r="X39" i="1" s="1"/>
  <c r="X41" i="1" s="1"/>
  <c r="X43" i="1" l="1"/>
  <c r="X48" i="1" s="1"/>
  <c r="X38" i="1" s="1"/>
  <c r="X9" i="1" s="1"/>
  <c r="Z39" i="1"/>
  <c r="Z41" i="1" s="1"/>
  <c r="Z43" i="1" s="1"/>
  <c r="X99" i="1" l="1"/>
  <c r="X85" i="1"/>
  <c r="X70" i="1"/>
  <c r="X78" i="1"/>
  <c r="X103" i="1"/>
  <c r="X160" i="1"/>
  <c r="X108" i="1"/>
  <c r="Z48" i="1"/>
  <c r="X74" i="1" l="1"/>
  <c r="X71" i="1"/>
  <c r="X142" i="1"/>
  <c r="X95" i="1"/>
  <c r="Z38" i="1"/>
  <c r="Z9" i="1" s="1"/>
  <c r="O2" i="14"/>
  <c r="O4" i="14" s="1"/>
  <c r="O5" i="14" s="1"/>
  <c r="O8" i="14" s="1"/>
  <c r="O9" i="14" s="1"/>
  <c r="X73" i="1" l="1"/>
  <c r="X105" i="1" s="1"/>
  <c r="X106" i="1" s="1"/>
  <c r="Z70" i="1"/>
  <c r="O11" i="24" s="1"/>
  <c r="O7" i="24"/>
  <c r="L88" i="16"/>
  <c r="L89" i="16" s="1"/>
  <c r="Z103" i="1"/>
  <c r="Z85" i="1"/>
  <c r="Z108" i="1"/>
  <c r="Z78" i="1"/>
  <c r="Z99" i="1"/>
  <c r="Z160" i="1"/>
  <c r="Z142" i="1" s="1"/>
  <c r="X112" i="1" l="1"/>
  <c r="X116" i="1" s="1"/>
  <c r="Z71" i="1"/>
  <c r="O21" i="24"/>
  <c r="Z95" i="1"/>
  <c r="O16" i="24" s="1"/>
  <c r="O12" i="24"/>
  <c r="C66" i="19"/>
  <c r="C79" i="19" s="1"/>
  <c r="X113" i="1" l="1"/>
  <c r="D66" i="19"/>
  <c r="D79" i="19" s="1"/>
  <c r="G66" i="19"/>
  <c r="G79" i="19" s="1"/>
  <c r="E66" i="19"/>
  <c r="E79" i="19"/>
  <c r="I66" i="19" l="1"/>
  <c r="H66" i="19"/>
  <c r="H79" i="19" s="1"/>
  <c r="I79" i="19" s="1"/>
  <c r="A5" i="9" l="1"/>
  <c r="A6" i="9" s="1"/>
  <c r="A7" i="9" s="1"/>
  <c r="A8" i="9" l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l="1"/>
  <c r="A32" i="9" s="1"/>
  <c r="A33" i="9" l="1"/>
  <c r="A34" i="9" s="1"/>
  <c r="A35" i="9" s="1"/>
  <c r="A36" i="9" s="1"/>
  <c r="A37" i="9" s="1"/>
  <c r="A38" i="9" l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l="1"/>
  <c r="A75" i="9" s="1"/>
  <c r="A76" i="9" s="1"/>
  <c r="A77" i="9" s="1"/>
  <c r="A78" i="9" s="1"/>
  <c r="A79" i="9" s="1"/>
  <c r="A80" i="9" l="1"/>
  <c r="A81" i="9" s="1"/>
  <c r="A82" i="9" s="1"/>
  <c r="A83" i="9" s="1"/>
  <c r="A84" i="9" s="1"/>
  <c r="A85" i="9" l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L8" i="10" l="1"/>
  <c r="K8" i="10" l="1"/>
  <c r="J8" i="10" l="1"/>
  <c r="I8" i="10" l="1"/>
  <c r="G8" i="10" l="1"/>
  <c r="H8" i="10" l="1"/>
  <c r="N8" i="10" l="1"/>
  <c r="N9" i="10" s="1"/>
  <c r="M11" i="10" l="1"/>
  <c r="B11" i="10"/>
  <c r="B14" i="10" s="1"/>
  <c r="D40" i="1" s="1"/>
  <c r="D41" i="1" s="1"/>
  <c r="D11" i="10"/>
  <c r="D14" i="10" s="1"/>
  <c r="H40" i="1" s="1"/>
  <c r="H41" i="1" s="1"/>
  <c r="H43" i="1" s="1"/>
  <c r="C11" i="10"/>
  <c r="C14" i="10" s="1"/>
  <c r="F11" i="10"/>
  <c r="F14" i="10" s="1"/>
  <c r="E11" i="10"/>
  <c r="E14" i="10" s="1"/>
  <c r="J40" i="1" s="1"/>
  <c r="J41" i="1" s="1"/>
  <c r="J43" i="1" s="1"/>
  <c r="L11" i="10"/>
  <c r="L14" i="10" s="1"/>
  <c r="K11" i="10"/>
  <c r="K14" i="10" s="1"/>
  <c r="V40" i="1" s="1"/>
  <c r="V41" i="1" s="1"/>
  <c r="V43" i="1" s="1"/>
  <c r="J11" i="10"/>
  <c r="J14" i="10" s="1"/>
  <c r="T40" i="1" s="1"/>
  <c r="T41" i="1" s="1"/>
  <c r="T43" i="1" s="1"/>
  <c r="I11" i="10"/>
  <c r="I14" i="10" s="1"/>
  <c r="R40" i="1" s="1"/>
  <c r="R41" i="1" s="1"/>
  <c r="R43" i="1" s="1"/>
  <c r="G11" i="10"/>
  <c r="G14" i="10" s="1"/>
  <c r="N40" i="1" s="1"/>
  <c r="H11" i="10"/>
  <c r="H14" i="10" s="1"/>
  <c r="P40" i="1" s="1"/>
  <c r="P41" i="1" s="1"/>
  <c r="P43" i="1" s="1"/>
  <c r="N41" i="1" l="1"/>
  <c r="N43" i="1" s="1"/>
  <c r="L40" i="1"/>
  <c r="L41" i="1" s="1"/>
  <c r="L43" i="1" s="1"/>
  <c r="F40" i="1"/>
  <c r="F41" i="1" s="1"/>
  <c r="F43" i="1" s="1"/>
  <c r="E40" i="1"/>
  <c r="D43" i="1"/>
  <c r="D48" i="1" s="1"/>
  <c r="J48" i="1"/>
  <c r="J38" i="1" s="1"/>
  <c r="J9" i="1" s="1"/>
  <c r="G7" i="24" s="1"/>
  <c r="P48" i="1"/>
  <c r="V48" i="1"/>
  <c r="R48" i="1"/>
  <c r="T48" i="1"/>
  <c r="N48" i="1" l="1"/>
  <c r="L48" i="1"/>
  <c r="G2" i="14"/>
  <c r="G4" i="14" s="1"/>
  <c r="G5" i="14" s="1"/>
  <c r="G8" i="14" s="1"/>
  <c r="G9" i="14" s="1"/>
  <c r="G21" i="24"/>
  <c r="J103" i="1"/>
  <c r="H48" i="1"/>
  <c r="H38" i="1" s="1"/>
  <c r="H9" i="1" s="1"/>
  <c r="F7" i="24" s="1"/>
  <c r="F48" i="1"/>
  <c r="F38" i="1" s="1"/>
  <c r="F9" i="1" s="1"/>
  <c r="E7" i="24" s="1"/>
  <c r="D88" i="16"/>
  <c r="D89" i="16" s="1"/>
  <c r="L38" i="1"/>
  <c r="L9" i="1" s="1"/>
  <c r="H2" i="14"/>
  <c r="H4" i="14" s="1"/>
  <c r="H5" i="14" s="1"/>
  <c r="H8" i="14" s="1"/>
  <c r="H9" i="14" s="1"/>
  <c r="I2" i="14"/>
  <c r="I4" i="14" s="1"/>
  <c r="I5" i="14" s="1"/>
  <c r="I8" i="14" s="1"/>
  <c r="I9" i="14" s="1"/>
  <c r="N38" i="1"/>
  <c r="N9" i="1" s="1"/>
  <c r="I7" i="24" s="1"/>
  <c r="V38" i="1"/>
  <c r="V9" i="1" s="1"/>
  <c r="M7" i="24" s="1"/>
  <c r="M2" i="14"/>
  <c r="M4" i="14" s="1"/>
  <c r="M5" i="14" s="1"/>
  <c r="M8" i="14" s="1"/>
  <c r="M9" i="14" s="1"/>
  <c r="J70" i="1"/>
  <c r="J160" i="1"/>
  <c r="J85" i="1"/>
  <c r="J78" i="1"/>
  <c r="J99" i="1"/>
  <c r="J108" i="1"/>
  <c r="P38" i="1"/>
  <c r="P9" i="1" s="1"/>
  <c r="J7" i="24" s="1"/>
  <c r="J2" i="14"/>
  <c r="J4" i="14" s="1"/>
  <c r="J5" i="14" s="1"/>
  <c r="J8" i="14" s="1"/>
  <c r="J9" i="14" s="1"/>
  <c r="N2" i="14"/>
  <c r="N4" i="14" s="1"/>
  <c r="N5" i="14" s="1"/>
  <c r="N8" i="14" s="1"/>
  <c r="N9" i="14" s="1"/>
  <c r="L2" i="14"/>
  <c r="L4" i="14" s="1"/>
  <c r="L5" i="14" s="1"/>
  <c r="L8" i="14" s="1"/>
  <c r="L9" i="14" s="1"/>
  <c r="T38" i="1"/>
  <c r="K2" i="14"/>
  <c r="K4" i="14" s="1"/>
  <c r="K5" i="14" s="1"/>
  <c r="K8" i="14" s="1"/>
  <c r="K9" i="14" s="1"/>
  <c r="R38" i="1"/>
  <c r="H7" i="24" l="1"/>
  <c r="H21" i="24" s="1"/>
  <c r="L99" i="1"/>
  <c r="F2" i="14"/>
  <c r="F4" i="14" s="1"/>
  <c r="F5" i="14" s="1"/>
  <c r="F8" i="14" s="1"/>
  <c r="F9" i="14" s="1"/>
  <c r="R9" i="1"/>
  <c r="K7" i="24" s="1"/>
  <c r="K21" i="24" s="1"/>
  <c r="T9" i="1"/>
  <c r="L7" i="24" s="1"/>
  <c r="L21" i="24" s="1"/>
  <c r="E21" i="24"/>
  <c r="N7" i="24"/>
  <c r="F21" i="24"/>
  <c r="J21" i="24"/>
  <c r="J71" i="1"/>
  <c r="G11" i="24"/>
  <c r="M21" i="24"/>
  <c r="I21" i="24"/>
  <c r="F103" i="1"/>
  <c r="Z74" i="1"/>
  <c r="V103" i="1"/>
  <c r="N103" i="1"/>
  <c r="H103" i="1"/>
  <c r="P103" i="1"/>
  <c r="L103" i="1"/>
  <c r="C88" i="16"/>
  <c r="C89" i="16" s="1"/>
  <c r="H78" i="1"/>
  <c r="H108" i="1"/>
  <c r="H99" i="1"/>
  <c r="H160" i="1"/>
  <c r="J159" i="1" s="1"/>
  <c r="J161" i="1" s="1"/>
  <c r="J143" i="1" s="1"/>
  <c r="H70" i="1"/>
  <c r="D38" i="1"/>
  <c r="D9" i="1" s="1"/>
  <c r="D2" i="14"/>
  <c r="D4" i="14" s="1"/>
  <c r="D5" i="14" s="1"/>
  <c r="D8" i="14" s="1"/>
  <c r="D9" i="14" s="1"/>
  <c r="E2" i="14"/>
  <c r="E4" i="14" s="1"/>
  <c r="E5" i="14" s="1"/>
  <c r="E8" i="14" s="1"/>
  <c r="E9" i="14" s="1"/>
  <c r="K88" i="16"/>
  <c r="K89" i="16" s="1"/>
  <c r="E88" i="16"/>
  <c r="E89" i="16" s="1"/>
  <c r="F88" i="16"/>
  <c r="F89" i="16" s="1"/>
  <c r="H85" i="1"/>
  <c r="J95" i="1"/>
  <c r="G16" i="24" s="1"/>
  <c r="J74" i="1"/>
  <c r="G15" i="24" s="1"/>
  <c r="V108" i="1"/>
  <c r="N99" i="1"/>
  <c r="N85" i="1"/>
  <c r="N160" i="1"/>
  <c r="N78" i="1"/>
  <c r="N108" i="1"/>
  <c r="J142" i="1"/>
  <c r="L159" i="1"/>
  <c r="P85" i="1"/>
  <c r="P99" i="1"/>
  <c r="P108" i="1"/>
  <c r="P160" i="1"/>
  <c r="L70" i="1"/>
  <c r="L78" i="1"/>
  <c r="L160" i="1"/>
  <c r="L108" i="1"/>
  <c r="L85" i="1"/>
  <c r="C2" i="1" l="1"/>
  <c r="R78" i="1"/>
  <c r="R70" i="1"/>
  <c r="R71" i="1" s="1"/>
  <c r="R85" i="1"/>
  <c r="D7" i="24"/>
  <c r="C2" i="24" s="1"/>
  <c r="R103" i="1"/>
  <c r="R99" i="1"/>
  <c r="I88" i="16"/>
  <c r="I89" i="16" s="1"/>
  <c r="T103" i="1"/>
  <c r="Z73" i="1"/>
  <c r="O15" i="24"/>
  <c r="G12" i="24"/>
  <c r="N11" i="24"/>
  <c r="D21" i="24"/>
  <c r="N21" i="24"/>
  <c r="L71" i="1"/>
  <c r="H11" i="24"/>
  <c r="H71" i="1"/>
  <c r="F11" i="24"/>
  <c r="H142" i="1"/>
  <c r="D78" i="1"/>
  <c r="D103" i="1"/>
  <c r="H74" i="1"/>
  <c r="F15" i="24" s="1"/>
  <c r="H95" i="1"/>
  <c r="F16" i="24" s="1"/>
  <c r="D160" i="1"/>
  <c r="D99" i="1"/>
  <c r="Q2" i="14"/>
  <c r="A88" i="16"/>
  <c r="A89" i="16" s="1"/>
  <c r="D108" i="1"/>
  <c r="D85" i="1"/>
  <c r="V99" i="1"/>
  <c r="V78" i="1"/>
  <c r="V160" i="1"/>
  <c r="X159" i="1" s="1"/>
  <c r="X161" i="1" s="1"/>
  <c r="X143" i="1" s="1"/>
  <c r="X164" i="1" s="1"/>
  <c r="X167" i="1" s="1"/>
  <c r="V85" i="1"/>
  <c r="J73" i="1"/>
  <c r="R160" i="1"/>
  <c r="R142" i="1" s="1"/>
  <c r="T85" i="1"/>
  <c r="T78" i="1"/>
  <c r="T160" i="1"/>
  <c r="V159" i="1" s="1"/>
  <c r="T108" i="1"/>
  <c r="J88" i="16"/>
  <c r="J89" i="16" s="1"/>
  <c r="T70" i="1"/>
  <c r="N70" i="1"/>
  <c r="T99" i="1"/>
  <c r="G88" i="16"/>
  <c r="G89" i="16" s="1"/>
  <c r="H88" i="16"/>
  <c r="H89" i="16" s="1"/>
  <c r="R108" i="1"/>
  <c r="P78" i="1"/>
  <c r="P74" i="1" s="1"/>
  <c r="J15" i="24" s="1"/>
  <c r="V70" i="1"/>
  <c r="P70" i="1"/>
  <c r="AB9" i="1"/>
  <c r="F78" i="1"/>
  <c r="F85" i="1"/>
  <c r="F160" i="1"/>
  <c r="F70" i="1"/>
  <c r="F108" i="1"/>
  <c r="F99" i="1"/>
  <c r="B88" i="16"/>
  <c r="B89" i="16" s="1"/>
  <c r="L95" i="1"/>
  <c r="H16" i="24" s="1"/>
  <c r="D70" i="1"/>
  <c r="N95" i="1"/>
  <c r="I16" i="24" s="1"/>
  <c r="N16" i="24"/>
  <c r="P95" i="1"/>
  <c r="J16" i="24" s="1"/>
  <c r="N15" i="24"/>
  <c r="Z159" i="1"/>
  <c r="Z161" i="1" s="1"/>
  <c r="Z143" i="1" s="1"/>
  <c r="L161" i="1"/>
  <c r="L143" i="1" s="1"/>
  <c r="L142" i="1"/>
  <c r="N159" i="1"/>
  <c r="N161" i="1" s="1"/>
  <c r="N143" i="1" s="1"/>
  <c r="N142" i="1"/>
  <c r="P159" i="1"/>
  <c r="P161" i="1" s="1"/>
  <c r="P143" i="1" s="1"/>
  <c r="L74" i="1"/>
  <c r="H15" i="24" s="1"/>
  <c r="P142" i="1"/>
  <c r="R159" i="1"/>
  <c r="N74" i="1"/>
  <c r="I15" i="24" s="1"/>
  <c r="R74" i="1" l="1"/>
  <c r="K15" i="24" s="1"/>
  <c r="K11" i="24"/>
  <c r="K12" i="24" s="1"/>
  <c r="R95" i="1"/>
  <c r="K16" i="24" s="1"/>
  <c r="P7" i="24"/>
  <c r="D161" i="1"/>
  <c r="D143" i="1" s="1"/>
  <c r="E159" i="1"/>
  <c r="E161" i="1" s="1"/>
  <c r="E143" i="1" s="1"/>
  <c r="E164" i="1" s="1"/>
  <c r="E167" i="1" s="1"/>
  <c r="P21" i="24"/>
  <c r="F12" i="24"/>
  <c r="N12" i="24"/>
  <c r="H12" i="24"/>
  <c r="D71" i="1"/>
  <c r="D11" i="24"/>
  <c r="V71" i="1"/>
  <c r="M11" i="24"/>
  <c r="N71" i="1"/>
  <c r="I11" i="24"/>
  <c r="J105" i="1"/>
  <c r="J106" i="1" s="1"/>
  <c r="G14" i="24"/>
  <c r="P71" i="1"/>
  <c r="J11" i="24"/>
  <c r="T71" i="1"/>
  <c r="L11" i="24"/>
  <c r="D95" i="1"/>
  <c r="D16" i="24" s="1"/>
  <c r="Z105" i="1"/>
  <c r="Z164" i="1" s="1"/>
  <c r="Z167" i="1" s="1"/>
  <c r="O14" i="24"/>
  <c r="F71" i="1"/>
  <c r="E11" i="24"/>
  <c r="H73" i="1"/>
  <c r="F159" i="1"/>
  <c r="F161" i="1" s="1"/>
  <c r="F143" i="1" s="1"/>
  <c r="D142" i="1"/>
  <c r="V142" i="1"/>
  <c r="V74" i="1"/>
  <c r="T159" i="1"/>
  <c r="T161" i="1" s="1"/>
  <c r="T143" i="1" s="1"/>
  <c r="D74" i="1"/>
  <c r="T142" i="1"/>
  <c r="V95" i="1"/>
  <c r="M16" i="24" s="1"/>
  <c r="R161" i="1"/>
  <c r="R143" i="1" s="1"/>
  <c r="F95" i="1"/>
  <c r="E16" i="24" s="1"/>
  <c r="V161" i="1"/>
  <c r="V143" i="1" s="1"/>
  <c r="T74" i="1"/>
  <c r="L15" i="24" s="1"/>
  <c r="T95" i="1"/>
  <c r="L16" i="24" s="1"/>
  <c r="N73" i="1"/>
  <c r="H159" i="1"/>
  <c r="H161" i="1" s="1"/>
  <c r="H143" i="1" s="1"/>
  <c r="F142" i="1"/>
  <c r="F74" i="1"/>
  <c r="E15" i="24" s="1"/>
  <c r="P73" i="1"/>
  <c r="L73" i="1"/>
  <c r="R73" i="1" l="1"/>
  <c r="G17" i="24"/>
  <c r="G22" i="24" s="1"/>
  <c r="G23" i="24" s="1"/>
  <c r="G18" i="24"/>
  <c r="G19" i="24" s="1"/>
  <c r="O17" i="24"/>
  <c r="O22" i="24" s="1"/>
  <c r="O23" i="24" s="1"/>
  <c r="O18" i="24"/>
  <c r="O19" i="24" s="1"/>
  <c r="J164" i="1"/>
  <c r="J167" i="1" s="1"/>
  <c r="Z112" i="1"/>
  <c r="Z106" i="1"/>
  <c r="L105" i="1"/>
  <c r="L106" i="1" s="1"/>
  <c r="H14" i="24"/>
  <c r="P105" i="1"/>
  <c r="P164" i="1" s="1"/>
  <c r="P167" i="1" s="1"/>
  <c r="J14" i="24"/>
  <c r="P16" i="24"/>
  <c r="I12" i="24"/>
  <c r="N105" i="1"/>
  <c r="N164" i="1" s="1"/>
  <c r="N167" i="1" s="1"/>
  <c r="I14" i="24"/>
  <c r="N14" i="24"/>
  <c r="H105" i="1"/>
  <c r="H106" i="1" s="1"/>
  <c r="F14" i="24"/>
  <c r="L12" i="24"/>
  <c r="M12" i="24"/>
  <c r="R105" i="1"/>
  <c r="R112" i="1" s="1"/>
  <c r="R116" i="1" s="1"/>
  <c r="K14" i="24"/>
  <c r="D73" i="1"/>
  <c r="D15" i="24"/>
  <c r="J112" i="1"/>
  <c r="J113" i="1" s="1"/>
  <c r="V73" i="1"/>
  <c r="M15" i="24"/>
  <c r="J12" i="24"/>
  <c r="D12" i="24"/>
  <c r="E12" i="24"/>
  <c r="P11" i="24"/>
  <c r="P12" i="24" s="1"/>
  <c r="F73" i="1"/>
  <c r="T73" i="1"/>
  <c r="J18" i="24" l="1"/>
  <c r="J19" i="24" s="1"/>
  <c r="J17" i="24"/>
  <c r="J22" i="24" s="1"/>
  <c r="J23" i="24" s="1"/>
  <c r="F17" i="24"/>
  <c r="F22" i="24" s="1"/>
  <c r="F23" i="24" s="1"/>
  <c r="F18" i="24"/>
  <c r="F19" i="24" s="1"/>
  <c r="H17" i="24"/>
  <c r="H22" i="24" s="1"/>
  <c r="H23" i="24" s="1"/>
  <c r="H18" i="24"/>
  <c r="H19" i="24" s="1"/>
  <c r="K18" i="24"/>
  <c r="K19" i="24" s="1"/>
  <c r="K17" i="24"/>
  <c r="K22" i="24" s="1"/>
  <c r="K23" i="24" s="1"/>
  <c r="I17" i="24"/>
  <c r="I22" i="24" s="1"/>
  <c r="I23" i="24" s="1"/>
  <c r="I18" i="24"/>
  <c r="I19" i="24" s="1"/>
  <c r="N17" i="24"/>
  <c r="N22" i="24" s="1"/>
  <c r="N23" i="24" s="1"/>
  <c r="N18" i="24"/>
  <c r="N19" i="24" s="1"/>
  <c r="L164" i="1"/>
  <c r="L167" i="1" s="1"/>
  <c r="L112" i="1"/>
  <c r="L113" i="1" s="1"/>
  <c r="R164" i="1"/>
  <c r="R167" i="1" s="1"/>
  <c r="N112" i="1"/>
  <c r="N116" i="1" s="1"/>
  <c r="R106" i="1"/>
  <c r="J116" i="1"/>
  <c r="P112" i="1"/>
  <c r="P116" i="1" s="1"/>
  <c r="B52" i="19" s="1"/>
  <c r="D105" i="1"/>
  <c r="D14" i="24"/>
  <c r="H164" i="1"/>
  <c r="H167" i="1" s="1"/>
  <c r="H112" i="1"/>
  <c r="N106" i="1"/>
  <c r="V105" i="1"/>
  <c r="M14" i="24"/>
  <c r="Z116" i="1"/>
  <c r="Z113" i="1"/>
  <c r="P106" i="1"/>
  <c r="R113" i="1"/>
  <c r="T105" i="1"/>
  <c r="T112" i="1" s="1"/>
  <c r="T113" i="1" s="1"/>
  <c r="L14" i="24"/>
  <c r="B56" i="19"/>
  <c r="F105" i="1"/>
  <c r="F112" i="1" s="1"/>
  <c r="F116" i="1" s="1"/>
  <c r="E14" i="24"/>
  <c r="P15" i="24"/>
  <c r="B53" i="19"/>
  <c r="N113" i="1" l="1"/>
  <c r="B51" i="19"/>
  <c r="E51" i="19" s="1"/>
  <c r="E17" i="24"/>
  <c r="E22" i="24" s="1"/>
  <c r="E23" i="24" s="1"/>
  <c r="E18" i="24"/>
  <c r="E19" i="24" s="1"/>
  <c r="L116" i="1"/>
  <c r="B50" i="19" s="1"/>
  <c r="D18" i="24"/>
  <c r="D19" i="24" s="1"/>
  <c r="D17" i="24"/>
  <c r="L18" i="24"/>
  <c r="L19" i="24" s="1"/>
  <c r="L17" i="24"/>
  <c r="L22" i="24" s="1"/>
  <c r="L23" i="24" s="1"/>
  <c r="M17" i="24"/>
  <c r="M18" i="24"/>
  <c r="M19" i="24" s="1"/>
  <c r="P113" i="1"/>
  <c r="T106" i="1"/>
  <c r="T116" i="1"/>
  <c r="B54" i="19" s="1"/>
  <c r="F52" i="19" s="1"/>
  <c r="H52" i="19" s="1"/>
  <c r="I52" i="19" s="1"/>
  <c r="T164" i="1"/>
  <c r="T167" i="1" s="1"/>
  <c r="F164" i="1"/>
  <c r="F167" i="1" s="1"/>
  <c r="F113" i="1"/>
  <c r="F106" i="1"/>
  <c r="V112" i="1"/>
  <c r="V164" i="1"/>
  <c r="V167" i="1" s="1"/>
  <c r="V106" i="1"/>
  <c r="H116" i="1"/>
  <c r="H113" i="1"/>
  <c r="P14" i="24"/>
  <c r="D112" i="1"/>
  <c r="D164" i="1"/>
  <c r="D167" i="1" s="1"/>
  <c r="D168" i="1" s="1"/>
  <c r="D106" i="1"/>
  <c r="E56" i="19"/>
  <c r="D56" i="19"/>
  <c r="E52" i="19"/>
  <c r="D52" i="19"/>
  <c r="E53" i="19"/>
  <c r="D53" i="19"/>
  <c r="F163" i="1" l="1"/>
  <c r="F168" i="1" s="1"/>
  <c r="H163" i="1" s="1"/>
  <c r="H168" i="1" s="1"/>
  <c r="J163" i="1" s="1"/>
  <c r="J168" i="1" s="1"/>
  <c r="L163" i="1" s="1"/>
  <c r="L168" i="1" s="1"/>
  <c r="N163" i="1" s="1"/>
  <c r="N168" i="1" s="1"/>
  <c r="P163" i="1" s="1"/>
  <c r="P168" i="1" s="1"/>
  <c r="R163" i="1" s="1"/>
  <c r="R168" i="1" s="1"/>
  <c r="T163" i="1" s="1"/>
  <c r="T168" i="1" s="1"/>
  <c r="V163" i="1" s="1"/>
  <c r="V168" i="1" s="1"/>
  <c r="X163" i="1" s="1"/>
  <c r="X168" i="1" s="1"/>
  <c r="E163" i="1"/>
  <c r="E168" i="1" s="1"/>
  <c r="G163" i="1" s="1"/>
  <c r="G168" i="1" s="1"/>
  <c r="I163" i="1" s="1"/>
  <c r="I168" i="1" s="1"/>
  <c r="K163" i="1" s="1"/>
  <c r="K168" i="1" s="1"/>
  <c r="M163" i="1" s="1"/>
  <c r="M168" i="1" s="1"/>
  <c r="O163" i="1" s="1"/>
  <c r="O168" i="1" s="1"/>
  <c r="Q163" i="1" s="1"/>
  <c r="Q168" i="1" s="1"/>
  <c r="S163" i="1" s="1"/>
  <c r="S168" i="1" s="1"/>
  <c r="U163" i="1" s="1"/>
  <c r="U168" i="1" s="1"/>
  <c r="W163" i="1" s="1"/>
  <c r="W168" i="1" s="1"/>
  <c r="Y163" i="1" s="1"/>
  <c r="Y168" i="1" s="1"/>
  <c r="AA163" i="1" s="1"/>
  <c r="D51" i="19"/>
  <c r="D54" i="19"/>
  <c r="P17" i="24"/>
  <c r="P18" i="24" s="1"/>
  <c r="M22" i="24"/>
  <c r="M23" i="24" s="1"/>
  <c r="E54" i="19"/>
  <c r="B55" i="19"/>
  <c r="B59" i="19" s="1"/>
  <c r="E59" i="19" s="1"/>
  <c r="V113" i="1"/>
  <c r="V116" i="1"/>
  <c r="D22" i="24"/>
  <c r="D114" i="1"/>
  <c r="F114" i="1" s="1"/>
  <c r="H114" i="1" s="1"/>
  <c r="J114" i="1" s="1"/>
  <c r="L114" i="1" s="1"/>
  <c r="N114" i="1" s="1"/>
  <c r="P114" i="1" s="1"/>
  <c r="R114" i="1" s="1"/>
  <c r="T114" i="1" s="1"/>
  <c r="V114" i="1" s="1"/>
  <c r="D113" i="1"/>
  <c r="D116" i="1"/>
  <c r="F49" i="19"/>
  <c r="F59" i="19" s="1"/>
  <c r="D50" i="19"/>
  <c r="D59" i="19" s="1"/>
  <c r="E50" i="19"/>
  <c r="X114" i="1" l="1"/>
  <c r="Z114" i="1" s="1"/>
  <c r="Z163" i="1"/>
  <c r="Z168" i="1" s="1"/>
  <c r="D23" i="24"/>
  <c r="D24" i="24"/>
  <c r="E24" i="24" s="1"/>
  <c r="F24" i="24" s="1"/>
  <c r="G24" i="24" s="1"/>
  <c r="H24" i="24" s="1"/>
  <c r="I24" i="24" s="1"/>
  <c r="J24" i="24" s="1"/>
  <c r="K24" i="24" s="1"/>
  <c r="L24" i="24" s="1"/>
  <c r="M24" i="24" s="1"/>
  <c r="N24" i="24" s="1"/>
  <c r="O24" i="24" s="1"/>
  <c r="P22" i="24"/>
  <c r="P23" i="24" s="1"/>
  <c r="E55" i="19"/>
  <c r="D55" i="19"/>
  <c r="H49" i="19"/>
  <c r="I49" i="19" s="1"/>
  <c r="C3" i="1" l="1"/>
  <c r="C4" i="1" s="1"/>
  <c r="AB114" i="1"/>
  <c r="C3" i="24"/>
  <c r="C4" i="24" s="1"/>
  <c r="P24" i="24"/>
  <c r="H59" i="19"/>
  <c r="I59" i="19" s="1"/>
  <c r="B83" i="16" l="1"/>
  <c r="D83" i="16" l="1"/>
  <c r="F22" i="1"/>
  <c r="H22" i="1"/>
  <c r="H21" i="1" s="1"/>
  <c r="H10" i="1" s="1"/>
  <c r="F8" i="24" s="1"/>
  <c r="J22" i="1"/>
  <c r="J21" i="1" s="1"/>
  <c r="J10" i="1" s="1"/>
  <c r="G8" i="24" s="1"/>
  <c r="L22" i="1"/>
  <c r="L21" i="1" s="1"/>
  <c r="L10" i="1" s="1"/>
  <c r="H8" i="24" s="1"/>
  <c r="N22" i="1"/>
  <c r="N21" i="1" s="1"/>
  <c r="N10" i="1" s="1"/>
  <c r="I8" i="24" s="1"/>
  <c r="P22" i="1"/>
  <c r="P21" i="1" s="1"/>
  <c r="P10" i="1" s="1"/>
  <c r="J8" i="24" s="1"/>
  <c r="R21" i="1"/>
  <c r="R10" i="1" s="1"/>
  <c r="K8" i="24" s="1"/>
  <c r="T22" i="1"/>
  <c r="T21" i="1" s="1"/>
  <c r="T10" i="1" s="1"/>
  <c r="L8" i="24" s="1"/>
  <c r="V22" i="1"/>
  <c r="F21" i="1" l="1"/>
  <c r="F10" i="1" s="1"/>
  <c r="V21" i="1"/>
  <c r="V10" i="1" s="1"/>
  <c r="M8" i="24" s="1"/>
  <c r="E8" i="24" l="1"/>
  <c r="N8" i="24"/>
  <c r="Z22" i="1"/>
  <c r="C22" i="1" s="1"/>
  <c r="C21" i="1" l="1"/>
  <c r="Z21" i="1"/>
  <c r="Z10" i="1" s="1"/>
  <c r="C10" i="1" s="1"/>
  <c r="AB10" i="1" s="1"/>
  <c r="O8" i="24" l="1"/>
  <c r="P8" i="24" s="1"/>
  <c r="H462" i="16"/>
  <c r="H463" i="16"/>
  <c r="H464" i="16"/>
  <c r="H530" i="16"/>
  <c r="H465" i="16"/>
  <c r="H466" i="16"/>
  <c r="H467" i="16"/>
  <c r="H468" i="16"/>
  <c r="H469" i="16"/>
  <c r="H470" i="16"/>
  <c r="H471" i="16"/>
  <c r="H472" i="16"/>
  <c r="H473" i="16"/>
  <c r="H474" i="16"/>
  <c r="H476" i="16"/>
  <c r="H478" i="16"/>
  <c r="H479" i="16"/>
  <c r="H480" i="16"/>
  <c r="H453" i="16"/>
  <c r="H481" i="16"/>
  <c r="H482" i="16"/>
  <c r="H538" i="16"/>
  <c r="H483" i="16"/>
  <c r="H533" i="16"/>
  <c r="H456" i="16"/>
  <c r="H484" i="16"/>
  <c r="H485" i="16"/>
  <c r="H486" i="16"/>
  <c r="H487" i="16"/>
  <c r="H488" i="16"/>
  <c r="H536" i="16"/>
  <c r="H490" i="16"/>
  <c r="H534" i="16"/>
  <c r="H491" i="16"/>
  <c r="H492" i="16"/>
  <c r="H493" i="16"/>
  <c r="H494" i="16"/>
  <c r="H457" i="16"/>
  <c r="H459" i="16"/>
  <c r="H495" i="16"/>
  <c r="H451" i="16"/>
  <c r="H496" i="16"/>
  <c r="H497" i="16"/>
  <c r="H498" i="16"/>
  <c r="H499" i="16"/>
  <c r="H500" i="16"/>
  <c r="H501" i="16"/>
  <c r="H502" i="16"/>
  <c r="H460" i="16"/>
  <c r="H503" i="16"/>
  <c r="H504" i="16"/>
  <c r="H505" i="16"/>
  <c r="H454" i="16"/>
  <c r="H506" i="16"/>
  <c r="H507" i="16"/>
  <c r="H508" i="16"/>
  <c r="H509" i="16"/>
  <c r="H510" i="16"/>
  <c r="H511" i="16"/>
  <c r="H512" i="16"/>
  <c r="H452" i="16"/>
  <c r="H513" i="16"/>
  <c r="H514" i="16"/>
  <c r="H515" i="16"/>
  <c r="H516" i="16"/>
  <c r="H517" i="16"/>
  <c r="H518" i="16"/>
  <c r="H519" i="16"/>
  <c r="H520" i="16"/>
  <c r="H522" i="16"/>
  <c r="H523" i="16"/>
  <c r="H461" i="16"/>
  <c r="H524" i="16"/>
  <c r="H525" i="16"/>
  <c r="H527" i="16"/>
  <c r="H526" i="16"/>
  <c r="H528" i="16"/>
  <c r="H529" i="16"/>
  <c r="H537" i="16"/>
  <c r="G462" i="16"/>
  <c r="G463" i="16"/>
  <c r="G464" i="16"/>
  <c r="G530" i="16"/>
  <c r="G465" i="16"/>
  <c r="G466" i="16"/>
  <c r="G467" i="16"/>
  <c r="G468" i="16"/>
  <c r="G469" i="16"/>
  <c r="G470" i="16"/>
  <c r="G471" i="16"/>
  <c r="G472" i="16"/>
  <c r="G473" i="16"/>
  <c r="G474" i="16"/>
  <c r="G476" i="16"/>
  <c r="G478" i="16"/>
  <c r="G479" i="16"/>
  <c r="G480" i="16"/>
  <c r="G453" i="16"/>
  <c r="G481" i="16"/>
  <c r="G482" i="16"/>
  <c r="G538" i="16"/>
  <c r="G483" i="16"/>
  <c r="G533" i="16"/>
  <c r="G456" i="16"/>
  <c r="G484" i="16"/>
  <c r="G485" i="16"/>
  <c r="G486" i="16"/>
  <c r="G487" i="16"/>
  <c r="G488" i="16"/>
  <c r="G536" i="16"/>
  <c r="G490" i="16"/>
  <c r="G534" i="16"/>
  <c r="G491" i="16"/>
  <c r="G492" i="16"/>
  <c r="G493" i="16"/>
  <c r="G494" i="16"/>
  <c r="G459" i="16"/>
  <c r="G495" i="16"/>
  <c r="G451" i="16"/>
  <c r="G496" i="16"/>
  <c r="G497" i="16"/>
  <c r="G498" i="16"/>
  <c r="G499" i="16"/>
  <c r="G500" i="16"/>
  <c r="G501" i="16"/>
  <c r="G502" i="16"/>
  <c r="G460" i="16"/>
  <c r="G503" i="16"/>
  <c r="G504" i="16"/>
  <c r="G505" i="16"/>
  <c r="G454" i="16"/>
  <c r="G506" i="16"/>
  <c r="G507" i="16"/>
  <c r="G508" i="16"/>
  <c r="G509" i="16"/>
  <c r="G510" i="16"/>
  <c r="G511" i="16"/>
  <c r="G512" i="16"/>
  <c r="G452" i="16"/>
  <c r="G513" i="16"/>
  <c r="G514" i="16"/>
  <c r="G515" i="16"/>
  <c r="G516" i="16"/>
  <c r="G517" i="16"/>
  <c r="G518" i="16"/>
  <c r="G519" i="16"/>
  <c r="G520" i="16"/>
  <c r="G522" i="16"/>
  <c r="G523" i="16"/>
  <c r="G461" i="16"/>
  <c r="G524" i="16"/>
  <c r="G525" i="16"/>
  <c r="G527" i="16"/>
  <c r="G526" i="16"/>
  <c r="G528" i="16"/>
  <c r="G529" i="16"/>
  <c r="G537" i="16"/>
  <c r="AI71" i="25"/>
  <c r="AI112" i="25"/>
  <c r="AI119" i="25"/>
  <c r="AI87" i="25"/>
  <c r="AI8" i="25"/>
  <c r="AI104" i="25"/>
  <c r="AI11" i="25"/>
  <c r="AI12" i="25"/>
  <c r="AI13" i="25"/>
  <c r="AI24" i="25"/>
  <c r="AI117" i="25"/>
  <c r="AI133" i="25"/>
  <c r="AI15" i="25"/>
  <c r="AI125" i="25"/>
  <c r="AI25" i="25"/>
  <c r="AI120" i="25"/>
  <c r="AI128" i="25"/>
  <c r="AI129" i="25"/>
  <c r="AI27" i="25"/>
  <c r="AI28" i="25"/>
  <c r="AI29" i="25"/>
  <c r="AI30" i="25"/>
  <c r="AI31" i="25"/>
  <c r="AI32" i="25"/>
  <c r="AI33" i="25"/>
  <c r="AI34" i="25"/>
  <c r="AI76" i="25"/>
  <c r="AI35" i="25"/>
  <c r="AI42" i="25"/>
  <c r="AI100" i="25"/>
  <c r="AI122" i="25"/>
  <c r="AI96" i="25"/>
  <c r="AI103" i="25"/>
  <c r="AI51" i="25"/>
  <c r="AI52" i="25"/>
  <c r="AI58" i="25"/>
  <c r="AI73" i="25"/>
  <c r="AI64" i="25"/>
  <c r="AI123" i="25"/>
  <c r="AI108" i="25"/>
  <c r="AI68" i="25"/>
  <c r="AI98" i="25"/>
  <c r="AI124" i="25"/>
  <c r="AI101" i="25"/>
  <c r="AI5" i="25"/>
  <c r="AI83" i="25" l="1"/>
  <c r="AI146" i="25"/>
  <c r="AI4" i="25"/>
  <c r="AI78" i="25" s="1"/>
  <c r="AA41" i="1" s="1"/>
  <c r="AA48" i="1" s="1"/>
  <c r="AC48" i="1" l="1"/>
  <c r="AA38" i="1"/>
  <c r="AA9" i="1" s="1"/>
  <c r="AI80" i="25"/>
  <c r="AI81" i="25" s="1"/>
  <c r="AI160" i="25"/>
  <c r="AI161" i="25" s="1"/>
  <c r="AA160" i="1" l="1"/>
  <c r="AC9" i="1"/>
  <c r="AA7" i="1"/>
  <c r="AC7" i="1" s="1"/>
  <c r="AD7" i="1" s="1"/>
  <c r="AA85" i="1"/>
  <c r="AA108" i="1"/>
  <c r="AA70" i="1"/>
  <c r="AC70" i="1" l="1"/>
  <c r="AA71" i="1"/>
  <c r="AC85" i="1"/>
  <c r="AA74" i="1"/>
  <c r="AC108" i="1"/>
  <c r="AD9" i="1"/>
  <c r="AA142" i="1"/>
  <c r="AA161" i="1"/>
  <c r="AA143" i="1" s="1"/>
  <c r="AA73" i="1" l="1"/>
  <c r="AC74" i="1"/>
  <c r="AC71" i="1"/>
  <c r="AC73" i="1" l="1"/>
  <c r="AC105" i="1" s="1"/>
  <c r="AA105" i="1"/>
  <c r="AA112" i="1" l="1"/>
  <c r="AA106" i="1"/>
  <c r="AA164" i="1"/>
  <c r="AA167" i="1" s="1"/>
  <c r="AA168" i="1" s="1"/>
  <c r="AC106" i="1"/>
  <c r="AC112" i="1"/>
  <c r="AC116" i="1" s="1"/>
  <c r="AA116" i="1" l="1"/>
  <c r="AA113" i="1"/>
  <c r="AA1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Наталья</author>
  </authors>
  <commentList>
    <comment ref="K15" authorId="0" shapeId="0" xr:uid="{70AB51E1-F774-4A31-B9DC-299884891DB3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Омега 1 438 910+НильсонАвто 426559</t>
        </r>
      </text>
    </comment>
    <comment ref="K20" authorId="0" shapeId="0" xr:uid="{CFEEF675-0D4F-487B-97B5-7B5DF860B2E0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Акувью 13 200 000
</t>
        </r>
      </text>
    </comment>
    <comment ref="K25" authorId="0" shapeId="0" xr:uid="{97DA1042-0646-447F-9CB9-1F7EF965910D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Кусто 231680</t>
        </r>
      </text>
    </comment>
    <comment ref="G32" authorId="0" shapeId="0" xr:uid="{5595CA4B-7C4E-40D3-9B06-D5299323F0AA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Grundig
</t>
        </r>
      </text>
    </comment>
    <comment ref="I33" authorId="0" shapeId="0" xr:uid="{B8E9F2BB-E425-4D86-B8A8-776CFEB91964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Hostkey 1475614+шашлыкофф 1181515
</t>
        </r>
      </text>
    </comment>
    <comment ref="W33" authorId="0" shapeId="0" xr:uid="{1F1E4603-A8EC-4643-AEFF-9565FFFF3BD2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2 500 000 Guess, 4 165 737 Страна Девелопмент</t>
        </r>
      </text>
    </comment>
    <comment ref="G34" authorId="0" shapeId="0" xr:uid="{E7D37AAB-EFE5-4FBA-A3CC-A64B942A3F30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Pedant 28000+Thai Rooms 25442
</t>
        </r>
      </text>
    </comment>
    <comment ref="I34" authorId="0" shapeId="0" xr:uid="{35D9BAE4-57BC-4688-AABB-70D8446570B0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Clever 15600+Газфонд 24975
</t>
        </r>
      </text>
    </comment>
    <comment ref="AD35" authorId="0" shapeId="0" xr:uid="{69F6DEA4-9621-490F-8EAD-208B5BDC896E}">
      <text>
        <r>
          <rPr>
            <b/>
            <sz val="9"/>
            <color indexed="81"/>
            <rFont val="Tahoma"/>
            <family val="2"/>
            <charset val="204"/>
          </rPr>
          <t>ср. чек продаж</t>
        </r>
      </text>
    </comment>
    <comment ref="M90" authorId="0" shapeId="0" xr:uid="{510E71C7-E682-4722-81BB-758A8B612BE8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ИП Фомин-поиск персонала</t>
        </r>
      </text>
    </comment>
    <comment ref="O90" authorId="0" shapeId="0" xr:uid="{0B226271-3173-4045-9FE5-0CF701CF82F0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командировочные Филиппова</t>
        </r>
      </text>
    </comment>
    <comment ref="M92" authorId="0" shapeId="0" xr:uid="{FBDB3AF2-0D6C-45D5-B169-CAA432B95D91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командировочные расходы</t>
        </r>
      </text>
    </comment>
    <comment ref="F94" authorId="0" shapeId="0" xr:uid="{56B7C254-8A73-44EE-96AF-FC25847794ED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аналитики</t>
        </r>
      </text>
    </comment>
    <comment ref="O94" authorId="0" shapeId="0" xr:uid="{2F890C84-8295-4E9E-8466-BA84413A1E59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Обучени 100000 ваня
, 89900 стратегия Аля чипкрва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Наталья</author>
  </authors>
  <commentList>
    <comment ref="Z8" authorId="0" shapeId="0" xr:uid="{228DC035-9831-43C0-871F-3D2BBB6D7B8E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+69400 за июль учтено в августе</t>
        </r>
      </text>
    </comment>
    <comment ref="S38" authorId="0" shapeId="0" xr:uid="{FD44653E-95EC-49EB-BCCE-DC77DF952B8E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в т.ч. Аналитика </t>
        </r>
      </text>
    </comment>
    <comment ref="AE39" authorId="0" shapeId="0" xr:uid="{53CA8357-CAF6-4DDA-BBCF-429940511142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аналитика ВА 05-07</t>
        </r>
      </text>
    </comment>
    <comment ref="Z43" authorId="0" shapeId="0" xr:uid="{EFD26024-869C-4D75-A383-EA547AD0974F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удалила, тк работы закончены,закрыты Q2</t>
        </r>
      </text>
    </comment>
    <comment ref="U151" authorId="0" shapeId="0" xr:uid="{F767F9AD-3A56-490E-8938-C7CB7AD4BE57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акт в мае
</t>
        </r>
      </text>
    </comment>
    <comment ref="U152" authorId="0" shapeId="0" xr:uid="{0998323E-81DB-4B1F-9B6D-F8550044C7DF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Саргсян 12000майский акт, 57000 за апрель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Наталья</author>
    <author/>
  </authors>
  <commentList>
    <comment ref="Z9" authorId="0" shapeId="0" xr:uid="{CA55C207-E411-40FD-8063-5CD35726E919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оплата 20400 за 3 мес. В августе
</t>
        </r>
      </text>
    </comment>
    <comment ref="AB9" authorId="0" shapeId="0" xr:uid="{FEE1E249-A905-4306-A541-3B6C832A655A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оплата 20400 за 3 мес. В августе
</t>
        </r>
      </text>
    </comment>
    <comment ref="AD9" authorId="0" shapeId="0" xr:uid="{9BDDA367-8EC3-48EC-B409-9380466A05BA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оплата 20400 за 3 мес. В августе
</t>
        </r>
      </text>
    </comment>
    <comment ref="AF9" authorId="0" shapeId="0" xr:uid="{30A1A6B4-996D-4B1F-A772-42D6BA67EB25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оплата 20400 за 3 мес. В ноябре
</t>
        </r>
      </text>
    </comment>
    <comment ref="AH9" authorId="0" shapeId="0" xr:uid="{E49C1E41-E179-4B7F-9376-85AB2454DA62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оплата 20400 за 3 мес. В ноябре
</t>
        </r>
      </text>
    </comment>
    <comment ref="V12" authorId="0" shapeId="0" xr:uid="{B58F5B01-0144-4AC8-AF6E-37BCEA595305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оплата годовой подписки 22584,96</t>
        </r>
      </text>
    </comment>
    <comment ref="X12" authorId="0" shapeId="0" xr:uid="{4F6979B3-9F20-4D3D-9DE7-649FAE4A421A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оплата годовой подписки 22584,96</t>
        </r>
      </text>
    </comment>
    <comment ref="Z12" authorId="0" shapeId="0" xr:uid="{087E96D6-57DE-443C-9168-84A28BDBB808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оплата годовой подписки 22584,96</t>
        </r>
      </text>
    </comment>
    <comment ref="AB12" authorId="0" shapeId="0" xr:uid="{D2CB040D-CE71-4B06-B35D-3DF7C557246C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оплата годовой подписки 22584,96</t>
        </r>
      </text>
    </comment>
    <comment ref="AD12" authorId="0" shapeId="0" xr:uid="{6918D3DF-702C-4AFF-86D8-4925DABF90F7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оплата годовой подписки 22584,96</t>
        </r>
      </text>
    </comment>
    <comment ref="AF12" authorId="0" shapeId="0" xr:uid="{6B4988F6-BE8A-4C73-A800-72E20D20498C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оплата годовой подписки 22584,96</t>
        </r>
      </text>
    </comment>
    <comment ref="AH12" authorId="0" shapeId="0" xr:uid="{61F46A86-2F63-4271-97B4-77107DCE1945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оплата годовой подписки 22584,96</t>
        </r>
      </text>
    </comment>
    <comment ref="C14" authorId="1" shapeId="0" xr:uid="{039759A1-1308-4C88-A128-7ED2E113F9A5}">
      <text>
        <r>
          <rPr>
            <sz val="10"/>
            <color rgb="FF000000"/>
            <rFont val="Calibri"/>
            <family val="2"/>
            <charset val="204"/>
            <scheme val="minor"/>
          </rPr>
          <t>больше не платим
	-Email Soldiers</t>
        </r>
      </text>
    </comment>
    <comment ref="N18" authorId="0" shapeId="0" xr:uid="{18C85CE7-FDAE-487A-9015-BDB11A402D41}">
      <text>
        <r>
          <rPr>
            <b/>
            <sz val="9"/>
            <color indexed="81"/>
            <rFont val="Tahoma"/>
            <family val="2"/>
            <charset val="204"/>
          </rPr>
          <t>Наталья:
оплата за 12 мес 43128</t>
        </r>
      </text>
    </comment>
    <comment ref="P18" authorId="0" shapeId="0" xr:uid="{2FA1CD22-5A7A-42FA-8F2E-DAC0DA2D5800}">
      <text>
        <r>
          <rPr>
            <b/>
            <sz val="9"/>
            <color indexed="81"/>
            <rFont val="Tahoma"/>
            <family val="2"/>
            <charset val="204"/>
          </rPr>
          <t>Наталья:
оплата за 12 мес 43128</t>
        </r>
      </text>
    </comment>
    <comment ref="R18" authorId="0" shapeId="0" xr:uid="{3AC61967-91F2-45C8-A051-C5809B0813E9}">
      <text>
        <r>
          <rPr>
            <b/>
            <sz val="9"/>
            <color indexed="81"/>
            <rFont val="Tahoma"/>
            <family val="2"/>
            <charset val="204"/>
          </rPr>
          <t>Наталья:
оплата за 12 мес 43128</t>
        </r>
      </text>
    </comment>
    <comment ref="T18" authorId="0" shapeId="0" xr:uid="{B24847EB-0C2D-475A-9166-C4FA8A8BBD87}">
      <text>
        <r>
          <rPr>
            <b/>
            <sz val="9"/>
            <color indexed="81"/>
            <rFont val="Tahoma"/>
            <family val="2"/>
            <charset val="204"/>
          </rPr>
          <t>Наталья:
оплата за 12 мес 43128</t>
        </r>
      </text>
    </comment>
    <comment ref="V18" authorId="0" shapeId="0" xr:uid="{8B9B79A7-D150-4AA9-A212-A3094635E215}">
      <text>
        <r>
          <rPr>
            <b/>
            <sz val="9"/>
            <color indexed="81"/>
            <rFont val="Tahoma"/>
            <family val="2"/>
            <charset val="204"/>
          </rPr>
          <t>Наталья:
оплата за 12 мес 43128</t>
        </r>
      </text>
    </comment>
    <comment ref="X18" authorId="0" shapeId="0" xr:uid="{C67D3B55-853A-4F96-A237-944E2E56368D}">
      <text>
        <r>
          <rPr>
            <b/>
            <sz val="9"/>
            <color indexed="81"/>
            <rFont val="Tahoma"/>
            <family val="2"/>
            <charset val="204"/>
          </rPr>
          <t>Наталья:
оплата за 12 мес 43128</t>
        </r>
      </text>
    </comment>
    <comment ref="Z18" authorId="0" shapeId="0" xr:uid="{A8F58499-03D8-471E-9EBB-6755D8DC491E}">
      <text>
        <r>
          <rPr>
            <b/>
            <sz val="9"/>
            <color indexed="81"/>
            <rFont val="Tahoma"/>
            <family val="2"/>
            <charset val="204"/>
          </rPr>
          <t>Наталья:
оплата за 12 мес 43128</t>
        </r>
      </text>
    </comment>
    <comment ref="B25" authorId="1" shapeId="0" xr:uid="{F1BDEA38-8FF5-4D5A-A12F-E1261DC40BEE}">
      <text>
        <r>
          <rPr>
            <sz val="10"/>
            <color rgb="FF000000"/>
            <rFont val="Calibri"/>
            <family val="2"/>
            <charset val="204"/>
            <scheme val="minor"/>
          </rPr>
          <t>Ещё Тильда  — коструктор сайтов 
12000 в год
ООО "Тильда Паблишинг"
	-Email Soldiers</t>
        </r>
      </text>
    </comment>
    <comment ref="L26" authorId="0" shapeId="0" xr:uid="{D2BA1F9F-6757-417A-A168-9922D960C79E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учтено в ноябре 24 в сумме 12000
</t>
        </r>
      </text>
    </comment>
    <comment ref="N26" authorId="0" shapeId="0" xr:uid="{3EE1B7EF-9154-4826-84F0-5A30854FB78B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учтено в ноябре 24 в сумме 12000
</t>
        </r>
      </text>
    </comment>
    <comment ref="P26" authorId="0" shapeId="0" xr:uid="{94A6B5C9-E154-4F87-AE75-50E9948D3867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учтено в ноябре 24 в сумме 12000
</t>
        </r>
      </text>
    </comment>
    <comment ref="R26" authorId="0" shapeId="0" xr:uid="{2899DB34-0E33-44B8-9CD4-4042EC909640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учтено в ноябре 24 в сумме 12000
</t>
        </r>
      </text>
    </comment>
    <comment ref="T26" authorId="0" shapeId="0" xr:uid="{AF7872F0-7E3A-4BD2-8C63-BDD8DEB7CEEE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учтено в ноябре 24 в сумме 12000
</t>
        </r>
      </text>
    </comment>
    <comment ref="V26" authorId="0" shapeId="0" xr:uid="{F9D42A82-6622-4F35-B75F-0713D14A87BC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учтено в ноябре 24 в сумме 12000
</t>
        </r>
      </text>
    </comment>
    <comment ref="X26" authorId="0" shapeId="0" xr:uid="{69CA64F2-CDC7-4A8D-BBB5-C3887A3DEEDA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учтено в ноябре 24 в сумме 12000
</t>
        </r>
      </text>
    </comment>
    <comment ref="Z26" authorId="0" shapeId="0" xr:uid="{63905751-E5A0-484E-991D-DB57B539EB42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учтено в ноябре 24 в сумме 12000
</t>
        </r>
      </text>
    </comment>
    <comment ref="AB26" authorId="0" shapeId="0" xr:uid="{3BAF2E3A-C2B1-4394-A2E4-C150CF18D42E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учтено в ноябре 24 в сумме 12000
</t>
        </r>
      </text>
    </comment>
    <comment ref="AD26" authorId="0" shapeId="0" xr:uid="{D632431B-1DCD-4EBD-95C4-B3C171BA8ADA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учтено в ноябре 24 в сумме 12000
</t>
        </r>
      </text>
    </comment>
    <comment ref="AF26" authorId="0" shapeId="0" xr:uid="{665986DF-BE1A-4BC7-85FC-63102D743523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учтено в ноябре 24 в сумме 12000
</t>
        </r>
      </text>
    </comment>
    <comment ref="AH26" authorId="0" shapeId="0" xr:uid="{2C0C7EBB-C99D-4AEB-9675-0D1EDE16802B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учтено в ноябре 24 в сумме 12000
</t>
        </r>
      </text>
    </comment>
    <comment ref="B28" authorId="1" shapeId="0" xr:uid="{C4DB98F6-D17F-4533-B683-7D845655C8B4}">
      <text>
        <r>
          <rPr>
            <sz val="10"/>
            <color rgb="FF000000"/>
            <rFont val="Calibri"/>
            <family val="2"/>
            <charset val="204"/>
            <scheme val="minor"/>
          </rPr>
          <t>платформа автоматизации найма
	-Email Soldiers</t>
        </r>
      </text>
    </comment>
    <comment ref="D28" authorId="1" shapeId="0" xr:uid="{96F977BB-A6D8-49BF-AE7F-565BB576ABC3}">
      <text>
        <r>
          <rPr>
            <sz val="10"/>
            <color rgb="FF000000"/>
            <rFont val="Calibri"/>
            <family val="2"/>
            <charset val="204"/>
            <scheme val="minor"/>
          </rPr>
          <t>ООО "Хантфлоу"
	-Email Soldiers</t>
        </r>
      </text>
    </comment>
    <comment ref="Z28" authorId="0" shapeId="0" xr:uid="{5F793E5E-8E24-47EB-9CDA-D0CF1BCCBDCC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в августе оплата лицензии на год 132000
</t>
        </r>
      </text>
    </comment>
    <comment ref="AB28" authorId="0" shapeId="0" xr:uid="{33951033-2E8C-49AD-9328-34BF20161B9A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в августе оплата лицензии на год 132000
</t>
        </r>
      </text>
    </comment>
    <comment ref="AD28" authorId="0" shapeId="0" xr:uid="{C2732BF5-3F95-4787-B1B2-ADCFE701D506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в августе оплата лицензии на год 132000
</t>
        </r>
      </text>
    </comment>
    <comment ref="AF28" authorId="0" shapeId="0" xr:uid="{2F406469-39C9-4A1E-AF1F-C11D4CC86A65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в августе оплата лицензии на год 132000
</t>
        </r>
      </text>
    </comment>
    <comment ref="AH28" authorId="0" shapeId="0" xr:uid="{EAE20242-43A0-42DB-97FC-9992E9EFD96E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в августе оплата лицензии на год 132000
</t>
        </r>
      </text>
    </comment>
    <comment ref="AB30" authorId="0" shapeId="0" xr:uid="{C848FFAB-2E0F-412C-B7A1-A329450E4673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Вернигоров</t>
        </r>
      </text>
    </comment>
    <comment ref="B31" authorId="1" shapeId="0" xr:uid="{EBAF7B83-7A7D-47E1-94C1-F68846B08E7D}">
      <text>
        <r>
          <rPr>
            <sz val="10"/>
            <color rgb="FF000000"/>
            <rFont val="Calibri"/>
            <family val="2"/>
            <charset val="204"/>
            <scheme val="minor"/>
          </rPr>
          <t>не згаю, стоит ли это как платформу указывать, потому что мы покупаем не платформы а отдельно тестирования. это ситуацитвно, т.е. нужны покупаем, не нужны не покупаем
	-Email Soldiers</t>
        </r>
      </text>
    </comment>
    <comment ref="P33" authorId="0" shapeId="0" xr:uid="{3F62C32D-488B-401D-A4BF-B1AD245333F1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оплата 41958 на 7 мес. от 14.03.</t>
        </r>
      </text>
    </comment>
    <comment ref="R33" authorId="0" shapeId="0" xr:uid="{E8F4750D-8B1C-40E0-B395-A8E682E44FE0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оплата 41958 на 7 мес. от 14.03.</t>
        </r>
      </text>
    </comment>
    <comment ref="T33" authorId="0" shapeId="0" xr:uid="{902D8F60-BD87-4645-B8BE-AD8901FCD47F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оплата 41958 на 7 мес. от 14.03.</t>
        </r>
      </text>
    </comment>
    <comment ref="V33" authorId="0" shapeId="0" xr:uid="{4B881DAF-C64F-4984-9F7A-76F3AFA20709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оплата 41958 на 7 мес. от 14.03.</t>
        </r>
      </text>
    </comment>
    <comment ref="X33" authorId="0" shapeId="0" xr:uid="{134026FD-62D1-4AF4-8E74-F7C1365EE1FE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оплата 41958 на 7 мес. от 14.03.</t>
        </r>
      </text>
    </comment>
    <comment ref="Z33" authorId="0" shapeId="0" xr:uid="{5004DB3B-C271-478C-AD21-D6FF05BA06E8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оплата 41958 на 7 мес. от 14.03.</t>
        </r>
      </text>
    </comment>
    <comment ref="AB33" authorId="0" shapeId="0" xr:uid="{197C6FBA-8269-4537-A5E3-756C68E06950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оплата 41958 на 7 мес. от 14.03.</t>
        </r>
      </text>
    </comment>
    <comment ref="AD33" authorId="0" shapeId="0" xr:uid="{5F7AEAB1-C7EA-4120-BCB1-367A50C18A9B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оплата 41958 на 7 мес. от 14.03.</t>
        </r>
      </text>
    </comment>
    <comment ref="AF33" authorId="0" shapeId="0" xr:uid="{5C4AED7F-161F-4716-B8F6-A2A2DBFA2006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оплата 20388 на 7 мес. от 07.11.</t>
        </r>
      </text>
    </comment>
    <comment ref="AH33" authorId="0" shapeId="0" xr:uid="{E44BDDFC-9ABA-45EA-A821-5D6DC668D389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оплата 20388 на 7 мес. от 07.11.</t>
        </r>
      </text>
    </comment>
    <comment ref="AD35" authorId="0" shapeId="0" xr:uid="{DF0230A2-C1A6-46B0-B3F7-9250357AEB95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годовая оплата в октябре 25г 10800</t>
        </r>
      </text>
    </comment>
    <comment ref="V36" authorId="0" shapeId="0" xr:uid="{14C031E7-3DA6-4D3A-9182-4E7074BD7581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Бета Воип</t>
        </r>
      </text>
    </comment>
    <comment ref="X36" authorId="0" shapeId="0" xr:uid="{8D21EF5A-D9A8-4927-A691-AF155609B995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Бета Воип</t>
        </r>
      </text>
    </comment>
    <comment ref="Z36" authorId="0" shapeId="0" xr:uid="{7DB429FE-2DDE-48CF-B8EC-DF720B291F8B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Бета Воип</t>
        </r>
      </text>
    </comment>
    <comment ref="AB36" authorId="0" shapeId="0" xr:uid="{C297E6BE-8E19-4351-8D85-8A64E941A2C9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Бета Воип</t>
        </r>
      </text>
    </comment>
    <comment ref="AD36" authorId="0" shapeId="0" xr:uid="{A9B21AD2-DC46-4FED-B976-C3232C47905D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Бета Воип</t>
        </r>
      </text>
    </comment>
    <comment ref="AF36" authorId="0" shapeId="0" xr:uid="{8CC68521-FE01-4D8E-A68B-135AC4F1C103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Бета Воип</t>
        </r>
      </text>
    </comment>
    <comment ref="AH36" authorId="0" shapeId="0" xr:uid="{3015CE2F-6384-4C4B-A142-43C87B10F785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Бета Воип</t>
        </r>
      </text>
    </comment>
    <comment ref="AD56" authorId="0" shapeId="0" xr:uid="{0C436AD5-9F09-4347-9D62-0B031EA10358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домен годовая оплата 5796</t>
        </r>
      </text>
    </comment>
    <comment ref="L59" authorId="0" shapeId="0" xr:uid="{EBA529AC-0E2F-4E4D-B0AB-A4ED62CC5D6D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нет акта
</t>
        </r>
      </text>
    </comment>
    <comment ref="AF63" authorId="0" shapeId="0" xr:uid="{EA2BD95F-D6FB-4D5B-A639-BB433D25D1DF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включая расходы на др компании</t>
        </r>
      </text>
    </comment>
    <comment ref="AH63" authorId="0" shapeId="0" xr:uid="{166DBCCA-EA01-4445-80A6-F04E7BD2DDE6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включая расходы на др компании</t>
        </r>
      </text>
    </comment>
    <comment ref="R79" authorId="0" shapeId="0" xr:uid="{730288BA-4DF3-4111-AD19-D37E48FE3C97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КлючАвто
</t>
        </r>
      </text>
    </comment>
    <comment ref="T79" authorId="0" shapeId="0" xr:uid="{D2562C93-AABE-4A0D-B1FB-027EDDA58ED4}">
      <text>
        <r>
          <rPr>
            <b/>
            <sz val="9"/>
            <color indexed="81"/>
            <rFont val="Tahoma"/>
            <family val="2"/>
            <charset val="204"/>
          </rPr>
          <t>Здравсити</t>
        </r>
      </text>
    </comment>
    <comment ref="AB91" authorId="0" shapeId="0" xr:uid="{26ECE16F-8866-441B-A629-6C43B9566BC6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сумма на год 58689- в месяц 4890</t>
        </r>
      </text>
    </comment>
    <comment ref="AD91" authorId="0" shapeId="0" xr:uid="{FB91986F-DC96-4BDB-B502-B609A5825AF7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сумма на год 58689- в месяц 4890</t>
        </r>
      </text>
    </comment>
    <comment ref="AF91" authorId="0" shapeId="0" xr:uid="{10BC1955-7A00-4EB5-8405-01CFC8289ADD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сумма на год 58689- в месяц 4890</t>
        </r>
      </text>
    </comment>
    <comment ref="AH91" authorId="0" shapeId="0" xr:uid="{CF9B5C0B-22DC-4F5B-A868-2E231462227A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сумма на год 58689- в месяц 4890</t>
        </r>
      </text>
    </comment>
    <comment ref="N92" authorId="0" shapeId="0" xr:uid="{1C840B61-1A70-449C-8A70-E4F57266636D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Диадок на год 48300</t>
        </r>
      </text>
    </comment>
    <comment ref="P92" authorId="0" shapeId="0" xr:uid="{3BB6DD30-809A-4781-BA6D-AB7DF2C8E5D8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Диадок на год 48300</t>
        </r>
      </text>
    </comment>
    <comment ref="R92" authorId="0" shapeId="0" xr:uid="{6301DC85-2D94-4785-8B69-A65B75E901DB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Диадок на год 48300</t>
        </r>
      </text>
    </comment>
    <comment ref="T92" authorId="0" shapeId="0" xr:uid="{25A85412-6308-46E1-B74E-AF08CDCB9C16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Диадок на год 48300</t>
        </r>
      </text>
    </comment>
    <comment ref="V92" authorId="0" shapeId="0" xr:uid="{BA06CF5F-379D-442F-9A68-B102D5E0A5BC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Диадок на год 48300</t>
        </r>
      </text>
    </comment>
    <comment ref="X92" authorId="0" shapeId="0" xr:uid="{5735D01A-593B-4434-AB97-7DB951DD442A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Диадок на год 48300</t>
        </r>
      </text>
    </comment>
    <comment ref="Z92" authorId="0" shapeId="0" xr:uid="{57063D98-806B-4869-A5E6-CB92832A2BAE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Диадок на год 48300</t>
        </r>
      </text>
    </comment>
    <comment ref="AB92" authorId="0" shapeId="0" xr:uid="{DDAFDD1F-5F49-4971-BFB8-1BFFC79A8A90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Диадок на год 48300</t>
        </r>
      </text>
    </comment>
    <comment ref="AD92" authorId="0" shapeId="0" xr:uid="{E6669CE3-048F-47A0-8313-E51231023505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Диадок на год 48300</t>
        </r>
      </text>
    </comment>
    <comment ref="AF92" authorId="0" shapeId="0" xr:uid="{37A64636-59A9-4F46-9522-3BCAA3C2E924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Диадок на год 48300</t>
        </r>
      </text>
    </comment>
    <comment ref="AH92" authorId="0" shapeId="0" xr:uid="{9C33CFC8-31DB-47E7-843B-569DA2ADD50F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Диадок на год 48300</t>
        </r>
      </text>
    </comment>
    <comment ref="AF93" authorId="0" shapeId="0" xr:uid="{4EAA4061-3DF4-4F48-ADC5-7FCAB4FC97A7}">
      <text>
        <r>
          <rPr>
            <b/>
            <sz val="9"/>
            <color indexed="81"/>
            <rFont val="Tahoma"/>
            <family val="2"/>
            <charset val="204"/>
          </rPr>
          <t>Наталья:
Оплата годовой подписки 22.11. 243599,62</t>
        </r>
      </text>
    </comment>
    <comment ref="AH93" authorId="0" shapeId="0" xr:uid="{CC546B5C-08F0-4D7B-B911-47A5056D421E}">
      <text>
        <r>
          <rPr>
            <b/>
            <sz val="9"/>
            <color indexed="81"/>
            <rFont val="Tahoma"/>
            <family val="2"/>
            <charset val="204"/>
          </rPr>
          <t>Наталья:
Оплата годовой подписки 22.11. 243599,62</t>
        </r>
      </text>
    </comment>
    <comment ref="V94" authorId="0" shapeId="0" xr:uid="{803751A8-4A9B-41A6-B948-FDF0B1413B01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Оплата годовой подписки со скидкой 6587,28</t>
        </r>
      </text>
    </comment>
    <comment ref="X94" authorId="0" shapeId="0" xr:uid="{A5B68E8F-5BC3-44C0-8286-CF518283EE18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Оплата годовой подписки со скидкой 6587,28</t>
        </r>
      </text>
    </comment>
    <comment ref="Z94" authorId="0" shapeId="0" xr:uid="{01676F30-65C3-4C20-AFDB-E0A6B97D6A3C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Оплата годовой подписки со скидкой 6587,28</t>
        </r>
      </text>
    </comment>
    <comment ref="AB94" authorId="0" shapeId="0" xr:uid="{F261203E-58AB-4FB2-9165-BC8949C1BF50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Оплата годовой подписки со скидкой 6587,28</t>
        </r>
      </text>
    </comment>
    <comment ref="AD94" authorId="0" shapeId="0" xr:uid="{5A187C3E-5F4E-4D08-BD15-F663178E982F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Оплата годовой подписки со скидкой 6587,28</t>
        </r>
      </text>
    </comment>
    <comment ref="AF94" authorId="0" shapeId="0" xr:uid="{E269DFDC-83B7-4BA2-87DA-C73F25A99245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Оплата годовой подписки со скидкой 6587,28</t>
        </r>
      </text>
    </comment>
    <comment ref="AH94" authorId="0" shapeId="0" xr:uid="{B7A5C718-EBA2-418F-AF6B-9083ED241DC5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Оплата годовой подписки со скидкой 6587,28</t>
        </r>
      </text>
    </comment>
    <comment ref="AH99" authorId="0" shapeId="0" xr:uid="{4FA92104-7617-4D81-88F6-0EB0DE56CCD6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оплата 11.12. за 12 мес.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Наталья</author>
  </authors>
  <commentList>
    <comment ref="G298" authorId="0" shapeId="0" xr:uid="{B83B1D6E-62C0-4FCC-AC7A-B293AA94605F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корректировка +11553 за февраль
в ячейке сумма за 2 месяца февраль+март
</t>
        </r>
      </text>
    </comment>
    <comment ref="G310" authorId="0" shapeId="0" xr:uid="{F1B64F3D-574B-4BB7-B592-03C13E0D0A06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корректировка февраль +74470
в ячейке сумма за 2 месяца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Наталья</author>
  </authors>
  <commentList>
    <comment ref="R48" authorId="0" shapeId="0" xr:uid="{B020EC14-C5AD-46D4-A070-223FADFD300C}">
      <text>
        <r>
          <rPr>
            <b/>
            <sz val="9"/>
            <color indexed="81"/>
            <rFont val="Tahoma"/>
            <family val="2"/>
            <charset val="204"/>
          </rPr>
          <t>будут работы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Наталья</author>
  </authors>
  <commentList>
    <comment ref="B12" authorId="0" shapeId="0" xr:uid="{4937890F-5B58-4C9C-B771-939C1EF9125B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контракт на 2025 год 6 183 149
</t>
        </r>
      </text>
    </comment>
    <comment ref="G26" authorId="0" shapeId="0" xr:uid="{F653EE7A-0997-4D9E-95F6-10FBED5361EB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в CS</t>
        </r>
      </text>
    </comment>
    <comment ref="E30" authorId="0" shapeId="0" xr:uid="{6FB32AD7-054B-4600-8FEA-B43E5A689143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БОРИСХОФ 1</t>
        </r>
      </text>
    </comment>
    <comment ref="G62" authorId="0" shapeId="0" xr:uid="{9020C2BB-6629-4C52-965E-3BA58E0DFCBD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отнесено к выручке CS</t>
        </r>
      </text>
    </comment>
    <comment ref="K135" authorId="0" shapeId="0" xr:uid="{FAEE5A69-9E8E-4810-8F14-B4A59846C6E0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мастершаблоны
</t>
        </r>
      </text>
    </comment>
    <comment ref="J151" authorId="0" shapeId="0" xr:uid="{A8F7DE6A-00EB-4A79-8A8F-AC1DD4BB641D}">
      <text>
        <r>
          <rPr>
            <b/>
            <sz val="9"/>
            <color indexed="81"/>
            <rFont val="Tahoma"/>
            <family val="2"/>
            <charset val="204"/>
          </rPr>
          <t>Наталья:</t>
        </r>
        <r>
          <rPr>
            <sz val="9"/>
            <color indexed="81"/>
            <rFont val="Tahoma"/>
            <family val="2"/>
            <charset val="204"/>
          </rPr>
          <t xml:space="preserve">
перенос с июня по просьбе клиента</t>
        </r>
      </text>
    </comment>
  </commentList>
</comments>
</file>

<file path=xl/sharedStrings.xml><?xml version="1.0" encoding="utf-8"?>
<sst xmlns="http://schemas.openxmlformats.org/spreadsheetml/2006/main" count="6223" uniqueCount="1254">
  <si>
    <t>Периоды</t>
  </si>
  <si>
    <t>Выручка всего</t>
  </si>
  <si>
    <t>БЛОК ПРОДАЖ</t>
  </si>
  <si>
    <t>БЛОК ПРИЗНАНИЯ ВЫРУЧКИ</t>
  </si>
  <si>
    <t>Прямые расходы</t>
  </si>
  <si>
    <t>Валовая  прибыль</t>
  </si>
  <si>
    <t>Рентабельность по валовой прибыли,%%</t>
  </si>
  <si>
    <t>Косвенные расходы</t>
  </si>
  <si>
    <t>Административные расходы</t>
  </si>
  <si>
    <t>ЗП административного персонала</t>
  </si>
  <si>
    <t>Банковские расходы</t>
  </si>
  <si>
    <t>Коммерческие расходы</t>
  </si>
  <si>
    <t>Реклама, продвижение</t>
  </si>
  <si>
    <t>Операционная прибыль(EBITDA)</t>
  </si>
  <si>
    <t>Рентабельность по Операционной прибыли,%%</t>
  </si>
  <si>
    <t>Налоги</t>
  </si>
  <si>
    <t>Кредиты</t>
  </si>
  <si>
    <t>Амортизация</t>
  </si>
  <si>
    <t>Чистая прибыль</t>
  </si>
  <si>
    <t>Рентабельность по ЧП,%%</t>
  </si>
  <si>
    <t>Чистая прибыль накопленным итогом</t>
  </si>
  <si>
    <t>Оборотный капитал</t>
  </si>
  <si>
    <t>Изменение оборотного капитала</t>
  </si>
  <si>
    <t>Запасы</t>
  </si>
  <si>
    <t>Период оборота запасов, дн</t>
  </si>
  <si>
    <t>Запасы на начало месяца</t>
  </si>
  <si>
    <t>Запасы на конец месяца</t>
  </si>
  <si>
    <t>Изменение запасов</t>
  </si>
  <si>
    <t>Кредиторская задолженность поставщики</t>
  </si>
  <si>
    <t>Период оборота КЗ, дн</t>
  </si>
  <si>
    <t>КЗ на начало месяца</t>
  </si>
  <si>
    <t>КЗ на конец месяца</t>
  </si>
  <si>
    <t>Изменение КЗ</t>
  </si>
  <si>
    <t>Дебиторская задолженность покупатели</t>
  </si>
  <si>
    <t>Период оборота ДЗ, дн</t>
  </si>
  <si>
    <t>ДЗ на начало месяца</t>
  </si>
  <si>
    <t>ДЗ на конец месяца</t>
  </si>
  <si>
    <t>Изменение ДЗ</t>
  </si>
  <si>
    <t>ДДС</t>
  </si>
  <si>
    <t>Денежные средства на начало месяца</t>
  </si>
  <si>
    <t>Денежный поток по операционной деятельности</t>
  </si>
  <si>
    <t>Денежный поток по инвестиционной деятельности</t>
  </si>
  <si>
    <t>Денежный поток по финансовой деятельности</t>
  </si>
  <si>
    <t>Полный денежный поток</t>
  </si>
  <si>
    <t>Денежные средства на конец месяца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</si>
  <si>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</si>
  <si>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</si>
  <si>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</si>
  <si>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</si>
  <si>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</si>
  <si>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</si>
  <si>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</si>
  <si>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</si>
  <si>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</si>
  <si>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</si>
  <si>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</si>
  <si>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</si>
  <si>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Выручка- текущий портфель</t>
  </si>
  <si>
    <t>Петровакс Фарм</t>
  </si>
  <si>
    <t>р.10 916 760,00</t>
  </si>
  <si>
    <t>р.1 151 965,00</t>
  </si>
  <si>
    <t>ссылка</t>
  </si>
  <si>
    <t>дата подписания ДС - 29.09 (постоплата 100% 10 кал.дней с даты подписания акта)</t>
  </si>
  <si>
    <t>план</t>
  </si>
  <si>
    <t>Проект</t>
  </si>
  <si>
    <t>Сумма продажи</t>
  </si>
  <si>
    <t>Сумма актов</t>
  </si>
  <si>
    <t>Смета проекта</t>
  </si>
  <si>
    <t>Старт работ</t>
  </si>
  <si>
    <t>Поступление денежных средств</t>
  </si>
  <si>
    <t>2023 год</t>
  </si>
  <si>
    <t>2024 год</t>
  </si>
  <si>
    <t>FC Baltika</t>
  </si>
  <si>
    <t>р.1 716 000,00</t>
  </si>
  <si>
    <t>ДС</t>
  </si>
  <si>
    <t>предоплата 100% в течение 5 раб.дней после подписания ДС</t>
  </si>
  <si>
    <t>Правильная Корзинка</t>
  </si>
  <si>
    <t>р.3 830 000,00</t>
  </si>
  <si>
    <t>предоплата 100 % за 1 месяц (этап) в течение 5 раб.дней с получения счёта</t>
  </si>
  <si>
    <t>Mars Спецпроект</t>
  </si>
  <si>
    <t>р.288 467,00</t>
  </si>
  <si>
    <t>дата получения 100 % аванса - 21.12</t>
  </si>
  <si>
    <t>jurassicocean.ru</t>
  </si>
  <si>
    <t>р.68 000,00</t>
  </si>
  <si>
    <t>дата получения 100 % аванса - 28.12</t>
  </si>
  <si>
    <t>План:</t>
  </si>
  <si>
    <t>Октябрь</t>
  </si>
  <si>
    <t>Ноябрь</t>
  </si>
  <si>
    <t>Civimart</t>
  </si>
  <si>
    <t>Benetton</t>
  </si>
  <si>
    <t>Artis21</t>
  </si>
  <si>
    <t>Лента</t>
  </si>
  <si>
    <t>Mindbox</t>
  </si>
  <si>
    <t>Vichy</t>
  </si>
  <si>
    <t>Loreal CDMO</t>
  </si>
  <si>
    <t>Кокос</t>
  </si>
  <si>
    <t>Knauf</t>
  </si>
  <si>
    <t>WRF</t>
  </si>
  <si>
    <t>Неометрия</t>
  </si>
  <si>
    <t>СК Пульс</t>
  </si>
  <si>
    <t>Gulliver</t>
  </si>
  <si>
    <t>Servier</t>
  </si>
  <si>
    <t>Алроса</t>
  </si>
  <si>
    <t>Победа Вкуса</t>
  </si>
  <si>
    <t>RD Electronics</t>
  </si>
  <si>
    <t>Amazing Red</t>
  </si>
  <si>
    <t>Rendez vous</t>
  </si>
  <si>
    <t>Технониколь</t>
  </si>
  <si>
    <t>Пионер</t>
  </si>
  <si>
    <t>JTI RMC</t>
  </si>
  <si>
    <t>Ароматный Мир</t>
  </si>
  <si>
    <t>GFN</t>
  </si>
  <si>
    <t>Большой театр</t>
  </si>
  <si>
    <t>Profmax</t>
  </si>
  <si>
    <t>Премьер</t>
  </si>
  <si>
    <t>RBI</t>
  </si>
  <si>
    <t>Триколор</t>
  </si>
  <si>
    <t>Экоокна</t>
  </si>
  <si>
    <t>Totogroup</t>
  </si>
  <si>
    <t>Бургеркинг</t>
  </si>
  <si>
    <t>wysh</t>
  </si>
  <si>
    <t>БорисХоф</t>
  </si>
  <si>
    <t>LartaGlass</t>
  </si>
  <si>
    <t>Бравос Академия</t>
  </si>
  <si>
    <t>Сбермаркет ВнутриКом</t>
  </si>
  <si>
    <t>Вотприкид</t>
  </si>
  <si>
    <t>Яндекс</t>
  </si>
  <si>
    <t>Level</t>
  </si>
  <si>
    <t>Metro</t>
  </si>
  <si>
    <t>Сумма Элементов</t>
  </si>
  <si>
    <t>gardenmart24</t>
  </si>
  <si>
    <t>Beko, Indesit, Grundig, Hotpoint</t>
  </si>
  <si>
    <t>Asna.ru</t>
  </si>
  <si>
    <t>A&amp;D Mortgage</t>
  </si>
  <si>
    <t>Fintrail</t>
  </si>
  <si>
    <t>Hyundai</t>
  </si>
  <si>
    <t>Huntflow</t>
  </si>
  <si>
    <t>ATB</t>
  </si>
  <si>
    <t>La Biosthetique</t>
  </si>
  <si>
    <t>Самолет</t>
  </si>
  <si>
    <t>DonorSearch</t>
  </si>
  <si>
    <t>Самолет +</t>
  </si>
  <si>
    <t>Skycop</t>
  </si>
  <si>
    <t>SpaDream</t>
  </si>
  <si>
    <t>Пик</t>
  </si>
  <si>
    <t>Магнит</t>
  </si>
  <si>
    <t>ИНГОССТРАХ</t>
  </si>
  <si>
    <t>Halsa</t>
  </si>
  <si>
    <t>UMAC</t>
  </si>
  <si>
    <t>Внуково</t>
  </si>
  <si>
    <t>Vnukovo Outlet Village</t>
  </si>
  <si>
    <t>ЕАптека</t>
  </si>
  <si>
    <t>Ostrovok</t>
  </si>
  <si>
    <t>Инфографика</t>
  </si>
  <si>
    <t>Здравсити</t>
  </si>
  <si>
    <t>Kalinka</t>
  </si>
  <si>
    <t>Wysh</t>
  </si>
  <si>
    <t>Бристоль</t>
  </si>
  <si>
    <t>Залог успеха</t>
  </si>
  <si>
    <t>Keyauto</t>
  </si>
  <si>
    <t>Скидка.ру</t>
  </si>
  <si>
    <t>labquest.ru</t>
  </si>
  <si>
    <t>EMS</t>
  </si>
  <si>
    <t>CS</t>
  </si>
  <si>
    <t>MONK</t>
  </si>
  <si>
    <t>Увеличение выручки текущего портфеля</t>
  </si>
  <si>
    <t>Коэффициент сезонности</t>
  </si>
  <si>
    <t>Отток</t>
  </si>
  <si>
    <t>EMS с учетом коэффициента сезонности</t>
  </si>
  <si>
    <t>ИТОГО ВЫРУЧКА  EMS</t>
  </si>
  <si>
    <t>Затраты на персонал</t>
  </si>
  <si>
    <t>Бонусы отдела продаж</t>
  </si>
  <si>
    <t>ЗП маркетинга</t>
  </si>
  <si>
    <t>ЗП отдела продаж</t>
  </si>
  <si>
    <t>ПО организационные офис</t>
  </si>
  <si>
    <t xml:space="preserve">Сервисы отдела продаж </t>
  </si>
  <si>
    <t>ПО организационные HR</t>
  </si>
  <si>
    <t>Сервисы для клиентов</t>
  </si>
  <si>
    <t>Сервисы финансы</t>
  </si>
  <si>
    <t>Средний чек</t>
  </si>
  <si>
    <t>ЗП HR команды</t>
  </si>
  <si>
    <t>Продажи</t>
  </si>
  <si>
    <t>Маркетинг</t>
  </si>
  <si>
    <t>ЗП АУП</t>
  </si>
  <si>
    <t>Исполняемость  новых контрактов+ отток новых контрактов</t>
  </si>
  <si>
    <t>Амортизация (ремонт, покупка нового оборудования)</t>
  </si>
  <si>
    <t>Выручка техническая с новых клиентов (те, кто уже в работе)</t>
  </si>
  <si>
    <t>Зарплата производственных сотрудников</t>
  </si>
  <si>
    <t>Сервисы маркетинг, в т.ч. ГПХ</t>
  </si>
  <si>
    <t>Jurasic Ocean - проект дял процесс UX аудит</t>
  </si>
  <si>
    <t>Марс - комплексный проект, подписание доков, команда (Давтян, Ерёмин)</t>
  </si>
  <si>
    <t>Малоэтажная страна - виджеты + аудит</t>
  </si>
  <si>
    <t>Мосурбан Форум - Забирает Аблов (рассылка + импорт) если все ок далее 1-2 письма</t>
  </si>
  <si>
    <t>Консулпрайм - проект от Сёрги Соболевского (ждём доки) Помощь мигрантам, беженцам и прочим бродягам. Хотят старт в имейле (можно поглядеть Астонс стратегию)</t>
  </si>
  <si>
    <t>Могут зайти:</t>
  </si>
  <si>
    <t>ЦСК - строительная контора  (стратегия + комплекс)</t>
  </si>
  <si>
    <t>Arlite- МШ + 10 триггеров из него</t>
  </si>
  <si>
    <t>Световые технологии - Аудит, после возможно триггеры и промо (2-3 месяца работы)</t>
  </si>
  <si>
    <t>Amway - может зайти после тендера</t>
  </si>
  <si>
    <t>Проект от розена - разработка ПЛ</t>
  </si>
  <si>
    <t>7 мес</t>
  </si>
  <si>
    <t>раз.</t>
  </si>
  <si>
    <t>12 мес</t>
  </si>
  <si>
    <t>2 мес.</t>
  </si>
  <si>
    <t>6 мес.</t>
  </si>
  <si>
    <t>Лид</t>
  </si>
  <si>
    <t>ИТОГО</t>
  </si>
  <si>
    <t>Клиенты на входе</t>
  </si>
  <si>
    <t>узнать у Соболевского-4 мес</t>
  </si>
  <si>
    <t>Прочие затраты на персонал (корп. расходы)</t>
  </si>
  <si>
    <t>ЗП топменеджмент (РнП)</t>
  </si>
  <si>
    <t>Распределение прибыли</t>
  </si>
  <si>
    <t>Дивиденды</t>
  </si>
  <si>
    <t>Бонус команды</t>
  </si>
  <si>
    <t>Бонус топменеджмента</t>
  </si>
  <si>
    <t>Развитие команды</t>
  </si>
  <si>
    <t>Развитие компании</t>
  </si>
  <si>
    <t>Резерв (подушка безопасности)</t>
  </si>
  <si>
    <t>рост за счет роста среднего чека</t>
  </si>
  <si>
    <t>Клиент</t>
  </si>
  <si>
    <t>1 клиент в месяц</t>
  </si>
  <si>
    <t>Итого</t>
  </si>
  <si>
    <t>ВЫРУЧКА  EMS</t>
  </si>
  <si>
    <t>средний чек</t>
  </si>
  <si>
    <t>проектов</t>
  </si>
  <si>
    <t>3  проекта на 1 менеджера</t>
  </si>
  <si>
    <t xml:space="preserve"> с учетом отпуска сотр.</t>
  </si>
  <si>
    <t>менеджер</t>
  </si>
  <si>
    <t>найм</t>
  </si>
  <si>
    <t>НАЙМ</t>
  </si>
  <si>
    <t xml:space="preserve">менеджер </t>
  </si>
  <si>
    <t>автор</t>
  </si>
  <si>
    <t>дизайнер</t>
  </si>
  <si>
    <t>верстальщик</t>
  </si>
  <si>
    <t>текущее значение</t>
  </si>
  <si>
    <t>ЗП выплаты</t>
  </si>
  <si>
    <t>Экстратраты топменеджмент (РнП)</t>
  </si>
  <si>
    <t>Вита аптека - сейчас делаем аудит, после аудита должны зайти как проект</t>
  </si>
  <si>
    <t>факт</t>
  </si>
  <si>
    <t>Повышения зпл в текущем году</t>
  </si>
  <si>
    <t>ООО "РАНДЕВУ"</t>
  </si>
  <si>
    <t>ИМПУЛЬС ООО</t>
  </si>
  <si>
    <t>БОРИСХОФ ХОЛДИНГ ООО</t>
  </si>
  <si>
    <t>ТЕХНОНИКОЛЬ-СТРОИТЕЛЬНЫЕ СИСТЕМЫ ООО</t>
  </si>
  <si>
    <t>СЗ ПИОНЕР-1 ООО</t>
  </si>
  <si>
    <t>ДЖ.Т.И. РОССИЯ ООО</t>
  </si>
  <si>
    <t>ООО "АМ Красногорск"</t>
  </si>
  <si>
    <t>АО "Арома Трейд"</t>
  </si>
  <si>
    <t>Арома Маркет</t>
  </si>
  <si>
    <t>GFN CLOUD INTERNET SERVICES LLC</t>
  </si>
  <si>
    <t>ФГБУК "Государственный академический Большой театр России"</t>
  </si>
  <si>
    <t>ИП Суходоев</t>
  </si>
  <si>
    <t>ГПМ ДАТА ООО</t>
  </si>
  <si>
    <t>СЗ Северный город</t>
  </si>
  <si>
    <t>ООО "Экоокна Сити"</t>
  </si>
  <si>
    <t>Х21 ООО</t>
  </si>
  <si>
    <t>БУРГЕР РУС ООО</t>
  </si>
  <si>
    <t>ВУШ ООО</t>
  </si>
  <si>
    <t>ПУЛЬС ООО СК</t>
  </si>
  <si>
    <t>СЗ Белые росы</t>
  </si>
  <si>
    <t>СЗ Зеленая горка</t>
  </si>
  <si>
    <t>Рафстрой</t>
  </si>
  <si>
    <t>МУСА МОТОРС ДЖЕЙ ЭЛ ЭР ООО</t>
  </si>
  <si>
    <t>ЛАРТА ГЛАСС ООО</t>
  </si>
  <si>
    <t>СБЕРМАРКЕТ</t>
  </si>
  <si>
    <t>ООО ВП</t>
  </si>
  <si>
    <t>ГК СБСВ-КЛЮЧАВТО ООО</t>
  </si>
  <si>
    <t>КИНОПОИСК ООО</t>
  </si>
  <si>
    <t>ПРЕМИУМ ЭСТЕЙТ ООО</t>
  </si>
  <si>
    <t>КАЗАНЬ РЕАЛ ЭСТЕЙТ ООО</t>
  </si>
  <si>
    <t>АРТИС 21 ООО</t>
  </si>
  <si>
    <t>МЕТРО КЭШ ЭНД КЕРРИ ООО</t>
  </si>
  <si>
    <t>Л`ОРЕАЛЬ АО</t>
  </si>
  <si>
    <t>1-Й КРАСНОГВАРДЕЙСКИЙ ООО СЗ</t>
  </si>
  <si>
    <t>ФЕРСТ ДАТА ООО</t>
  </si>
  <si>
    <t>АСНА ООО</t>
  </si>
  <si>
    <t>КОНТАКТ ООО</t>
  </si>
  <si>
    <t>ФИНЭКИП ООО</t>
  </si>
  <si>
    <t>ХЕНДЭ МОТОР СНГ ООО</t>
  </si>
  <si>
    <t>ХАНТФЛОУ ООО</t>
  </si>
  <si>
    <t>ООО "АТБ Электроника"</t>
  </si>
  <si>
    <t>ИП Русанова</t>
  </si>
  <si>
    <t>САМОЛЕТ-ФОНДЫ ООО</t>
  </si>
  <si>
    <t>САМОЛЕТ-НЕДВИЖИМОСТЬ МСК ООО</t>
  </si>
  <si>
    <t>САМОЛЕТ-РЕЗЕРВ ООО</t>
  </si>
  <si>
    <t>ООО «СПАДРИМ»</t>
  </si>
  <si>
    <t>Публичное акционерное общество "ПИК - специализированный застройщик"</t>
  </si>
  <si>
    <t>ТАНДЕР АО</t>
  </si>
  <si>
    <t>ГУЛЛИВЕР ОНЛАЙН ООО</t>
  </si>
  <si>
    <t>Майндбокс ООО</t>
  </si>
  <si>
    <t>СПАО Ингосстрах</t>
  </si>
  <si>
    <t>КОНДИТЕРСКАЯ ФАБРИКА ПОБЕДА ООО</t>
  </si>
  <si>
    <t>ХАЛСА ООО</t>
  </si>
  <si>
    <t>ЮМАК ООО</t>
  </si>
  <si>
    <t>ЕАПТЕКА ООО</t>
  </si>
  <si>
    <t>ЛЕНТА ООО</t>
  </si>
  <si>
    <t>БРОНИРОВАНИЕ ГОСТИНИЦ ООО</t>
  </si>
  <si>
    <t>ЛЕГКО ООО</t>
  </si>
  <si>
    <t>АО ЦВ ПРОТЕК</t>
  </si>
  <si>
    <t>КАЛИНКА ПРЕМИУМ ООО</t>
  </si>
  <si>
    <t>СЕРВЬЕ АО</t>
  </si>
  <si>
    <t>ПРОФИТАТОР ООО</t>
  </si>
  <si>
    <t>АЛЬБИОН-2002 ООО</t>
  </si>
  <si>
    <t>КНАУФ ГИПС ООО</t>
  </si>
  <si>
    <t>Семенив Иван Иванович</t>
  </si>
  <si>
    <t>РУТА АО</t>
  </si>
  <si>
    <t>ООО "Корзинка-6"</t>
  </si>
  <si>
    <t>ПЕТРОВАКС ФАРМ ООО</t>
  </si>
  <si>
    <t>БАЛТИКА АО ФК</t>
  </si>
  <si>
    <t>ЭЙЧАР-ПАУЭР ООО</t>
  </si>
  <si>
    <t xml:space="preserve">ИП Коняхин </t>
  </si>
  <si>
    <t>Проекты-текущий портфель EMS</t>
  </si>
  <si>
    <t>Проекты-текущий портфель CS</t>
  </si>
  <si>
    <t>ЯНДЕКС МУЗЫКА ООО</t>
  </si>
  <si>
    <t>Динаев Осман Русланович</t>
  </si>
  <si>
    <t>ИНФОРМАЦИОННОЕ АГЕНТСТВО ИНТЕРФАКС АО</t>
  </si>
  <si>
    <t>ПОЙДЁМ! АО КБ</t>
  </si>
  <si>
    <t xml:space="preserve">ТИНЬКОФФ БАНК АО
</t>
  </si>
  <si>
    <t xml:space="preserve">РСИЦ АО
</t>
  </si>
  <si>
    <t xml:space="preserve">СРП ГРУПП
</t>
  </si>
  <si>
    <t>Проекты-текущий портфель MONK</t>
  </si>
  <si>
    <t>Скан</t>
  </si>
  <si>
    <t>Geniune miracle</t>
  </si>
  <si>
    <t>Трэйдматик</t>
  </si>
  <si>
    <t>РУССКИЕ МЕЛЬНИЦЫ ООО</t>
  </si>
  <si>
    <t>И-МЕДИА ООО</t>
  </si>
  <si>
    <t>ДИОНА ООО</t>
  </si>
  <si>
    <t>ЕВРОПА ООО</t>
  </si>
  <si>
    <t>СЗ ЛАЙФ ПАВЕЛЕЦКАЯ АО</t>
  </si>
  <si>
    <t>СЗ ШИФТ ООО</t>
  </si>
  <si>
    <t>СЗ БИЗНЕС ПАРК ОСТАНКИНО ООО</t>
  </si>
  <si>
    <t>РОКВУЛ ООО</t>
  </si>
  <si>
    <t>ФОРВАРД ЛИЗИНГ ООО</t>
  </si>
  <si>
    <t>ЮТОК ООО</t>
  </si>
  <si>
    <t>Youtalk</t>
  </si>
  <si>
    <t>АГЕНТСТВО 2 ООО</t>
  </si>
  <si>
    <t>Прочее</t>
  </si>
  <si>
    <t>итого план</t>
  </si>
  <si>
    <t>Юр.лицо</t>
  </si>
  <si>
    <t>АП</t>
  </si>
  <si>
    <t>HR</t>
  </si>
  <si>
    <t>Текущий курс</t>
  </si>
  <si>
    <t>Источник затрат</t>
  </si>
  <si>
    <t>Расшифровка услуги</t>
  </si>
  <si>
    <t>Наименование поставщика</t>
  </si>
  <si>
    <t>Юр. лицо поставщика</t>
  </si>
  <si>
    <t>Оплата мес. пропорционально году с конвертацией в руб.</t>
  </si>
  <si>
    <t>Оплата год/ конвертация в руб.</t>
  </si>
  <si>
    <t>Оплата, руб/мес</t>
  </si>
  <si>
    <t>Оплата, $/мес</t>
  </si>
  <si>
    <t>Оплата,€/мес</t>
  </si>
  <si>
    <t>Оплата, ₾/мес</t>
  </si>
  <si>
    <t>Планфикс</t>
  </si>
  <si>
    <t>ООО "Сфера"</t>
  </si>
  <si>
    <t>Дискорд</t>
  </si>
  <si>
    <t>Miro</t>
  </si>
  <si>
    <t>Нейросеть</t>
  </si>
  <si>
    <t>Chat GPT</t>
  </si>
  <si>
    <t>нейросеть по созданию картинок</t>
  </si>
  <si>
    <t>Midjourney</t>
  </si>
  <si>
    <t>chat2desk</t>
  </si>
  <si>
    <t>объявления на сайте</t>
  </si>
  <si>
    <t>Хэдхантер</t>
  </si>
  <si>
    <t>"Хэдхантер" ООО</t>
  </si>
  <si>
    <t>сервис обратной связи</t>
  </si>
  <si>
    <t>Раиса</t>
  </si>
  <si>
    <t>Хантфлоу</t>
  </si>
  <si>
    <t>платформа д/онлайнконференций</t>
  </si>
  <si>
    <t>Zoom (HR)</t>
  </si>
  <si>
    <t>Сервисы отдела продаж</t>
  </si>
  <si>
    <t>Лицензия АМО ЦРМ</t>
  </si>
  <si>
    <t>АМО ЦРМ</t>
  </si>
  <si>
    <t>дополнение к АМО</t>
  </si>
  <si>
    <t>Почтовик</t>
  </si>
  <si>
    <t>телефония</t>
  </si>
  <si>
    <t>Сансим</t>
  </si>
  <si>
    <t>тенд. площадка</t>
  </si>
  <si>
    <t>Тендеры и закупки</t>
  </si>
  <si>
    <t>Zoom (продажи)</t>
  </si>
  <si>
    <t>Сервисы маркетинг</t>
  </si>
  <si>
    <t>Webflow</t>
  </si>
  <si>
    <t>аренда офис</t>
  </si>
  <si>
    <t>ИП Кучава</t>
  </si>
  <si>
    <t>коммунальные платежи</t>
  </si>
  <si>
    <t>интернет</t>
  </si>
  <si>
    <t>Эр-Телеком</t>
  </si>
  <si>
    <t>охрана</t>
  </si>
  <si>
    <t>хостинг</t>
  </si>
  <si>
    <t>Хостинг вашего успеха</t>
  </si>
  <si>
    <t>курьерская служба</t>
  </si>
  <si>
    <t>КС Холдинговая компания</t>
  </si>
  <si>
    <t>вода в офис</t>
  </si>
  <si>
    <t>Товарный двор пивоваренной компании</t>
  </si>
  <si>
    <t>Почта РФ</t>
  </si>
  <si>
    <t>нал</t>
  </si>
  <si>
    <t>платим за клиентов, включаем им в счета с комиссией</t>
  </si>
  <si>
    <t>Майндбокс, С2D тд</t>
  </si>
  <si>
    <t>файлообменник</t>
  </si>
  <si>
    <t>Bitbucket (Атлассиан)</t>
  </si>
  <si>
    <t>мобильная связь для поддержания грузинской сим-карты</t>
  </si>
  <si>
    <t>GeoCell</t>
  </si>
  <si>
    <t>Астрал</t>
  </si>
  <si>
    <t>бух. обслуживание груз. ИП</t>
  </si>
  <si>
    <t>1 с обслуживание</t>
  </si>
  <si>
    <t>1 с - личный кабинет</t>
  </si>
  <si>
    <t>спросить у Светы</t>
  </si>
  <si>
    <t>ЭДО</t>
  </si>
  <si>
    <t>Диадок</t>
  </si>
  <si>
    <t>Сервисы CS</t>
  </si>
  <si>
    <t>для создания прототипов сайтов или приложений, иллюстраций и векторной графики</t>
  </si>
  <si>
    <t>Figma</t>
  </si>
  <si>
    <t>для создания заметок и текстовых документов, списков дел, баз данных, таблиц, канбан-досок, баз знаний, ведения проектов и совместной работы.</t>
  </si>
  <si>
    <t>Notion</t>
  </si>
  <si>
    <t>платформа видеосвязи для асинхронной работы, позволяет записывать изображение с экрана и веб-камеры</t>
  </si>
  <si>
    <t>Loom</t>
  </si>
  <si>
    <t>компания, предоставляющая стоковые фотографии, видеоматериалы, музыку и инструменты редактирования.</t>
  </si>
  <si>
    <t>Shutterstock</t>
  </si>
  <si>
    <t>Сервисы ЕМС- менеджеры</t>
  </si>
  <si>
    <t>PowerBI для аналитиков</t>
  </si>
  <si>
    <t>эл. почта</t>
  </si>
  <si>
    <t>пока неизвестно. Будет оплачиваться с грузинского ИП</t>
  </si>
  <si>
    <t>тестировать рассылки на отображение в разных почтовиках</t>
  </si>
  <si>
    <t>Testi</t>
  </si>
  <si>
    <t>GOOGLE</t>
  </si>
  <si>
    <t>почтовые расходы</t>
  </si>
  <si>
    <t>total БОЛЬШИЕ</t>
  </si>
  <si>
    <t>лиды с др. каналов</t>
  </si>
  <si>
    <t>лиды маркетинг</t>
  </si>
  <si>
    <t>продажи с др. каналов</t>
  </si>
  <si>
    <t>продажи с маркетинга</t>
  </si>
  <si>
    <t>лиды с маркетинга</t>
  </si>
  <si>
    <t>total ТЕНДЕРЫ</t>
  </si>
  <si>
    <t>план total ПРОДАЖИ</t>
  </si>
  <si>
    <t>итого продажи большой целевой проект/мес</t>
  </si>
  <si>
    <t>итого продажи тендер</t>
  </si>
  <si>
    <t>ДОНОР-СЁРЧ (ПОИСК ДОНОРОВ) АНО</t>
  </si>
  <si>
    <t>ЗАЛОГ УСПЕХА ЛОМБАРД ООО</t>
  </si>
  <si>
    <t>ЮМАНИ ООО НКО</t>
  </si>
  <si>
    <t>СМАРТКЭЖУАЛ ООО</t>
  </si>
  <si>
    <t>мастершаблон</t>
  </si>
  <si>
    <t>СЗ ПРИГОРОД ЛЕСНОЕ ООО</t>
  </si>
  <si>
    <t>ВЭББАНКИР ООО МФК</t>
  </si>
  <si>
    <t>ПРОГРАММЫ 21 ВЕКА ООО</t>
  </si>
  <si>
    <t>DUXgroup</t>
  </si>
  <si>
    <t>МЕДИА ГУРУ ООО</t>
  </si>
  <si>
    <t>Красная поляна</t>
  </si>
  <si>
    <t>МЕДИН ООО</t>
  </si>
  <si>
    <t>МОБИЛЬНАЯ КАРТА ООО НКО</t>
  </si>
  <si>
    <t>КОМПАНИЯ ФОТОТЕХ ООО</t>
  </si>
  <si>
    <t>Мозамбрик</t>
  </si>
  <si>
    <t>тендерные площадки</t>
  </si>
  <si>
    <t>ИП Токмаков</t>
  </si>
  <si>
    <t>Ройстат</t>
  </si>
  <si>
    <t>чел.</t>
  </si>
  <si>
    <t>СПРАВОЧНО</t>
  </si>
  <si>
    <t>Кол-во сотрудников</t>
  </si>
  <si>
    <t>АБСОЛЮТ БАНК (ПАО) АКБ</t>
  </si>
  <si>
    <t>КОНСАЛТИНГОВЫЙ ЦЕНТР 223 ООО</t>
  </si>
  <si>
    <t>КОЛЕСА ДАРОМ.РУ ООО</t>
  </si>
  <si>
    <t>Колёса Даром</t>
  </si>
  <si>
    <t>ВАЙС ВЕРСА ГРУП ООО</t>
  </si>
  <si>
    <t>Арина Кучина</t>
  </si>
  <si>
    <t>А101</t>
  </si>
  <si>
    <t>СПЕЙСВЭБ ООО</t>
  </si>
  <si>
    <t>Эконика</t>
  </si>
  <si>
    <t>ЭСПЕРАНС ООО</t>
  </si>
  <si>
    <t>Найденова Анастасия Игоревна</t>
  </si>
  <si>
    <t>ОККО ООО</t>
  </si>
  <si>
    <t>Просолупов Олег Александрович</t>
  </si>
  <si>
    <t>Списать Долги.рус</t>
  </si>
  <si>
    <t>ПУМА-РУС ООО</t>
  </si>
  <si>
    <t>Пума</t>
  </si>
  <si>
    <t>ГОРОДСКОЙ СУПЕРМАРКЕТ ООО</t>
  </si>
  <si>
    <t>Азбука Вкуса</t>
  </si>
  <si>
    <t>ПРОГРЕСС ГРУПП ООО</t>
  </si>
  <si>
    <t>Newbeautybox</t>
  </si>
  <si>
    <t>САМОЛЕТ ПЛЮС ООО</t>
  </si>
  <si>
    <t>САМОЛЕТ ФИНАНСОВЫЕ ТЕХНОЛОГИИ ООО</t>
  </si>
  <si>
    <t xml:space="preserve">Шашлыкофф
</t>
  </si>
  <si>
    <t>ИКСПЛАНЕТ.РУ ООО</t>
  </si>
  <si>
    <t>Цупис-CS</t>
  </si>
  <si>
    <t>Делимобиль</t>
  </si>
  <si>
    <t>Выручка за год план</t>
  </si>
  <si>
    <t>Чистая прибыль за год план</t>
  </si>
  <si>
    <t>Q1</t>
  </si>
  <si>
    <t>АВТОРЫ БРОКЕРИДЖ ООО</t>
  </si>
  <si>
    <t>БОРИСХОФ 1 ООО</t>
  </si>
  <si>
    <t>КАРШЕРИНГ РУССИЯ ПАО</t>
  </si>
  <si>
    <t>Nl континент</t>
  </si>
  <si>
    <t>НЛ КОНТИНЕНТ ООО</t>
  </si>
  <si>
    <t>ШОТ ЕВГЕНИЙ ВАЛЕРЬЕВИЧ (ИП)</t>
  </si>
  <si>
    <t>ФК ЛОКОМОТИВ АО</t>
  </si>
  <si>
    <t>САМОЛЕТ ОБРАЗОВАНИЕ ООО</t>
  </si>
  <si>
    <t>САМОЛЕТ САД ЧУДО</t>
  </si>
  <si>
    <t>ТАРГО КАСТОМЗ ИНДАСТРИЗ ООО</t>
  </si>
  <si>
    <t>ТК КОУЗИ ХОУМ ООО</t>
  </si>
  <si>
    <t>Cozy Home</t>
  </si>
  <si>
    <t>Циммер Евгения Владимировна</t>
  </si>
  <si>
    <t>аврора 24</t>
  </si>
  <si>
    <t>ЭССИТИ ООО</t>
  </si>
  <si>
    <t>ЦС ДИДЖИТАЛ ООО</t>
  </si>
  <si>
    <t>ШКОЛА СПУТНИК ОАНО</t>
  </si>
  <si>
    <t>МАРС ООО</t>
  </si>
  <si>
    <t>Выручка техническая с новых клиентов ЕМС</t>
  </si>
  <si>
    <t>Компенсация за использование личного оборудования</t>
  </si>
  <si>
    <t>ЮНИСЕНДЕР СМАРТ ООО</t>
  </si>
  <si>
    <t>ТРЭЙДМАТИК ООО</t>
  </si>
  <si>
    <t>Коняхин Роман Александрович</t>
  </si>
  <si>
    <t>АЛОР+ ООО</t>
  </si>
  <si>
    <t>Mjolk</t>
  </si>
  <si>
    <t>летний спецпроект</t>
  </si>
  <si>
    <t>Totalbattle</t>
  </si>
  <si>
    <t>Сизая Анастасия Михайловна</t>
  </si>
  <si>
    <t>План-факт анализ выручки за 2024 год</t>
  </si>
  <si>
    <t>Показатель,  руб.</t>
  </si>
  <si>
    <t>План</t>
  </si>
  <si>
    <t>Факт</t>
  </si>
  <si>
    <t>Абсолютное отклонение</t>
  </si>
  <si>
    <t>Относительное отклонение</t>
  </si>
  <si>
    <t>План Q</t>
  </si>
  <si>
    <t>Факт Q</t>
  </si>
  <si>
    <t>Абсолютное отклонение Q</t>
  </si>
  <si>
    <t>Относительное отклонение Q?%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</si>
  <si>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</si>
  <si>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</si>
  <si>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</si>
  <si>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</si>
  <si>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</si>
  <si>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</si>
  <si>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</si>
  <si>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</si>
  <si>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</si>
  <si>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Декабрь</t>
  </si>
  <si>
    <t>Показатель, руб.</t>
  </si>
  <si>
    <t>Q23</t>
  </si>
  <si>
    <t xml:space="preserve"> Q24</t>
  </si>
  <si>
    <t>Относительное отклонение Q, %</t>
  </si>
  <si>
    <t>План-факт анализ чистой прибыли за 2024 год</t>
  </si>
  <si>
    <t>Относительное отклонение Q%</t>
  </si>
  <si>
    <t>Показатель, млн. руб.</t>
  </si>
  <si>
    <t>финмодель Q2</t>
  </si>
  <si>
    <t>план Q2</t>
  </si>
  <si>
    <t>финмодельQ2</t>
  </si>
  <si>
    <t xml:space="preserve"> планQ2</t>
  </si>
  <si>
    <t>Относительное отклонение Q,%</t>
  </si>
  <si>
    <t>План-факт анализ выручки 2023/2024</t>
  </si>
  <si>
    <t>Q24</t>
  </si>
  <si>
    <t>План-факт анализ чистой прибыли 2023-2024 год</t>
  </si>
  <si>
    <t>САМОЛЕТ-ГОСТЕПРИИМСТВО ООО</t>
  </si>
  <si>
    <t>ОККАМ ИКС ООО</t>
  </si>
  <si>
    <t>ЛЕГАЛБЕТ ООО</t>
  </si>
  <si>
    <t>РОССИЯ - СТРАНА ВОЗМОЖНОСТЕЙ АНО РСВ АНО</t>
  </si>
  <si>
    <t>Профразвитие</t>
  </si>
  <si>
    <t>РУСКАН АО</t>
  </si>
  <si>
    <t>СИМПЛ ООО КОМПАНИЯ</t>
  </si>
  <si>
    <t>ДОВЕРИТЕЛЬНЫЙ ИНТЕРВАЛ ООО</t>
  </si>
  <si>
    <t>Резерв (фонд ген.дира)</t>
  </si>
  <si>
    <t>Q2</t>
  </si>
  <si>
    <t>ЯНВАРЬ</t>
  </si>
  <si>
    <t>Mozabrick</t>
  </si>
  <si>
    <t>ФЕВРАЛЬ</t>
  </si>
  <si>
    <t>Мосурбанфорум</t>
  </si>
  <si>
    <t>Колеса даром</t>
  </si>
  <si>
    <t>Аврора 24</t>
  </si>
  <si>
    <t>Arlight</t>
  </si>
  <si>
    <t>Малоэтажная страна</t>
  </si>
  <si>
    <t>Авторы-CS</t>
  </si>
  <si>
    <t>Консулпрайм</t>
  </si>
  <si>
    <t>МАРТ</t>
  </si>
  <si>
    <t>Азбука вкуса</t>
  </si>
  <si>
    <t>Эссити (ZEWA)</t>
  </si>
  <si>
    <t>АПРЕЛЬ</t>
  </si>
  <si>
    <t>МАРС- 5 брендов</t>
  </si>
  <si>
    <t>Производительность. Рф</t>
  </si>
  <si>
    <t>ВСЕГО</t>
  </si>
  <si>
    <t>ПЛАН</t>
  </si>
  <si>
    <t>смета</t>
  </si>
  <si>
    <t>выработано</t>
  </si>
  <si>
    <t>27.02.</t>
  </si>
  <si>
    <t>26.02.</t>
  </si>
  <si>
    <t>21.02.</t>
  </si>
  <si>
    <t>15.02.</t>
  </si>
  <si>
    <t>08.02.</t>
  </si>
  <si>
    <t>27.03.</t>
  </si>
  <si>
    <t>Москвич</t>
  </si>
  <si>
    <t>12.04.</t>
  </si>
  <si>
    <t>19.02.</t>
  </si>
  <si>
    <t>Авторы-CS/MONK</t>
  </si>
  <si>
    <t>26.03.</t>
  </si>
  <si>
    <t>07.02.</t>
  </si>
  <si>
    <t>06.03.</t>
  </si>
  <si>
    <t>ИСПОЛНЯЕМОСТЬ</t>
  </si>
  <si>
    <t>ИЮНЬ</t>
  </si>
  <si>
    <t>Euphoria</t>
  </si>
  <si>
    <t>Of.кг</t>
  </si>
  <si>
    <t>АЙСКУЛ ООО</t>
  </si>
  <si>
    <t>КЛЮЧЕВОЙ ФАКТОР ООО</t>
  </si>
  <si>
    <t>СРАВНИ.РУ ООО</t>
  </si>
  <si>
    <t>ПАНФИЛОВ ДИДЖИТАЛ ООО</t>
  </si>
  <si>
    <t>МОСКВИЧ АО МАЗ</t>
  </si>
  <si>
    <t>ИП Абдулин Дамир Равилевич</t>
  </si>
  <si>
    <t>ТЕОРИИ ОТ ПРАКТИКОВ ООО</t>
  </si>
  <si>
    <t>ФЕДЕРАЛЬНЫЙ ЦЕНТР КОМПЕТЕНЦИЙ</t>
  </si>
  <si>
    <t>КОЛЛТРЕКИНГ ООО</t>
  </si>
  <si>
    <t>ДАРИ ЗАБОТУ АНО</t>
  </si>
  <si>
    <t>ЭКОПСИ ТЕКНОЛОДЖИС ООО</t>
  </si>
  <si>
    <t>ПИФ</t>
  </si>
  <si>
    <t>КАПИТАЛ ГРУП МАРКЕТИНГ ООО</t>
  </si>
  <si>
    <t>Capital group</t>
  </si>
  <si>
    <t>ТИТАН ЭЛЕКТРОНИКС ООО</t>
  </si>
  <si>
    <t>Прайсплан</t>
  </si>
  <si>
    <t>ЭДМИН ООО</t>
  </si>
  <si>
    <t>БОРИСХОФ Т ООО</t>
  </si>
  <si>
    <t>АРЛАЙТ РУС ООО</t>
  </si>
  <si>
    <t>ВЕКТОРФАРМ ООО</t>
  </si>
  <si>
    <t>Эссити.ЭВОКОМ</t>
  </si>
  <si>
    <t>СЛЕРМ ООО</t>
  </si>
  <si>
    <t>Q3</t>
  </si>
  <si>
    <t>ОФИСЛОРД ООО</t>
  </si>
  <si>
    <t>ЭВОКОМ ООО</t>
  </si>
  <si>
    <t>РТК ИБ ООО</t>
  </si>
  <si>
    <t>СОФТ СПАЙСИ ООО</t>
  </si>
  <si>
    <t>CDMO</t>
  </si>
  <si>
    <t>VK</t>
  </si>
  <si>
    <t>средн. значение</t>
  </si>
  <si>
    <t>11  мес.</t>
  </si>
  <si>
    <t>6 мес</t>
  </si>
  <si>
    <t>отток</t>
  </si>
  <si>
    <t>средн за 11 мес.</t>
  </si>
  <si>
    <t>недополучено</t>
  </si>
  <si>
    <t>за 12 мес.</t>
  </si>
  <si>
    <t>ОТТОК/МЕС</t>
  </si>
  <si>
    <t>ОТТОК/ПРОЕКТОВ</t>
  </si>
  <si>
    <t>средн. чек оттока</t>
  </si>
  <si>
    <t>Выручка_23</t>
  </si>
  <si>
    <t>Выручка_24</t>
  </si>
  <si>
    <t>Среднее за 2 года</t>
  </si>
  <si>
    <t>текущий портфель</t>
  </si>
  <si>
    <t>спецпректы</t>
  </si>
  <si>
    <t>ФАКТ</t>
  </si>
  <si>
    <t>РАСШИФРОВКА</t>
  </si>
  <si>
    <t>ПОДРАЗДЕЛЕНИЕ</t>
  </si>
  <si>
    <t>ДОЛЖНОСТЬ</t>
  </si>
  <si>
    <t>Штатных единиц</t>
  </si>
  <si>
    <t>Нижняя зарплатная вилка грейда</t>
  </si>
  <si>
    <t>зпл на руки</t>
  </si>
  <si>
    <t>зпл с налогами с ФОТ за шт. ед.</t>
  </si>
  <si>
    <t>ФОТ с налогами</t>
  </si>
  <si>
    <t>произв/непроизв</t>
  </si>
  <si>
    <t>произв/непроизв %</t>
  </si>
  <si>
    <t>зпл на руки за шт. ед.</t>
  </si>
  <si>
    <t>зпл с налогами с ФОТ</t>
  </si>
  <si>
    <t>НЕПРОИЗВОДСТВЕННЫЕ СОТРУДНИКИ</t>
  </si>
  <si>
    <t>УПР</t>
  </si>
  <si>
    <t>Генерадьный директор</t>
  </si>
  <si>
    <t>Исполнительный директор</t>
  </si>
  <si>
    <t>Финансовый директор</t>
  </si>
  <si>
    <t>БУХГАЛТЕРИЯ</t>
  </si>
  <si>
    <t>Руководитель отдела бухгалтерского и налогового учета</t>
  </si>
  <si>
    <t>Заместитель генерального директора по общим вопросам</t>
  </si>
  <si>
    <t>Бухгалтер по первичной документации</t>
  </si>
  <si>
    <t>Менеджер по документообороту</t>
  </si>
  <si>
    <t>Юрист</t>
  </si>
  <si>
    <t>ФИНАНСЫ</t>
  </si>
  <si>
    <t>Финансовый менеджер проектов</t>
  </si>
  <si>
    <t>Директор по персоналу</t>
  </si>
  <si>
    <t>Менеджер по подбору и адаптации персонала</t>
  </si>
  <si>
    <t>Рекрутер</t>
  </si>
  <si>
    <t>Помощник руководителя</t>
  </si>
  <si>
    <t>Руководитель отдела веб-дизайна</t>
  </si>
  <si>
    <t>Оператор ПК</t>
  </si>
  <si>
    <t>Системный администратор</t>
  </si>
  <si>
    <t>МАРКЕТИНГ</t>
  </si>
  <si>
    <t>Директор по маркетингу</t>
  </si>
  <si>
    <t>Главный редактор блога</t>
  </si>
  <si>
    <t>Ведущий редактор блога</t>
  </si>
  <si>
    <t>Ведущий маркетолог</t>
  </si>
  <si>
    <t>Ведущий веб-дизайнер интернет-проектов</t>
  </si>
  <si>
    <t>Автор контент-статей для блога</t>
  </si>
  <si>
    <t>PR</t>
  </si>
  <si>
    <t>ПРОДАЖИ</t>
  </si>
  <si>
    <t>Руководитель отдела продаж</t>
  </si>
  <si>
    <t>Ведущий менеджер продаж</t>
  </si>
  <si>
    <t>Старший менеджер продаж</t>
  </si>
  <si>
    <t>Менеджер продаж</t>
  </si>
  <si>
    <t>Координатор отдела продаж</t>
  </si>
  <si>
    <t>ПРОИЗВОДСТВЕННЫЕ СОТРУДНИКИ</t>
  </si>
  <si>
    <t>МЕНЕДЖЕРЫ</t>
  </si>
  <si>
    <t>Senior-эксперт тимлид</t>
  </si>
  <si>
    <t>Senior-эксперт</t>
  </si>
  <si>
    <t>Миддл</t>
  </si>
  <si>
    <t>Джун</t>
  </si>
  <si>
    <t>Стажер</t>
  </si>
  <si>
    <t>МАРТЕХ</t>
  </si>
  <si>
    <t>Технический менеджер интернет-проектов</t>
  </si>
  <si>
    <t>АНАЛИТИКИ</t>
  </si>
  <si>
    <t>Руководитель отдела аналитики-Senior</t>
  </si>
  <si>
    <t>Старший аналитик-миддл</t>
  </si>
  <si>
    <t>Веб-аналитик-джун</t>
  </si>
  <si>
    <t>ДИЗАЙНЕРЫ</t>
  </si>
  <si>
    <t>Арт директор Senior-эксперт</t>
  </si>
  <si>
    <t>Разработчик Senior-эксперт</t>
  </si>
  <si>
    <t>Senior-эксперт креативных идей</t>
  </si>
  <si>
    <t>КОНТЕНТ</t>
  </si>
  <si>
    <t>Senior-эксперт редактор</t>
  </si>
  <si>
    <t>Копирайтер/корректор-миддл</t>
  </si>
  <si>
    <t>Копирайтер/корректор-джун</t>
  </si>
  <si>
    <t>ВЕРСТКА</t>
  </si>
  <si>
    <t>HTML-верстальщик Senior-эксперт тимлид</t>
  </si>
  <si>
    <t xml:space="preserve">HTML-верстальщик Senior-эксперт </t>
  </si>
  <si>
    <t>HTML-верстальщик миддл</t>
  </si>
  <si>
    <t>произв</t>
  </si>
  <si>
    <t>непроизв</t>
  </si>
  <si>
    <t>чистая прибыль</t>
  </si>
  <si>
    <t>в т.ч. менедж.</t>
  </si>
  <si>
    <t>%</t>
  </si>
  <si>
    <t>в т.ч. мартех</t>
  </si>
  <si>
    <t>в т.ч. дизайнеры</t>
  </si>
  <si>
    <t>в т.ч. верстальщики</t>
  </si>
  <si>
    <t>в т.ч. авторы</t>
  </si>
  <si>
    <t>в т.ч. аналитики</t>
  </si>
  <si>
    <t>Выручка ЕМС</t>
  </si>
  <si>
    <t>Выручка CS</t>
  </si>
  <si>
    <t>Управление CS</t>
  </si>
  <si>
    <t>Выручка Monk</t>
  </si>
  <si>
    <t>для всех</t>
  </si>
  <si>
    <t>ЯНДЕКС ООО</t>
  </si>
  <si>
    <t>EmailMaker</t>
  </si>
  <si>
    <t>БЛОЧНЫЙ РЕДАКТОР ООО</t>
  </si>
  <si>
    <t>онлайн-доска</t>
  </si>
  <si>
    <t>платформа д/проведения онлайн-встречь</t>
  </si>
  <si>
    <t>zoom д/Вани</t>
  </si>
  <si>
    <t>zoom</t>
  </si>
  <si>
    <t>база данных</t>
  </si>
  <si>
    <t>ноушн д/Вани</t>
  </si>
  <si>
    <t>биллинг Лидплана</t>
  </si>
  <si>
    <t>агрегатор мессенджеров</t>
  </si>
  <si>
    <t>ИТ Проспект ООО</t>
  </si>
  <si>
    <t>конструктор сайтов</t>
  </si>
  <si>
    <t>Тильда</t>
  </si>
  <si>
    <t>ТИЛЬДА ПАБЛИШИНГ ООО</t>
  </si>
  <si>
    <t>ПРАВОВЕД.РУ ЛАБ ООО</t>
  </si>
  <si>
    <t>платформа автоматизации найма</t>
  </si>
  <si>
    <t>ХАНФЛОУ ООО</t>
  </si>
  <si>
    <t>платформа д/обучения, база знаний</t>
  </si>
  <si>
    <t>Кампус</t>
  </si>
  <si>
    <t>тестирование</t>
  </si>
  <si>
    <t>Абрамов Михаил Владимирович ИП</t>
  </si>
  <si>
    <t>Команда Ф5 ООО</t>
  </si>
  <si>
    <t>Сипуини</t>
  </si>
  <si>
    <t>СИПУНИ РУС ООО</t>
  </si>
  <si>
    <t>САНСИМ АО</t>
  </si>
  <si>
    <t>Ростендер/Бидзаар</t>
  </si>
  <si>
    <t>сервис для создания лендингов</t>
  </si>
  <si>
    <t>сервис сквозной аналитики</t>
  </si>
  <si>
    <t>контекстная реклама</t>
  </si>
  <si>
    <t>Рефлекс-КБ</t>
  </si>
  <si>
    <t>клининг</t>
  </si>
  <si>
    <t>расходы офис</t>
  </si>
  <si>
    <t>Юнисендер Смарт (для Москвича)</t>
  </si>
  <si>
    <t>Ежегодный платеж за обслуживание Грузинской карты</t>
  </si>
  <si>
    <t>Credo</t>
  </si>
  <si>
    <t>ЮниСофт</t>
  </si>
  <si>
    <t>База знаний кадровое дело-Света</t>
  </si>
  <si>
    <t>ООО "АКТИОН-ПРЕСС"</t>
  </si>
  <si>
    <t>СКБ Контур</t>
  </si>
  <si>
    <t>Ламбда тест</t>
  </si>
  <si>
    <t>Сервис д/аналитики</t>
  </si>
  <si>
    <t>Неосерв</t>
  </si>
  <si>
    <t>Менеджер проектов</t>
  </si>
  <si>
    <t>КРЕАТИВНАЯ КОМАНДА</t>
  </si>
  <si>
    <t>Дизайнеры, менеджеры</t>
  </si>
  <si>
    <t>общие затраты</t>
  </si>
  <si>
    <t>налоги</t>
  </si>
  <si>
    <t>Выручка итого</t>
  </si>
  <si>
    <t>ПЛАН ФОТ НА 2025 ГОД</t>
  </si>
  <si>
    <t>в т.ч. управление CS</t>
  </si>
  <si>
    <t>Непредвиденные расходы</t>
  </si>
  <si>
    <t>Название проекта</t>
  </si>
  <si>
    <t>Месяца</t>
  </si>
  <si>
    <t>Калькулятор-металла.рф</t>
  </si>
  <si>
    <t>1 002 235₽</t>
  </si>
  <si>
    <t>Яндекс Плюс</t>
  </si>
  <si>
    <t>6 759 000₽</t>
  </si>
  <si>
    <t>Экспобанк</t>
  </si>
  <si>
    <t>3 121 765₽</t>
  </si>
  <si>
    <t>Grundig</t>
  </si>
  <si>
    <t>747 600 ₽</t>
  </si>
  <si>
    <t>3 312 350₽</t>
  </si>
  <si>
    <t>Итого ежемесячно</t>
  </si>
  <si>
    <t>Обучение</t>
  </si>
  <si>
    <t>Рентабельность по чистой прибыли</t>
  </si>
  <si>
    <t>Тендер</t>
  </si>
  <si>
    <t>Большие целевые</t>
  </si>
  <si>
    <t>Срок реализации проекта, мес.</t>
  </si>
  <si>
    <t>Маленькие</t>
  </si>
  <si>
    <t>Сумма продаж маленькие total, руб.</t>
  </si>
  <si>
    <t>Выручка техническая с новых маленьких клиентов ЕМС</t>
  </si>
  <si>
    <t>Средний чек тендер, руб.</t>
  </si>
  <si>
    <t xml:space="preserve">План продаж </t>
  </si>
  <si>
    <t>Q4</t>
  </si>
  <si>
    <t>бц</t>
  </si>
  <si>
    <t>маленькие</t>
  </si>
  <si>
    <t>тендер-1шт/мес</t>
  </si>
  <si>
    <t>клиентов</t>
  </si>
  <si>
    <t>ACUVUE</t>
  </si>
  <si>
    <t>Сумма продаж тендеры, руб.</t>
  </si>
  <si>
    <t>Сумма продаж большие целевые, руб.</t>
  </si>
  <si>
    <t>ИТОГО ПРОДАЖ-ПЛАН total, руб.</t>
  </si>
  <si>
    <t>итого продажи маленький</t>
  </si>
  <si>
    <t>total МАЛЕНЬКИЕ</t>
  </si>
  <si>
    <t>Битрикс</t>
  </si>
  <si>
    <t>Расходы всего</t>
  </si>
  <si>
    <t>TOTAL</t>
  </si>
  <si>
    <t>БЛОК ПРОДАЖ, лиды</t>
  </si>
  <si>
    <t>Прочие поступления, в.т. Депозиты</t>
  </si>
  <si>
    <t>ср.ч./мес 180 000+1 большой</t>
  </si>
  <si>
    <t>З/пл на руки</t>
  </si>
  <si>
    <t>Налоги с ФОТ</t>
  </si>
  <si>
    <t>все</t>
  </si>
  <si>
    <t>Аблов Андрей Дмитриевич</t>
  </si>
  <si>
    <t>Оплата труда производственного подразделения</t>
  </si>
  <si>
    <t>Заработная плата Менеджеров/маркетологов</t>
  </si>
  <si>
    <t>Абрамова Екатерина Владимировна</t>
  </si>
  <si>
    <t>Заработная плата Редакции</t>
  </si>
  <si>
    <t>Андреева Валентина Юрьевна</t>
  </si>
  <si>
    <t>Заработная плата Дизайнеры (Creative Soldiers)</t>
  </si>
  <si>
    <t>Балабанова Евгения Юрьевна</t>
  </si>
  <si>
    <t>Баландина Наталия Владимировна</t>
  </si>
  <si>
    <t>Заработная плата Верстальщиков</t>
  </si>
  <si>
    <t>Бобров Виктор Александрович</t>
  </si>
  <si>
    <t>Боровова Дарья Алексеевна</t>
  </si>
  <si>
    <t>Оплата труда сотрудников обслуживающих подразделений</t>
  </si>
  <si>
    <t>Бойко Мария Сергеевна</t>
  </si>
  <si>
    <t>Бурмистров Георгий Романович</t>
  </si>
  <si>
    <t>Волков Александр</t>
  </si>
  <si>
    <t>Заработная плата Аналитиков</t>
  </si>
  <si>
    <t>Гутина Юлия Игоревна</t>
  </si>
  <si>
    <t>Давтян Инга Галиковна</t>
  </si>
  <si>
    <t>Дембовская Михаэла</t>
  </si>
  <si>
    <t>Еремин Михаил Сергеевич</t>
  </si>
  <si>
    <t>Иванов Всеволод Игоревич</t>
  </si>
  <si>
    <t>Ионкина Вера Сеергеевна</t>
  </si>
  <si>
    <t>Заработная плата Управление проектами</t>
  </si>
  <si>
    <t>Исмаилова Людмила Юрьевна</t>
  </si>
  <si>
    <t>Калягина Анна Сергеевна</t>
  </si>
  <si>
    <t>Кнутов Артём Виталиевич</t>
  </si>
  <si>
    <t>Князев Дмитрий Игоревич</t>
  </si>
  <si>
    <t>Козикова Анастасия Валерьевна</t>
  </si>
  <si>
    <t>Копаева Юлия Андреевна</t>
  </si>
  <si>
    <t>Коробач Евгений Сергеевич</t>
  </si>
  <si>
    <t>Котов Александр Владимирович</t>
  </si>
  <si>
    <t>Крутяков Алексей Александрович</t>
  </si>
  <si>
    <t>Куракин Валерий Сергеевич</t>
  </si>
  <si>
    <t>Лобанов Артем Николаеич</t>
  </si>
  <si>
    <t>Логвинова Уэзерфилд Линас</t>
  </si>
  <si>
    <t>Малыхина Юлия Эдуардовна</t>
  </si>
  <si>
    <t>Масленникова Наталья Федоровна</t>
  </si>
  <si>
    <t>Мирошникова Елена Владимировна</t>
  </si>
  <si>
    <t>Морозов Михаил Максимович</t>
  </si>
  <si>
    <t>Морозова  Анастасия Леонидовна</t>
  </si>
  <si>
    <t>Моряков Дмитрий Владимирович</t>
  </si>
  <si>
    <t>Новикова Екатерина Вадимовна</t>
  </si>
  <si>
    <t>Орлова Алла Александровна</t>
  </si>
  <si>
    <t>Осепян Артем Андреевич</t>
  </si>
  <si>
    <t>Паршакина Ольга Сергеевна</t>
  </si>
  <si>
    <t>Попова Юлия Андреевна</t>
  </si>
  <si>
    <t>Потковский Иван Владимирович</t>
  </si>
  <si>
    <t>Пушкина Юлия Игоревна</t>
  </si>
  <si>
    <t>Пьянзина Наталья Викторовна</t>
  </si>
  <si>
    <t>Редецкая Лика Дмитриевна</t>
  </si>
  <si>
    <t>Реутов Алексей Александрович</t>
  </si>
  <si>
    <t>Родяева Валерия Анатоль.</t>
  </si>
  <si>
    <t>Рыкова Анастасия Николаевна</t>
  </si>
  <si>
    <t>Рязанцев Андрей Николаевич</t>
  </si>
  <si>
    <t>Светкина Мария Сергеевна</t>
  </si>
  <si>
    <t>Свиридов Артем Геннадьевич</t>
  </si>
  <si>
    <t>Свистунов Даниил Иванович</t>
  </si>
  <si>
    <t>Скрябина Елена Сергеевна</t>
  </si>
  <si>
    <t>Соболевский Сергей Сергеевич</t>
  </si>
  <si>
    <t>Страхов Никита Евгеньевич</t>
  </si>
  <si>
    <t>Сычев Сергей Сергеевич</t>
  </si>
  <si>
    <t>Тараскин Алексей Андреевич</t>
  </si>
  <si>
    <t>Филин Александр  Александрович</t>
  </si>
  <si>
    <t>Чернова Светлана Александровна</t>
  </si>
  <si>
    <t>Чуркина Татьяна Сергеевна</t>
  </si>
  <si>
    <t>Швецов Никита Георгиевич</t>
  </si>
  <si>
    <t>Чиркова Алевтина Владимировна</t>
  </si>
  <si>
    <t>Юмакулова Аида Александровна</t>
  </si>
  <si>
    <t>Попова Юлия Владимировна</t>
  </si>
  <si>
    <t>РУК</t>
  </si>
  <si>
    <t>Аксенова Наталья Валериевна</t>
  </si>
  <si>
    <t>Ильин Иван Константинович</t>
  </si>
  <si>
    <t xml:space="preserve">Калиниченко Татьяна Юрьевна </t>
  </si>
  <si>
    <t>Тюленев Юрий Юрьевич</t>
  </si>
  <si>
    <t>Сафоничев Александр Павлович</t>
  </si>
  <si>
    <t>Пикулина София Владимировна</t>
  </si>
  <si>
    <t>Пискунова Надежда Константиновна</t>
  </si>
  <si>
    <t>Марилова Ольга Сергеевна</t>
  </si>
  <si>
    <t>Маркова Светлана Геннадьевна</t>
  </si>
  <si>
    <t>Кириченко Виктория Николаевна</t>
  </si>
  <si>
    <t>Ильин Константин Иванович</t>
  </si>
  <si>
    <t>Илья</t>
  </si>
  <si>
    <t>Федярова Карина Сергеевна</t>
  </si>
  <si>
    <t>Масько Анастасия Александровна</t>
  </si>
  <si>
    <t>ПР</t>
  </si>
  <si>
    <t>Юрченкова Марина Александровна</t>
  </si>
  <si>
    <t>Крыгина Наталья Сергеевна</t>
  </si>
  <si>
    <t>Кириченко Валерия Николаевна</t>
  </si>
  <si>
    <t>Филиппова Екатерина Николаевна</t>
  </si>
  <si>
    <t>МАР</t>
  </si>
  <si>
    <t>Залипаев Сергей Сергеевич</t>
  </si>
  <si>
    <t>Михина Надежда Алексеевна</t>
  </si>
  <si>
    <t xml:space="preserve">Миронова Алина Владимировна </t>
  </si>
  <si>
    <t>Антонюк Дарья Дмитриевна</t>
  </si>
  <si>
    <t>Нахалева Виктория Ильинична</t>
  </si>
  <si>
    <t>Галиулин Сергей Ильич</t>
  </si>
  <si>
    <t>Власова Марина Сергеевна</t>
  </si>
  <si>
    <t>Заработная плата Мартех специалисты</t>
  </si>
  <si>
    <t>Коваленко Ольга Владимировна</t>
  </si>
  <si>
    <t>план-среднемесячн. значение</t>
  </si>
  <si>
    <t>ИНСТАМАРТ СЕРВИС ООО</t>
  </si>
  <si>
    <t>КАПИТАЛ ГРУП ООО</t>
  </si>
  <si>
    <t>КРАСНАЯ ПОЛЯНА НАО</t>
  </si>
  <si>
    <t>Л'ОРЕАЛЬ АО</t>
  </si>
  <si>
    <t>ООО «ДЖИЭФЭН КЛАУД ИНТЕРНЕТ СЕРВИСИС»</t>
  </si>
  <si>
    <t>ТЕКУЩИЙ ПОРТФЕЛЬ ЕМС</t>
  </si>
  <si>
    <t>ПРОЧИЕ ПОСТУПЛЕНИЯ</t>
  </si>
  <si>
    <t>ЭТНЕ ООО</t>
  </si>
  <si>
    <t>ИП Абдулин</t>
  </si>
  <si>
    <t>НОВЫЕ ПРОЕКТЫ ЕМС</t>
  </si>
  <si>
    <t>ООО "Лидер"</t>
  </si>
  <si>
    <t>ИТОГО ЯНВАРЬ</t>
  </si>
  <si>
    <t>101 ООО</t>
  </si>
  <si>
    <t>ПИСЬМО ООО</t>
  </si>
  <si>
    <t>ДЕВИНО ОНЛАЙН ООО</t>
  </si>
  <si>
    <t>серв. Для сервье</t>
  </si>
  <si>
    <t>Жеринова Ульяна Юрьевна ИП</t>
  </si>
  <si>
    <t>серв. Для петровакса</t>
  </si>
  <si>
    <t>Лидплан</t>
  </si>
  <si>
    <t>Майндбокс</t>
  </si>
  <si>
    <t>Блочный редактор</t>
  </si>
  <si>
    <t>Заработная плата Креативная команда</t>
  </si>
  <si>
    <t>Количество проектов</t>
  </si>
  <si>
    <t>Сокращение чека по проектам</t>
  </si>
  <si>
    <t>ИТОГО ВЫРУЧКА</t>
  </si>
  <si>
    <t xml:space="preserve">ФОТ </t>
  </si>
  <si>
    <t>в т.ч. производственный</t>
  </si>
  <si>
    <t xml:space="preserve">в т.ч. непроизводственный </t>
  </si>
  <si>
    <t>ПУЛ</t>
  </si>
  <si>
    <t>план в менеджерской таблице</t>
  </si>
  <si>
    <t>Экосистема</t>
  </si>
  <si>
    <t>Royal Canin</t>
  </si>
  <si>
    <t>Kinpet</t>
  </si>
  <si>
    <t>Любимчик</t>
  </si>
  <si>
    <t>Эпл Даймонд</t>
  </si>
  <si>
    <t>Лаборатория касперского</t>
  </si>
  <si>
    <t>миддл</t>
  </si>
  <si>
    <t>джун</t>
  </si>
  <si>
    <t>сеньор</t>
  </si>
  <si>
    <t>тимлид</t>
  </si>
  <si>
    <t>Бычкова Елена</t>
  </si>
  <si>
    <t>Кадышев Алексей Александрович</t>
  </si>
  <si>
    <t>Цаплина Олеся Рахимзяновна</t>
  </si>
  <si>
    <t>Котов Дмитрий Владимирович</t>
  </si>
  <si>
    <t>Горохова Мария</t>
  </si>
  <si>
    <t>агентская комиссия</t>
  </si>
  <si>
    <t>продажа сервисов</t>
  </si>
  <si>
    <t>ЛИДЕРЫ МНЕНИЙ ООО</t>
  </si>
  <si>
    <t xml:space="preserve">Саргсян Гор Норикович
</t>
  </si>
  <si>
    <t>ИТОГО MONK</t>
  </si>
  <si>
    <t>ИТОГО CS</t>
  </si>
  <si>
    <t>ИТОГО ФЕВРАЛЬ</t>
  </si>
  <si>
    <t>артлист для Здравсити</t>
  </si>
  <si>
    <t>Сертификат 1-С Битрикс</t>
  </si>
  <si>
    <t>Савкин Т.А. ИП</t>
  </si>
  <si>
    <t>сервис Monk</t>
  </si>
  <si>
    <t>% от размещения на депозит. Счетах</t>
  </si>
  <si>
    <t>Верхняя зарплатная вилка</t>
  </si>
  <si>
    <t>НОВЫЕ ПРОЕКТЫ</t>
  </si>
  <si>
    <t>NBB</t>
  </si>
  <si>
    <t>Юмакулова Аида</t>
  </si>
  <si>
    <t>Аблов Андрей</t>
  </si>
  <si>
    <t>Паршакина Ольга</t>
  </si>
  <si>
    <t>Боровова Дарья</t>
  </si>
  <si>
    <t>Швецов Никита</t>
  </si>
  <si>
    <t>Радецкая Лика</t>
  </si>
  <si>
    <t>Еремин Михаил</t>
  </si>
  <si>
    <t>Давтян Инга</t>
  </si>
  <si>
    <t>Потковский Иван</t>
  </si>
  <si>
    <t>Логвинова Уэзер</t>
  </si>
  <si>
    <t>Новикова Екатерина</t>
  </si>
  <si>
    <t>Гутина Юля</t>
  </si>
  <si>
    <t>Андреева Валентина</t>
  </si>
  <si>
    <t>Соболевский Сергей</t>
  </si>
  <si>
    <t>Страхов Никита</t>
  </si>
  <si>
    <t>Тараскин Алексей</t>
  </si>
  <si>
    <t>Миронова Алина</t>
  </si>
  <si>
    <t>Семикин Сережа</t>
  </si>
  <si>
    <t>Итого платящих проектов</t>
  </si>
  <si>
    <t>Итого сумма выручки по актам</t>
  </si>
  <si>
    <t>Итого проектов в уе</t>
  </si>
  <si>
    <t>Итого выручка 1 пул</t>
  </si>
  <si>
    <t>Итого выручка 5 пул</t>
  </si>
  <si>
    <t>Итого проектов в уе 5 пул</t>
  </si>
  <si>
    <t>Итого проектов в уе 1 пул</t>
  </si>
  <si>
    <t>Пионе</t>
  </si>
  <si>
    <t>ЕВРОПА ООО/ЭТНЕ ООО</t>
  </si>
  <si>
    <t>ПУЛ 5-Соболевский Сергей</t>
  </si>
  <si>
    <t>ПУЛ1- Страхов Никита</t>
  </si>
  <si>
    <t>ИТОГО ВЫРУЧКА/ кол-во менеджеров</t>
  </si>
  <si>
    <t>Итого проектов/ проектов на 1 менеджера</t>
  </si>
  <si>
    <t>пул</t>
  </si>
  <si>
    <t>ФИО</t>
  </si>
  <si>
    <t xml:space="preserve">Выручка </t>
  </si>
  <si>
    <t>ФИ</t>
  </si>
  <si>
    <t>выручка план</t>
  </si>
  <si>
    <t>выручка факт</t>
  </si>
  <si>
    <t>кол-во проектов план</t>
  </si>
  <si>
    <t>кол-во проектов факт</t>
  </si>
  <si>
    <t>грейд</t>
  </si>
  <si>
    <t>ИТОГО ЕМС</t>
  </si>
  <si>
    <t>hostkey</t>
  </si>
  <si>
    <t>АЙТИБ ООО</t>
  </si>
  <si>
    <t>БЕКО ООО</t>
  </si>
  <si>
    <t>ДЗЕН.ПЛАТФОРМА ООО</t>
  </si>
  <si>
    <t>НПФ ГАЗФОНД ПЕНСИОННЫЕ НАКОПЛЕНИЯ АО</t>
  </si>
  <si>
    <t>Газфонд</t>
  </si>
  <si>
    <t>РОСГОССТРАХ ПАО СК</t>
  </si>
  <si>
    <t>Пульс</t>
  </si>
  <si>
    <t>PEDANT.RU</t>
  </si>
  <si>
    <t>ЦИФРОВОЙ СЕРВИС ООО</t>
  </si>
  <si>
    <t>Лупейко Виктор Владимирович</t>
  </si>
  <si>
    <t xml:space="preserve">Рощино
</t>
  </si>
  <si>
    <t>ООО "СЗ "РЕЗЕДЕНЦИЯ РОЩИНО"</t>
  </si>
  <si>
    <t>ООО "ЭСТРЕЛЬ"</t>
  </si>
  <si>
    <t>Thai rooms</t>
  </si>
  <si>
    <t>Морозова Анастасия</t>
  </si>
  <si>
    <t>Самсаева Кристина Юрьевна</t>
  </si>
  <si>
    <t>Арнаут Денис Александрович</t>
  </si>
  <si>
    <t>Попова Ева Андреевна</t>
  </si>
  <si>
    <t>Симанович Варвара Сергеевна</t>
  </si>
  <si>
    <t>Ткаченко Александр Дмитриевич</t>
  </si>
  <si>
    <t>Смирнова Евгения</t>
  </si>
  <si>
    <t>Корсунова</t>
  </si>
  <si>
    <t>Дворкина</t>
  </si>
  <si>
    <t>ИТОГО МАРТ</t>
  </si>
  <si>
    <t>ВЕБФОРМ ООО</t>
  </si>
  <si>
    <t>в т.ч. Командировочные расходы</t>
  </si>
  <si>
    <t>КЛЕВЕР-МЕДИА-ГРУПП ООО</t>
  </si>
  <si>
    <t>СРП ГРУПП ООО</t>
  </si>
  <si>
    <t>ШУЕВ НИКОЛАЙ СЕРГЕЕВИЧ ИП</t>
  </si>
  <si>
    <t>Kusto</t>
  </si>
  <si>
    <t>Чемоданова Ольга Сергеевна</t>
  </si>
  <si>
    <t>Савкин ИП</t>
  </si>
  <si>
    <t>Сизикова</t>
  </si>
  <si>
    <t>Центр развития экономики</t>
  </si>
  <si>
    <t>Проклашкин Александр Сергеевич</t>
  </si>
  <si>
    <t>Волков Александр Александрович</t>
  </si>
  <si>
    <t>Давтян Инга Гагиковна</t>
  </si>
  <si>
    <t>Ионкина Вера Сергеевна</t>
  </si>
  <si>
    <t>Лобанов Артем Николаевич</t>
  </si>
  <si>
    <t>Миронова Алина Владимировна</t>
  </si>
  <si>
    <t>Морозова Анастасия Леонидовна</t>
  </si>
  <si>
    <t>Осепян Артём Андреевич</t>
  </si>
  <si>
    <t>Радецкая Лика Дмитриевна</t>
  </si>
  <si>
    <t>Родяева Валерия Анатольевна</t>
  </si>
  <si>
    <t>Смирнова Евгения Андреевна</t>
  </si>
  <si>
    <t>Филин Александр Александрович</t>
  </si>
  <si>
    <t>Бычкова Елена Вячеславовна</t>
  </si>
  <si>
    <t>Смирнова Светлана Николаевна</t>
  </si>
  <si>
    <t>ИТОГО АПРЕЛЬ</t>
  </si>
  <si>
    <t>МАЙ</t>
  </si>
  <si>
    <t>ИТОГО МАЙ</t>
  </si>
  <si>
    <t>ООО "Компания "Тензор"</t>
  </si>
  <si>
    <t>Тензор</t>
  </si>
  <si>
    <t>АЙДИДЖИТАЛ ООО</t>
  </si>
  <si>
    <t>Для Москвича</t>
  </si>
  <si>
    <t>субаренда</t>
  </si>
  <si>
    <t>Umac</t>
  </si>
  <si>
    <t>РЭКФОРК ООО</t>
  </si>
  <si>
    <t>Linde</t>
  </si>
  <si>
    <t>НОВАРТИС ФАРМА ООО</t>
  </si>
  <si>
    <t>ООО "РА "СА Медиа"</t>
  </si>
  <si>
    <t>Миро для самолета</t>
  </si>
  <si>
    <t>Phaser</t>
  </si>
  <si>
    <t>папдл нет/крафтдокс</t>
  </si>
  <si>
    <t>для Вани</t>
  </si>
  <si>
    <t>в т.ч. креативная команда</t>
  </si>
  <si>
    <t xml:space="preserve">бух. обслуживание </t>
  </si>
  <si>
    <t>Профит</t>
  </si>
  <si>
    <t>ИП Жильцов</t>
  </si>
  <si>
    <t xml:space="preserve">ACUVUE </t>
  </si>
  <si>
    <t>итого факт</t>
  </si>
  <si>
    <t>СЗ ЛАПЕРУЗ ДВ ООО</t>
  </si>
  <si>
    <t>РИЧМЕДИА ООО</t>
  </si>
  <si>
    <t>Горохова Мария Владимировна</t>
  </si>
  <si>
    <t>Шапочкина Екатерина Игоревна</t>
  </si>
  <si>
    <t>Волынина Светлана Сергеевна</t>
  </si>
  <si>
    <t>Мулаева Анастасия Олеговна</t>
  </si>
  <si>
    <t>Богданова Маргарита Ивановна</t>
  </si>
  <si>
    <t>Московская Светлана Олеговна</t>
  </si>
  <si>
    <t>СДЭК ВОРЛДВАЙД ООО</t>
  </si>
  <si>
    <t>АКСИОМА-СОФТ ООО</t>
  </si>
  <si>
    <t>ИП Гришин</t>
  </si>
  <si>
    <t>Феотон</t>
  </si>
  <si>
    <t>Морилова Ольга</t>
  </si>
  <si>
    <t>СОБЫТИЕ ООО</t>
  </si>
  <si>
    <t>конференции</t>
  </si>
  <si>
    <t>Дворкина Елена Тимуровна</t>
  </si>
  <si>
    <t>Безух Михаил Алексеевич</t>
  </si>
  <si>
    <t>Белоножкин Сергей Геннадьевич</t>
  </si>
  <si>
    <t>Васькина Анастасия Юрьевна</t>
  </si>
  <si>
    <t>Волков Денис Андреевич</t>
  </si>
  <si>
    <t>ИЮЛЬ</t>
  </si>
  <si>
    <t>ЦЕМЕНТУМ ЦЕНТР ООО</t>
  </si>
  <si>
    <t>ЦЕНТР ПКС ООО</t>
  </si>
  <si>
    <t>ИТОГО ИЮНЬ</t>
  </si>
  <si>
    <t>ИТОГО ИЮЛЬ</t>
  </si>
  <si>
    <t>ООО "Цифровое облако"</t>
  </si>
  <si>
    <t>Радист онлайн</t>
  </si>
  <si>
    <t>для Шашлыкофф</t>
  </si>
  <si>
    <t>ндс с выручки</t>
  </si>
  <si>
    <t>ИТОГО ВЫРУЧКА, в т.ч. НДС</t>
  </si>
  <si>
    <t>Выручка всего, в т.ч. НДС</t>
  </si>
  <si>
    <t>НДС</t>
  </si>
  <si>
    <t>НДС, справочно</t>
  </si>
  <si>
    <t>Выручка всего, без НДС</t>
  </si>
  <si>
    <t>Афенберг Эмиль Сергеевич</t>
  </si>
  <si>
    <t>Густокашина Алена Александровна</t>
  </si>
  <si>
    <t>Колупаева Дарья Георгиевна</t>
  </si>
  <si>
    <t>Кундельская Ольга Владимировна</t>
  </si>
  <si>
    <t>Майборода Софья Викторовна</t>
  </si>
  <si>
    <t>Мартынова Наталья Юрьевна</t>
  </si>
  <si>
    <t>Орлинская Мария Евгеньевна</t>
  </si>
  <si>
    <t>Петров Владислав Валерьевич</t>
  </si>
  <si>
    <t>Самусевич максим Сергеевич</t>
  </si>
  <si>
    <t>Сламбеков Аргын</t>
  </si>
  <si>
    <t>Суружиу Дмитрий Константинович</t>
  </si>
  <si>
    <t>Третьякова Евгения Павловна</t>
  </si>
  <si>
    <t>Федькина Анна Алексеевна</t>
  </si>
  <si>
    <t>Юн Андрей Мансуевич</t>
  </si>
  <si>
    <t>Щур анастасия Игоревна</t>
  </si>
  <si>
    <t>Сидорова Елена Александровна</t>
  </si>
  <si>
    <t>АВГУСТ</t>
  </si>
  <si>
    <t>Анциферов Денис Иванович</t>
  </si>
  <si>
    <t>Нильсон Авто</t>
  </si>
  <si>
    <t>ОРИФЛЭЙМ КОСМЕТИКС ООО</t>
  </si>
  <si>
    <t>Мидиан ООО</t>
  </si>
  <si>
    <t>Гудгейм</t>
  </si>
  <si>
    <t>ЭМДЖИКОМ ООО</t>
  </si>
  <si>
    <t>Снежная королева</t>
  </si>
  <si>
    <t>ВИРТА ООО</t>
  </si>
  <si>
    <t>Столплит</t>
  </si>
  <si>
    <t>ОНЛАЙНЕР ООО</t>
  </si>
  <si>
    <t>Цупис</t>
  </si>
  <si>
    <t>События ООО</t>
  </si>
  <si>
    <t>возмещение за оргтехнику</t>
  </si>
  <si>
    <t>командировочные на конференции</t>
  </si>
  <si>
    <t>аутсорс-поиск</t>
  </si>
  <si>
    <t>ИП Скворцова</t>
  </si>
  <si>
    <t>Таймвеб клауд</t>
  </si>
  <si>
    <t>ЦПУМР ООО</t>
  </si>
  <si>
    <t>медтеко</t>
  </si>
  <si>
    <t>Самусевич Максим Сергеевич</t>
  </si>
  <si>
    <t>Гуслякова Виктория Сергеевна</t>
  </si>
  <si>
    <t>Пономаренко Елизавета Дмитриевна</t>
  </si>
  <si>
    <t>Щур Анастасия игоревна</t>
  </si>
  <si>
    <t>Полукеева Алина Владимировна</t>
  </si>
  <si>
    <t>ИТОГО АВГУСТ</t>
  </si>
  <si>
    <t>СЕНТЯБРЬ</t>
  </si>
  <si>
    <t>ИТОГО СЕНТЯБРЬ</t>
  </si>
  <si>
    <t>ДЖОНСОН &amp; ДЖОНСОН ООО</t>
  </si>
  <si>
    <t>АМ КРАСНОГОРСК ООО</t>
  </si>
  <si>
    <t>Ароматный мир</t>
  </si>
  <si>
    <t>БАЛАНС - СПЕЦЗАСТРОЙЩИК АО</t>
  </si>
  <si>
    <t>Главстрой</t>
  </si>
  <si>
    <t>БЕРЕГОВОЙ - СПЕЦЗАСТРОЙЩИК АО</t>
  </si>
  <si>
    <t>Крысов Анатолий Вадимович</t>
  </si>
  <si>
    <t>ИНТЕРФАКС АО</t>
  </si>
  <si>
    <t>Ru Data</t>
  </si>
  <si>
    <t>СИКС</t>
  </si>
  <si>
    <t>Омега эвентс</t>
  </si>
  <si>
    <t>Казуто</t>
  </si>
  <si>
    <t>КИНОЭКСПО</t>
  </si>
  <si>
    <t>платформа для конференции</t>
  </si>
  <si>
    <t>ПФ СКБ Контур АО</t>
  </si>
  <si>
    <t>управленческая отчетность</t>
  </si>
  <si>
    <t>Адеск</t>
  </si>
  <si>
    <t>Горина Ирина</t>
  </si>
  <si>
    <t>Устинова Марина Александровна</t>
  </si>
  <si>
    <t>Орёл Оксана Анатольевна</t>
  </si>
  <si>
    <t>Чепков Артём Андреевич</t>
  </si>
  <si>
    <t>Денисенко Елизавета Павловна</t>
  </si>
  <si>
    <t>Гуренкова Инна Михайловна</t>
  </si>
  <si>
    <t>ОКТЯБРЬ</t>
  </si>
  <si>
    <t>ИТОГО ОКТЯБРЬ</t>
  </si>
  <si>
    <t>для Рояла</t>
  </si>
  <si>
    <t>МЭДТЕСТ ООО</t>
  </si>
  <si>
    <t>Турусов</t>
  </si>
  <si>
    <t>для Бенеттон</t>
  </si>
  <si>
    <t>для Акувью</t>
  </si>
  <si>
    <t>ФАСТКОМ ООО</t>
  </si>
  <si>
    <t>сервис Voximplant</t>
  </si>
  <si>
    <t>АГИМА ИНТЕРАКТИВ ООО</t>
  </si>
  <si>
    <t>Reckitt Benckiser</t>
  </si>
  <si>
    <t>Благочевский Павел Андреевич</t>
  </si>
  <si>
    <t>Магистраль</t>
  </si>
  <si>
    <t>РМК ООО</t>
  </si>
  <si>
    <t>Медная компания</t>
  </si>
  <si>
    <t>Новикова Оксана Евгеньевна</t>
  </si>
  <si>
    <t>Визовый центр</t>
  </si>
  <si>
    <t>Резван Андрей Владимирович</t>
  </si>
  <si>
    <t>Портснаб</t>
  </si>
  <si>
    <t>НОЯБРЬ</t>
  </si>
  <si>
    <t>ГЕСС? СИАЙЭС ООО</t>
  </si>
  <si>
    <t>АЛЬТПРОФ ООО</t>
  </si>
  <si>
    <t>СПОРТС.РУ ООО</t>
  </si>
  <si>
    <t>Горина Ирина Николаевна</t>
  </si>
  <si>
    <t>Алесенко Екатерина Руслановна</t>
  </si>
  <si>
    <t>Шендрик Полина Сергеевна</t>
  </si>
  <si>
    <t>пинтест</t>
  </si>
  <si>
    <t>СКБ-СОФТ</t>
  </si>
  <si>
    <t>Freepik</t>
  </si>
  <si>
    <t xml:space="preserve">QR-код </t>
  </si>
  <si>
    <t>сервис для Рояла</t>
  </si>
  <si>
    <t>прочие сервисы карта</t>
  </si>
  <si>
    <t>ОТТОК</t>
  </si>
  <si>
    <t>ИТОГО НОЯБРЬ</t>
  </si>
  <si>
    <t>ДЕКАБРЬ</t>
  </si>
  <si>
    <t>ЛАБОРАТОРИЯ КАСПЕРСКОГО АО</t>
  </si>
  <si>
    <t>ВК ООО</t>
  </si>
  <si>
    <t>INET</t>
  </si>
  <si>
    <t>АЙНЭТ ПРОДАКШЕН ООО</t>
  </si>
  <si>
    <t>ИНТЕРНЕТ ООО</t>
  </si>
  <si>
    <t>К2 ИНТЕГРАЦИЯ АО</t>
  </si>
  <si>
    <t>К2 Кибербезопасность</t>
  </si>
  <si>
    <t>Аптека Вита</t>
  </si>
  <si>
    <t>МОДУМ-ТРАНС ООО</t>
  </si>
  <si>
    <t>Модум транс</t>
  </si>
  <si>
    <t>ФИНАНСОВЫЕ ПАРТНЕРЫ ООО</t>
  </si>
  <si>
    <t>Пампаду</t>
  </si>
  <si>
    <t>Шмелев Данила Владимирович</t>
  </si>
  <si>
    <t>Magic SEO</t>
  </si>
  <si>
    <t>Страна Девелопмент</t>
  </si>
  <si>
    <t>Кирьянова Евгения Павловна</t>
  </si>
  <si>
    <t>Малистова Анна Олеговна</t>
  </si>
  <si>
    <t>Плужник Арсений Игоревич</t>
  </si>
  <si>
    <t>Порываева Виктория Дмитриевна</t>
  </si>
  <si>
    <t>Слепова Надежда Сергеевна</t>
  </si>
  <si>
    <t>Чернышёв Денис Вадимович</t>
  </si>
  <si>
    <t>Кострома Дмитрий Геннадьевич</t>
  </si>
  <si>
    <t>ИТОГО ДЕКАБРЬ</t>
  </si>
  <si>
    <t>ср. за 12 мес.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</si>
</sst>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;[Red]0.00"/>
    <numFmt numFmtId="165" formatCode="#,##0[$₽]"/>
    <numFmt numFmtId="166" formatCode="0.0%"/>
    <numFmt numFmtId="167" formatCode="0.000"/>
    <numFmt numFmtId="168" formatCode="#,##0_ ;[Red]\-#,##0\ "/>
    <numFmt numFmtId="169" formatCode="#,##0.0"/>
    <numFmt numFmtId="170" formatCode="0.0"/>
  </numFmts>
  <fonts count="82">
    <font>
      <sz val="10"/>
      <color rgb="FF00000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Open Sans"/>
      <family val="2"/>
    </font>
    <font>
      <b/>
      <sz val="10"/>
      <name val="Open Sans"/>
      <family val="2"/>
    </font>
    <font>
      <b/>
      <sz val="12"/>
      <name val="Open Sans"/>
      <family val="2"/>
    </font>
    <font>
      <sz val="8"/>
      <name val="Open Sans"/>
      <family val="2"/>
    </font>
    <font>
      <sz val="12"/>
      <name val="Open Sans"/>
      <family val="2"/>
    </font>
    <font>
      <i/>
      <sz val="10"/>
      <name val="Open Sans"/>
      <family val="2"/>
    </font>
    <font>
      <b/>
      <i/>
      <sz val="6"/>
      <name val="Open Sans"/>
      <family val="2"/>
    </font>
    <font>
      <sz val="10"/>
      <name val="Open Sans"/>
      <family val="2"/>
    </font>
    <font>
      <b/>
      <sz val="10"/>
      <name val="Open Sans"/>
      <family val="2"/>
    </font>
    <font>
      <sz val="10"/>
      <color rgb="FF000000"/>
      <name val="Open Sans"/>
      <family val="2"/>
    </font>
    <font>
      <b/>
      <sz val="8"/>
      <name val="Open Sans"/>
      <family val="2"/>
    </font>
    <font>
      <sz val="10"/>
      <color rgb="FFFFFFFF"/>
      <name val="Open Sans"/>
      <family val="2"/>
    </font>
    <font>
      <sz val="12"/>
      <color rgb="FFFFFFFF"/>
      <name val="Open Sans"/>
      <family val="2"/>
    </font>
    <font>
      <b/>
      <sz val="10"/>
      <color rgb="FFFFFFFF"/>
      <name val="Arial"/>
      <family val="2"/>
      <charset val="204"/>
    </font>
    <font>
      <sz val="10"/>
      <color rgb="FF000000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9"/>
      <color indexed="81"/>
      <name val="Tahoma"/>
      <family val="2"/>
      <charset val="204"/>
    </font>
    <font>
      <b/>
      <sz val="10"/>
      <name val="Open Sans"/>
      <family val="2"/>
      <charset val="204"/>
    </font>
    <font>
      <sz val="10"/>
      <name val="Open Sans"/>
      <family val="2"/>
      <charset val="204"/>
    </font>
    <font>
      <b/>
      <i/>
      <sz val="10"/>
      <color rgb="FF000000"/>
      <name val="Arial"/>
      <family val="2"/>
      <charset val="204"/>
    </font>
    <font>
      <i/>
      <sz val="10"/>
      <color rgb="FF000000"/>
      <name val="Arial"/>
      <family val="2"/>
      <charset val="204"/>
    </font>
    <font>
      <sz val="10"/>
      <color rgb="FF1F1F1F"/>
      <name val="Open Sans"/>
      <family val="2"/>
      <charset val="204"/>
    </font>
    <font>
      <b/>
      <sz val="11"/>
      <name val="Open Sans"/>
      <family val="2"/>
    </font>
    <font>
      <b/>
      <sz val="10"/>
      <color rgb="FFC00000"/>
      <name val="Open Sans"/>
      <family val="2"/>
    </font>
    <font>
      <b/>
      <sz val="12"/>
      <color rgb="FF000000"/>
      <name val="Arial"/>
      <family val="2"/>
      <charset val="204"/>
    </font>
    <font>
      <sz val="8"/>
      <name val="Arial"/>
      <family val="2"/>
      <charset val="204"/>
    </font>
    <font>
      <sz val="10"/>
      <color rgb="FF000000"/>
      <name val="Calibri"/>
      <family val="2"/>
      <charset val="204"/>
    </font>
    <font>
      <b/>
      <sz val="10"/>
      <color rgb="FF000000"/>
      <name val="Calibri"/>
      <family val="2"/>
      <charset val="204"/>
    </font>
    <font>
      <b/>
      <sz val="10"/>
      <color theme="1"/>
      <name val="Calibri"/>
      <family val="2"/>
      <charset val="204"/>
    </font>
    <font>
      <sz val="10"/>
      <color theme="1"/>
      <name val="Calibri"/>
      <family val="2"/>
      <charset val="204"/>
    </font>
    <font>
      <u/>
      <sz val="10"/>
      <color rgb="FF0000FF"/>
      <name val="Calibri"/>
      <family val="2"/>
      <charset val="204"/>
    </font>
    <font>
      <sz val="11"/>
      <color rgb="FF1F1F1F"/>
      <name val="Calibri"/>
      <family val="2"/>
      <charset val="204"/>
    </font>
    <font>
      <u/>
      <sz val="10"/>
      <color theme="10"/>
      <name val="Calibri"/>
      <family val="2"/>
      <charset val="204"/>
    </font>
    <font>
      <b/>
      <sz val="10"/>
      <color rgb="FF1F1F1F"/>
      <name val="Open Sans"/>
      <family val="2"/>
      <charset val="204"/>
    </font>
    <font>
      <b/>
      <sz val="12"/>
      <name val="Open Sans"/>
      <family val="2"/>
      <charset val="204"/>
    </font>
    <font>
      <sz val="9"/>
      <color indexed="81"/>
      <name val="Tahoma"/>
      <family val="2"/>
      <charset val="204"/>
    </font>
    <font>
      <sz val="10"/>
      <name val="Calibri"/>
      <family val="2"/>
      <charset val="204"/>
    </font>
    <font>
      <sz val="9"/>
      <name val="Arial"/>
      <family val="2"/>
      <charset val="204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333333"/>
      <name val="Arial"/>
      <family val="2"/>
      <charset val="204"/>
    </font>
    <font>
      <sz val="7"/>
      <color rgb="FF1F1F1F"/>
      <name val="Roboto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4"/>
      <color theme="1"/>
      <name val="Arial Narrow"/>
      <family val="2"/>
      <charset val="204"/>
    </font>
    <font>
      <sz val="9"/>
      <color theme="1"/>
      <name val="Arial Narrow"/>
      <family val="2"/>
      <charset val="204"/>
    </font>
    <font>
      <b/>
      <sz val="9"/>
      <color theme="1"/>
      <name val="Arial Narrow"/>
      <family val="2"/>
      <charset val="204"/>
    </font>
    <font>
      <sz val="8"/>
      <color theme="1"/>
      <name val="Arial Narrow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 Narrow"/>
      <family val="2"/>
      <charset val="204"/>
    </font>
    <font>
      <b/>
      <sz val="9"/>
      <color rgb="FFC00000"/>
      <name val="Open Sans"/>
      <family val="2"/>
      <charset val="204"/>
    </font>
    <font>
      <b/>
      <sz val="9"/>
      <color rgb="FFC00000"/>
      <name val="Arial"/>
      <family val="2"/>
      <charset val="204"/>
    </font>
    <font>
      <sz val="10"/>
      <color rgb="FF000000"/>
      <name val="Open Sans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name val="Calibri"/>
      <family val="2"/>
      <charset val="204"/>
      <scheme val="minor"/>
    </font>
    <font>
      <sz val="8"/>
      <name val="Arial"/>
      <family val="2"/>
      <charset val="204"/>
    </font>
    <font>
      <sz val="10"/>
      <color rgb="FF000000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  <font>
      <sz val="9"/>
      <color rgb="FF1F1F1F"/>
      <name val="&quot;Google Sans&quot;"/>
    </font>
    <font>
      <sz val="10"/>
      <color theme="1"/>
      <name val="Calibri"/>
      <family val="2"/>
      <charset val="204"/>
      <scheme val="minor"/>
    </font>
    <font>
      <sz val="10"/>
      <color rgb="FF000000"/>
      <name val="Helvetica"/>
    </font>
    <font>
      <sz val="12"/>
      <color rgb="FF000000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i/>
      <sz val="10"/>
      <name val="Open Sans"/>
      <family val="2"/>
      <charset val="204"/>
    </font>
    <font>
      <b/>
      <i/>
      <sz val="11"/>
      <name val="Open Sans"/>
      <family val="2"/>
      <charset val="204"/>
    </font>
    <font>
      <b/>
      <sz val="10"/>
      <color rgb="FF000000"/>
      <name val="Open Sans"/>
      <family val="2"/>
      <charset val="204"/>
    </font>
    <font>
      <sz val="12"/>
      <name val="Open Sans"/>
      <family val="2"/>
      <charset val="204"/>
    </font>
    <font>
      <sz val="11"/>
      <name val="Open Sans"/>
      <family val="2"/>
      <charset val="204"/>
    </font>
    <font>
      <b/>
      <sz val="10"/>
      <name val="Arial"/>
      <family val="2"/>
      <charset val="204"/>
    </font>
    <font>
      <sz val="8"/>
      <color rgb="FF000000"/>
      <name val="Open Sans"/>
      <family val="2"/>
      <charset val="204"/>
    </font>
    <font>
      <sz val="11"/>
      <color rgb="FF000000"/>
      <name val="Calibri"/>
      <family val="2"/>
      <charset val="204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2"/>
      <color rgb="FF000000"/>
      <name val="Open Sans"/>
      <family val="2"/>
      <charset val="204"/>
    </font>
    <font>
      <sz val="8"/>
      <name val="Open Sans"/>
      <family val="2"/>
      <charset val="204"/>
    </font>
    <font>
      <b/>
      <sz val="11"/>
      <name val="Open Sans"/>
      <family val="2"/>
      <charset val="204"/>
    </font>
  </fonts>
  <fills count="49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4343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0.59999389629810485"/>
        <bgColor rgb="FF93C47D"/>
      </patternFill>
    </fill>
    <fill>
      <patternFill patternType="solid">
        <fgColor theme="9" tint="0.79998168889431442"/>
        <bgColor rgb="FFD9D9D9"/>
      </patternFill>
    </fill>
    <fill>
      <patternFill patternType="solid">
        <fgColor theme="9" tint="0.79998168889431442"/>
        <bgColor rgb="FFCCCCCC"/>
      </patternFill>
    </fill>
    <fill>
      <patternFill patternType="solid">
        <fgColor theme="9" tint="0.59999389629810485"/>
        <bgColor rgb="FFD9EAD3"/>
      </patternFill>
    </fill>
    <fill>
      <patternFill patternType="solid">
        <fgColor theme="9" tint="-0.249977111117893"/>
        <bgColor rgb="FF6AA84F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rgb="FFFFE59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rgb="FFD9EAD3"/>
      </patternFill>
    </fill>
    <fill>
      <patternFill patternType="solid">
        <fgColor theme="0"/>
        <bgColor rgb="FFB7B7B7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rgb="FFFF00FF"/>
      </patternFill>
    </fill>
    <fill>
      <patternFill patternType="solid">
        <fgColor rgb="FFB6D7A8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CCC"/>
        <bgColor rgb="FFFF00FF"/>
      </patternFill>
    </fill>
    <fill>
      <patternFill patternType="solid">
        <fgColor rgb="FFD9EAD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B6D7A8"/>
        <bgColor rgb="FFB6D7A8"/>
      </patternFill>
    </fill>
    <fill>
      <patternFill patternType="solid">
        <fgColor theme="9" tint="0.39997558519241921"/>
        <bgColor rgb="FF93C47D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FFFFFF"/>
      </patternFill>
    </fill>
    <fill>
      <patternFill patternType="solid">
        <fgColor rgb="FF9FC5E8"/>
        <bgColor indexed="64"/>
      </patternFill>
    </fill>
    <fill>
      <patternFill patternType="solid">
        <fgColor theme="9" tint="0.79998168889431442"/>
        <bgColor rgb="FF93C47D"/>
      </patternFill>
    </fill>
    <fill>
      <patternFill patternType="solid">
        <fgColor theme="0"/>
        <bgColor rgb="FF93C47D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CCCCCC"/>
      </patternFill>
    </fill>
    <fill>
      <patternFill patternType="solid">
        <fgColor theme="0" tint="-0.249977111117893"/>
        <bgColor indexed="64"/>
      </patternFill>
    </fill>
  </fills>
  <borders count="4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CCCCCC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CCCCCC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CCCCCC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indexed="64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theme="0" tint="-0.249977111117893"/>
      </left>
      <right/>
      <top/>
      <bottom/>
      <diagonal/>
    </border>
    <border>
      <left/>
      <right style="medium">
        <color theme="0" tint="-0.249977111117893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0" tint="-0.249977111117893"/>
      </left>
      <right/>
      <top/>
      <bottom style="medium">
        <color indexed="64"/>
      </bottom>
      <diagonal/>
    </border>
    <border>
      <left/>
      <right style="medium">
        <color theme="0" tint="-0.249977111117893"/>
      </right>
      <top/>
      <bottom style="medium">
        <color indexed="64"/>
      </bottom>
      <diagonal/>
    </border>
    <border>
      <left style="medium">
        <color theme="0" tint="-0.249977111117893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theme="0" tint="-0.249977111117893"/>
      </right>
      <top style="medium">
        <color indexed="64"/>
      </top>
      <bottom style="medium">
        <color indexed="64"/>
      </bottom>
      <diagonal/>
    </border>
    <border>
      <left style="medium">
        <color theme="0" tint="-0.249977111117893"/>
      </left>
      <right style="medium">
        <color indexed="64"/>
      </right>
      <top style="medium">
        <color theme="0" tint="-0.249977111117893"/>
      </top>
      <bottom style="medium">
        <color theme="0" tint="-0.249977111117893"/>
      </bottom>
      <diagonal/>
    </border>
    <border>
      <left/>
      <right/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thin">
        <color theme="2" tint="-9.9978637043366805E-2"/>
      </right>
      <top style="medium">
        <color theme="0" tint="-0.249977111117893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medium">
        <color theme="0" tint="-0.249977111117893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medium">
        <color theme="0" tint="-0.249977111117893"/>
      </top>
      <bottom style="thin">
        <color theme="2" tint="-9.9978637043366805E-2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thin">
        <color theme="2" tint="-9.9978637043366805E-2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thin">
        <color theme="2" tint="-9.9978637043366805E-2"/>
      </bottom>
      <diagonal/>
    </border>
    <border>
      <left style="medium">
        <color theme="0" tint="-0.249977111117893"/>
      </left>
      <right style="thin">
        <color theme="2" tint="-9.9978637043366805E-2"/>
      </right>
      <top style="medium">
        <color theme="0" tint="-0.249977111117893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theme="0" tint="-0.249977111117893"/>
      </right>
      <top style="medium">
        <color theme="0" tint="-0.249977111117893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medium">
        <color theme="0" tint="-0.249977111117893"/>
      </top>
      <bottom style="thin">
        <color theme="2" tint="-9.9978637043366805E-2"/>
      </bottom>
      <diagonal/>
    </border>
    <border>
      <left style="medium">
        <color theme="0" tint="-0.249977111117893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0" tint="-0.249977111117893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medium">
        <color theme="0" tint="-0.249977111117893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0" tint="-0.249977111117893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theme="0" tint="-0.249977111117893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0" tint="-0.249977111117893"/>
      </left>
      <right style="thin">
        <color theme="2" tint="-9.9978637043366805E-2"/>
      </right>
      <top/>
      <bottom style="medium">
        <color theme="0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 style="medium">
        <color theme="0" tint="-0.249977111117893"/>
      </left>
      <right/>
      <top style="thin">
        <color theme="2" tint="-9.9978637043366805E-2"/>
      </top>
      <bottom/>
      <diagonal/>
    </border>
    <border>
      <left/>
      <right style="medium">
        <color theme="0" tint="-0.249977111117893"/>
      </right>
      <top style="thin">
        <color theme="2" tint="-9.9978637043366805E-2"/>
      </top>
      <bottom/>
      <diagonal/>
    </border>
    <border>
      <left style="medium">
        <color theme="0" tint="-0.249977111117893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medium">
        <color theme="0" tint="-0.249977111117893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medium">
        <color theme="0" tint="-0.249977111117893"/>
      </top>
      <bottom/>
      <diagonal/>
    </border>
    <border>
      <left/>
      <right style="thin">
        <color theme="2" tint="-9.9978637043366805E-2"/>
      </right>
      <top/>
      <bottom/>
      <diagonal/>
    </border>
    <border>
      <left/>
      <right style="thin">
        <color theme="2" tint="-9.9978637043366805E-2"/>
      </right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indexed="64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indexed="64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indexed="64"/>
      </right>
      <top style="medium">
        <color theme="0" tint="-0.499984740745262"/>
      </top>
      <bottom/>
      <diagonal/>
    </border>
    <border>
      <left/>
      <right style="medium">
        <color indexed="64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rgb="FFCCCCCC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/>
      <top style="medium">
        <color rgb="FFCCCCCC"/>
      </top>
      <bottom style="medium">
        <color rgb="FFCCCCCC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indexed="64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indexed="64"/>
      </left>
      <right style="thin">
        <color indexed="64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indexed="64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thin">
        <color indexed="64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hair">
        <color indexed="64"/>
      </top>
      <bottom style="hair">
        <color indexed="64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rgb="FFCCCCCC"/>
      </bottom>
      <diagonal/>
    </border>
    <border>
      <left/>
      <right/>
      <top style="medium">
        <color indexed="64"/>
      </top>
      <bottom style="medium">
        <color rgb="FFCCCCCC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rgb="FFCCCCCC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/>
      <top style="medium">
        <color rgb="FFCCCCCC"/>
      </top>
      <bottom style="medium">
        <color indexed="64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rgb="FFCCCCCC"/>
      </top>
      <bottom style="medium">
        <color indexed="64"/>
      </bottom>
      <diagonal/>
    </border>
    <border>
      <left/>
      <right style="medium">
        <color rgb="FFCCCCCC"/>
      </right>
      <top style="medium">
        <color indexed="64"/>
      </top>
      <bottom/>
      <diagonal/>
    </border>
    <border>
      <left style="medium">
        <color theme="0" tint="-0.499984740745262"/>
      </left>
      <right/>
      <top style="medium">
        <color indexed="64"/>
      </top>
      <bottom/>
      <diagonal/>
    </border>
    <border>
      <left/>
      <right style="medium">
        <color rgb="FFCCCCCC"/>
      </right>
      <top style="medium">
        <color theme="0" tint="-0.499984740745262"/>
      </top>
      <bottom style="medium">
        <color rgb="FFCCCCCC"/>
      </bottom>
      <diagonal/>
    </border>
    <border>
      <left style="medium">
        <color rgb="FFCCCCCC"/>
      </left>
      <right/>
      <top style="medium">
        <color theme="0" tint="-0.499984740745262"/>
      </top>
      <bottom style="medium">
        <color rgb="FFCCCCCC"/>
      </bottom>
      <diagonal/>
    </border>
    <border>
      <left/>
      <right/>
      <top style="medium">
        <color theme="0" tint="-0.499984740745262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medium">
        <color theme="0" tint="-0.499984740745262"/>
      </left>
      <right/>
      <top style="medium">
        <color rgb="FFCCCCCC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 style="medium">
        <color rgb="FFCCCCCC"/>
      </top>
      <bottom style="medium">
        <color rgb="FFCCCCCC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rgb="FFCCCCCC"/>
      </top>
      <bottom style="medium">
        <color theme="0" tint="-0.499984740745262"/>
      </bottom>
      <diagonal/>
    </border>
    <border>
      <left/>
      <right style="medium">
        <color rgb="FFCCCCCC"/>
      </right>
      <top style="medium">
        <color rgb="FFCCCCCC"/>
      </top>
      <bottom style="medium">
        <color theme="0" tint="-0.499984740745262"/>
      </bottom>
      <diagonal/>
    </border>
    <border>
      <left style="medium">
        <color rgb="FFCCCCCC"/>
      </left>
      <right/>
      <top style="medium">
        <color rgb="FFCCCCCC"/>
      </top>
      <bottom style="medium">
        <color theme="0" tint="-0.499984740745262"/>
      </bottom>
      <diagonal/>
    </border>
    <border>
      <left/>
      <right/>
      <top style="medium">
        <color rgb="FFCCCCCC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rgb="FFCCCCCC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/>
      <right style="medium">
        <color rgb="FFCCCCCC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theme="0" tint="-0.499984740745262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theme="0" tint="-0.499984740745262"/>
      </top>
      <bottom/>
      <diagonal/>
    </border>
    <border>
      <left style="medium">
        <color rgb="FFCCCCCC"/>
      </left>
      <right/>
      <top style="medium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rgb="FFCCCCCC"/>
      </left>
      <right/>
      <top/>
      <bottom style="medium">
        <color indexed="64"/>
      </bottom>
      <diagonal/>
    </border>
    <border>
      <left style="medium">
        <color theme="0" tint="-0.499984740745262"/>
      </left>
      <right/>
      <top/>
      <bottom style="medium">
        <color indexed="64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theme="0" tint="-0.499984740745262"/>
      </right>
      <top style="medium">
        <color indexed="64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theme="0" tint="-0.499984740745262"/>
      </right>
      <top/>
      <bottom/>
      <diagonal/>
    </border>
    <border>
      <left style="medium">
        <color indexed="64"/>
      </left>
      <right style="medium">
        <color theme="0" tint="-0.499984740745262"/>
      </right>
      <top/>
      <bottom style="medium">
        <color indexed="64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medium">
        <color theme="0" tint="-0.499984740745262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theme="0" tint="-0.499984740745262"/>
      </right>
      <top style="medium">
        <color indexed="64"/>
      </top>
      <bottom/>
      <diagonal/>
    </border>
    <border>
      <left/>
      <right style="medium">
        <color theme="0" tint="-0.499984740745262"/>
      </right>
      <top/>
      <bottom/>
      <diagonal/>
    </border>
    <border>
      <left/>
      <right style="medium">
        <color theme="0" tint="-0.499984740745262"/>
      </right>
      <top style="medium">
        <color indexed="64"/>
      </top>
      <bottom style="medium">
        <color indexed="64"/>
      </bottom>
      <diagonal/>
    </border>
    <border>
      <left/>
      <right style="medium">
        <color theme="0" tint="-0.499984740745262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theme="0" tint="-0.499984740745262"/>
      </left>
      <right/>
      <top style="medium">
        <color indexed="64"/>
      </top>
      <bottom style="medium">
        <color rgb="FFCCCCCC"/>
      </bottom>
      <diagonal/>
    </border>
    <border>
      <left style="medium">
        <color theme="0" tint="-0.499984740745262"/>
      </left>
      <right/>
      <top style="medium">
        <color rgb="FFCCCCCC"/>
      </top>
      <bottom style="medium">
        <color indexed="64"/>
      </bottom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rgb="FFCCCCCC"/>
      </top>
      <bottom/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indexed="64"/>
      </top>
      <bottom/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rgb="FFCCCCCC"/>
      </top>
      <bottom style="medium">
        <color rgb="FFCCCCCC"/>
      </bottom>
      <diagonal/>
    </border>
    <border>
      <left style="medium">
        <color theme="2" tint="-0.499984740745262"/>
      </left>
      <right style="medium">
        <color theme="2" tint="-0.499984740745262"/>
      </right>
      <top/>
      <bottom/>
      <diagonal/>
    </border>
    <border>
      <left style="medium">
        <color theme="2" tint="-0.499984740745262"/>
      </left>
      <right style="medium">
        <color theme="2" tint="-0.499984740745262"/>
      </right>
      <top/>
      <bottom style="medium">
        <color rgb="FFCCCCCC"/>
      </bottom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indexed="64"/>
      </top>
      <bottom style="medium">
        <color indexed="64"/>
      </bottom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indexed="64"/>
      </top>
      <bottom style="medium">
        <color rgb="FFCCCCCC"/>
      </bottom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rgb="FFCCCCCC"/>
      </top>
      <bottom style="medium">
        <color indexed="64"/>
      </bottom>
      <diagonal/>
    </border>
    <border>
      <left style="medium">
        <color theme="2" tint="-0.499984740745262"/>
      </left>
      <right/>
      <top style="medium">
        <color theme="2" tint="-0.499984740745262"/>
      </top>
      <bottom style="medium">
        <color theme="2" tint="-0.499984740745262"/>
      </bottom>
      <diagonal/>
    </border>
    <border>
      <left style="medium">
        <color theme="0" tint="-0.499984740745262"/>
      </left>
      <right/>
      <top style="medium">
        <color theme="2" tint="-0.499984740745262"/>
      </top>
      <bottom style="medium">
        <color theme="2" tint="-0.499984740745262"/>
      </bottom>
      <diagonal/>
    </border>
    <border>
      <left/>
      <right/>
      <top style="medium">
        <color theme="2" tint="-0.499984740745262"/>
      </top>
      <bottom style="medium">
        <color theme="2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medium">
        <color indexed="64"/>
      </left>
      <right style="medium">
        <color indexed="64"/>
      </right>
      <top style="medium">
        <color theme="2" tint="-0.499984740745262"/>
      </top>
      <bottom style="medium">
        <color theme="2" tint="-0.499984740745262"/>
      </bottom>
      <diagonal/>
    </border>
    <border>
      <left/>
      <right style="medium">
        <color theme="0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theme="2" tint="-0.499984740745262"/>
      </left>
      <right/>
      <top style="medium">
        <color theme="2" tint="-0.499984740745262"/>
      </top>
      <bottom/>
      <diagonal/>
    </border>
    <border>
      <left/>
      <right/>
      <top style="medium">
        <color theme="2" tint="-0.499984740745262"/>
      </top>
      <bottom/>
      <diagonal/>
    </border>
    <border>
      <left style="medium">
        <color theme="2" tint="-0.499984740745262"/>
      </left>
      <right/>
      <top/>
      <bottom/>
      <diagonal/>
    </border>
    <border>
      <left style="medium">
        <color theme="2" tint="-0.499984740745262"/>
      </left>
      <right/>
      <top/>
      <bottom style="medium">
        <color theme="2" tint="-0.499984740745262"/>
      </bottom>
      <diagonal/>
    </border>
    <border>
      <left/>
      <right/>
      <top/>
      <bottom style="medium">
        <color theme="2" tint="-0.499984740745262"/>
      </bottom>
      <diagonal/>
    </border>
    <border>
      <left/>
      <right/>
      <top style="medium">
        <color indexed="64"/>
      </top>
      <bottom style="medium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theme="2" tint="-0.499984740745262"/>
      </top>
      <bottom/>
      <diagonal/>
    </border>
    <border>
      <left style="medium">
        <color theme="2" tint="-0.499984740745262"/>
      </left>
      <right style="medium">
        <color theme="2" tint="-0.499984740745262"/>
      </right>
      <top/>
      <bottom style="medium">
        <color theme="2" tint="-0.499984740745262"/>
      </bottom>
      <diagonal/>
    </border>
    <border>
      <left/>
      <right style="medium">
        <color theme="2" tint="-0.499984740745262"/>
      </right>
      <top style="medium">
        <color theme="2" tint="-0.499984740745262"/>
      </top>
      <bottom/>
      <diagonal/>
    </border>
    <border>
      <left/>
      <right style="medium">
        <color theme="2" tint="-0.499984740745262"/>
      </right>
      <top/>
      <bottom/>
      <diagonal/>
    </border>
    <border>
      <left/>
      <right style="medium">
        <color theme="2" tint="-0.499984740745262"/>
      </right>
      <top/>
      <bottom style="medium">
        <color theme="2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2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2" tint="-0.499984740745262"/>
      </top>
      <bottom style="medium">
        <color rgb="FFCCCCCC"/>
      </bottom>
      <diagonal/>
    </border>
    <border>
      <left/>
      <right style="medium">
        <color rgb="FFCCCCCC"/>
      </right>
      <top style="medium">
        <color theme="2" tint="-0.499984740745262"/>
      </top>
      <bottom style="medium">
        <color rgb="FFCCCCCC"/>
      </bottom>
      <diagonal/>
    </border>
    <border>
      <left style="medium">
        <color rgb="FFCCCCCC"/>
      </left>
      <right/>
      <top style="medium">
        <color theme="2" tint="-0.499984740745262"/>
      </top>
      <bottom style="medium">
        <color rgb="FFCCCCCC"/>
      </bottom>
      <diagonal/>
    </border>
    <border>
      <left/>
      <right/>
      <top style="medium">
        <color theme="2" tint="-0.499984740745262"/>
      </top>
      <bottom style="medium">
        <color rgb="FFCCCCCC"/>
      </bottom>
      <diagonal/>
    </border>
    <border>
      <left style="medium">
        <color theme="0" tint="-0.499984740745262"/>
      </left>
      <right/>
      <top style="medium">
        <color theme="2" tint="-0.499984740745262"/>
      </top>
      <bottom style="medium">
        <color rgb="FFCCCCCC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2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 style="medium">
        <color theme="2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2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rgb="FFCCCCCC"/>
      </top>
      <bottom style="medium">
        <color theme="2" tint="-0.499984740745262"/>
      </bottom>
      <diagonal/>
    </border>
    <border>
      <left/>
      <right style="medium">
        <color rgb="FFCCCCCC"/>
      </right>
      <top style="medium">
        <color rgb="FFCCCCCC"/>
      </top>
      <bottom style="medium">
        <color theme="2" tint="-0.499984740745262"/>
      </bottom>
      <diagonal/>
    </border>
    <border>
      <left style="medium">
        <color rgb="FFCCCCCC"/>
      </left>
      <right/>
      <top style="medium">
        <color rgb="FFCCCCCC"/>
      </top>
      <bottom style="medium">
        <color theme="2" tint="-0.499984740745262"/>
      </bottom>
      <diagonal/>
    </border>
    <border>
      <left/>
      <right/>
      <top style="medium">
        <color rgb="FFCCCCCC"/>
      </top>
      <bottom style="medium">
        <color theme="2" tint="-0.499984740745262"/>
      </bottom>
      <diagonal/>
    </border>
    <border>
      <left style="medium">
        <color theme="0" tint="-0.499984740745262"/>
      </left>
      <right/>
      <top style="medium">
        <color rgb="FFCCCCCC"/>
      </top>
      <bottom style="medium">
        <color theme="2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2" tint="-0.499984740745262"/>
      </bottom>
      <diagonal/>
    </border>
    <border>
      <left style="medium">
        <color theme="0" tint="-0.499984740745262"/>
      </left>
      <right/>
      <top/>
      <bottom style="medium">
        <color theme="2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2" tint="-0.499984740745262"/>
      </left>
      <right style="medium">
        <color theme="0" tint="-0.499984740745262"/>
      </right>
      <top style="medium">
        <color theme="2" tint="-0.499984740745262"/>
      </top>
      <bottom/>
      <diagonal/>
    </border>
    <border>
      <left/>
      <right style="medium">
        <color theme="0" tint="-0.499984740745262"/>
      </right>
      <top style="medium">
        <color theme="2" tint="-0.499984740745262"/>
      </top>
      <bottom/>
      <diagonal/>
    </border>
    <border>
      <left style="medium">
        <color theme="2" tint="-0.499984740745262"/>
      </left>
      <right style="medium">
        <color theme="0" tint="-0.499984740745262"/>
      </right>
      <top/>
      <bottom/>
      <diagonal/>
    </border>
    <border>
      <left style="medium">
        <color theme="2" tint="-0.499984740745262"/>
      </left>
      <right style="medium">
        <color theme="0" tint="-0.499984740745262"/>
      </right>
      <top/>
      <bottom style="medium">
        <color theme="2" tint="-0.499984740745262"/>
      </bottom>
      <diagonal/>
    </border>
    <border>
      <left/>
      <right style="medium">
        <color theme="0" tint="-0.499984740745262"/>
      </right>
      <top/>
      <bottom style="medium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/>
      <bottom style="medium">
        <color indexed="64"/>
      </bottom>
      <diagonal/>
    </border>
    <border>
      <left/>
      <right style="medium">
        <color rgb="FFCCCCCC"/>
      </right>
      <top/>
      <bottom style="medium">
        <color indexed="64"/>
      </bottom>
      <diagonal/>
    </border>
    <border>
      <left/>
      <right style="medium">
        <color rgb="FFCCCCCC"/>
      </right>
      <top style="medium">
        <color theme="2" tint="-0.499984740745262"/>
      </top>
      <bottom style="medium">
        <color theme="2" tint="-0.499984740745262"/>
      </bottom>
      <diagonal/>
    </border>
    <border>
      <left style="medium">
        <color rgb="FFCCCCCC"/>
      </left>
      <right/>
      <top style="medium">
        <color theme="2" tint="-0.499984740745262"/>
      </top>
      <bottom style="medium">
        <color theme="2" tint="-0.499984740745262"/>
      </bottom>
      <diagonal/>
    </border>
    <border>
      <left style="medium">
        <color theme="2" tint="-0.499984740745262"/>
      </left>
      <right style="medium">
        <color theme="0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2" tint="-0.499984740745262"/>
      </left>
      <right/>
      <top style="medium">
        <color indexed="64"/>
      </top>
      <bottom/>
      <diagonal/>
    </border>
    <border>
      <left style="medium">
        <color theme="2" tint="-0.499984740745262"/>
      </left>
      <right/>
      <top style="medium">
        <color theme="0" tint="-0.499984740745262"/>
      </top>
      <bottom/>
      <diagonal/>
    </border>
    <border>
      <left style="medium">
        <color theme="2" tint="-0.499984740745262"/>
      </left>
      <right/>
      <top/>
      <bottom style="medium">
        <color theme="0" tint="-0.499984740745262"/>
      </bottom>
      <diagonal/>
    </border>
    <border>
      <left style="medium">
        <color theme="2" tint="-0.499984740745262"/>
      </left>
      <right/>
      <top/>
      <bottom style="medium">
        <color indexed="64"/>
      </bottom>
      <diagonal/>
    </border>
    <border>
      <left style="medium">
        <color theme="2" tint="-0.499984740745262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theme="2" tint="-0.499984740745262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theme="2" tint="-0.499984740745262"/>
      </left>
      <right/>
      <top style="medium">
        <color theme="2" tint="-0.499984740745262"/>
      </top>
      <bottom style="hair">
        <color indexed="64"/>
      </bottom>
      <diagonal/>
    </border>
    <border>
      <left/>
      <right/>
      <top style="medium">
        <color theme="2" tint="-0.499984740745262"/>
      </top>
      <bottom style="hair">
        <color indexed="64"/>
      </bottom>
      <diagonal/>
    </border>
    <border>
      <left/>
      <right style="hair">
        <color indexed="64"/>
      </right>
      <top style="medium">
        <color theme="2" tint="-0.49998474074526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theme="2" tint="-0.499984740745262"/>
      </top>
      <bottom style="hair">
        <color indexed="64"/>
      </bottom>
      <diagonal/>
    </border>
    <border>
      <left style="medium">
        <color theme="2" tint="-0.499984740745262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theme="2" tint="-0.499984740745262"/>
      </left>
      <right style="hair">
        <color indexed="64"/>
      </right>
      <top style="hair">
        <color indexed="64"/>
      </top>
      <bottom style="medium">
        <color theme="2" tint="-0.4999847407452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theme="2" tint="-0.499984740745262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theme="2" tint="-0.499984740745262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theme="2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/>
      <bottom/>
      <diagonal/>
    </border>
    <border>
      <left style="thin">
        <color theme="0" tint="-0.499984740745262"/>
      </left>
      <right style="medium">
        <color theme="0" tint="-0.499984740745262"/>
      </right>
      <top/>
      <bottom style="medium">
        <color theme="2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theme="2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thin">
        <color theme="0" tint="-0.499984740745262"/>
      </right>
      <top/>
      <bottom/>
      <diagonal/>
    </border>
    <border>
      <left style="medium">
        <color theme="0" tint="-0.499984740745262"/>
      </left>
      <right style="thin">
        <color theme="0" tint="-0.499984740745262"/>
      </right>
      <top/>
      <bottom style="medium">
        <color theme="2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 style="medium">
        <color theme="2" tint="-0.499984740745262"/>
      </top>
      <bottom/>
      <diagonal/>
    </border>
    <border>
      <left/>
      <right style="medium">
        <color theme="1"/>
      </right>
      <top style="medium">
        <color theme="2" tint="-0.499984740745262"/>
      </top>
      <bottom/>
      <diagonal/>
    </border>
    <border>
      <left style="medium">
        <color theme="1"/>
      </left>
      <right/>
      <top/>
      <bottom style="medium">
        <color theme="2" tint="-0.499984740745262"/>
      </bottom>
      <diagonal/>
    </border>
    <border>
      <left/>
      <right style="medium">
        <color theme="1"/>
      </right>
      <top/>
      <bottom style="medium">
        <color theme="2" tint="-0.499984740745262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thin">
        <color theme="0" tint="-0.14999847407452621"/>
      </bottom>
      <diagonal/>
    </border>
    <border>
      <left/>
      <right/>
      <top style="medium">
        <color theme="0" tint="-0.249977111117893"/>
      </top>
      <bottom style="thin">
        <color theme="0" tint="-0.14999847407452621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thin">
        <color theme="0" tint="-0.14999847407452621"/>
      </bottom>
      <diagonal/>
    </border>
    <border>
      <left style="medium">
        <color theme="0" tint="-0.249977111117893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medium">
        <color theme="0" tint="-0.249977111117893"/>
      </right>
      <top style="thin">
        <color theme="0" tint="-0.14999847407452621"/>
      </top>
      <bottom/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theme="0" tint="-0.249977111117893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0" tint="-0.249977111117893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14999847407452621"/>
      </left>
      <right/>
      <top style="medium">
        <color theme="0" tint="-0.249977111117893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0" tint="-0.249977111117893"/>
      </right>
      <top style="medium">
        <color theme="0" tint="-0.249977111117893"/>
      </top>
      <bottom style="thin">
        <color theme="0" tint="-0.14999847407452621"/>
      </bottom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  <border>
      <left style="medium">
        <color theme="0" tint="-0.249977111117893"/>
      </left>
      <right/>
      <top style="thin">
        <color theme="0" tint="-0.14999847407452621"/>
      </top>
      <bottom style="medium">
        <color theme="0" tint="-0.249977111117893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medium">
        <color theme="0" tint="-0.249977111117893"/>
      </bottom>
      <diagonal/>
    </border>
    <border>
      <left style="thin">
        <color theme="0" tint="-0.14999847407452621"/>
      </left>
      <right style="medium">
        <color theme="0" tint="-0.249977111117893"/>
      </right>
      <top style="thin">
        <color theme="0" tint="-0.14999847407452621"/>
      </top>
      <bottom style="medium">
        <color theme="0" tint="-0.249977111117893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0" tint="-0.249977111117893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0" tint="-0.249977111117893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0" tint="-0.249977111117893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medium">
        <color theme="0" tint="-0.249977111117893"/>
      </right>
      <top style="medium">
        <color theme="1" tint="0.499984740745262"/>
      </top>
      <bottom/>
      <diagonal/>
    </border>
    <border>
      <left style="medium">
        <color theme="1" tint="0.499984740745262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/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/>
      <right style="medium">
        <color theme="0" tint="-0.249977111117893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0" tint="-0.249977111117893"/>
      </top>
      <bottom/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0" tint="-0.14999847407452621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 tint="0.499984740745262"/>
      </left>
      <right/>
      <top style="thin">
        <color theme="0" tint="-0.249977111117893"/>
      </top>
      <bottom/>
      <diagonal/>
    </border>
    <border>
      <left style="medium">
        <color theme="1" tint="0.499984740745262"/>
      </left>
      <right/>
      <top style="thin">
        <color theme="0" tint="-0.14999847407452621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/>
      <bottom style="thin">
        <color theme="0" tint="-0.249977111117893"/>
      </bottom>
      <diagonal/>
    </border>
    <border>
      <left style="medium">
        <color theme="1" tint="0.499984740745262"/>
      </left>
      <right/>
      <top/>
      <bottom style="thin">
        <color theme="0" tint="-0.249977111117893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/>
      <top/>
      <bottom style="medium">
        <color theme="0" tint="-0.249977111117893"/>
      </bottom>
      <diagonal/>
    </border>
    <border>
      <left style="medium">
        <color theme="1" tint="0.499984740745262"/>
      </left>
      <right/>
      <top style="medium">
        <color theme="0" tint="-0.249977111117893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/>
      <diagonal/>
    </border>
    <border>
      <left style="thin">
        <color theme="0" tint="-0.14999847407452621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theme="2" tint="-0.499984740745262"/>
      </top>
      <bottom/>
      <diagonal/>
    </border>
    <border>
      <left/>
      <right style="medium">
        <color indexed="64"/>
      </right>
      <top style="medium">
        <color theme="2" tint="-0.499984740745262"/>
      </top>
      <bottom/>
      <diagonal/>
    </border>
    <border>
      <left style="medium">
        <color indexed="64"/>
      </left>
      <right/>
      <top/>
      <bottom style="medium">
        <color theme="2" tint="-0.499984740745262"/>
      </bottom>
      <diagonal/>
    </border>
    <border>
      <left/>
      <right style="medium">
        <color indexed="64"/>
      </right>
      <top/>
      <bottom style="medium">
        <color theme="2" tint="-0.499984740745262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medium">
        <color indexed="64"/>
      </top>
      <bottom style="thin">
        <color theme="0" tint="-0.14999847407452621"/>
      </bottom>
      <diagonal/>
    </border>
    <border>
      <left style="medium">
        <color indexed="64"/>
      </left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medium">
        <color indexed="64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  <border>
      <left/>
      <right/>
      <top style="medium">
        <color indexed="64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medium">
        <color indexed="64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/>
      <right/>
      <top style="thin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 style="medium">
        <color indexed="64"/>
      </top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/>
      <diagonal/>
    </border>
    <border>
      <left style="medium">
        <color indexed="64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/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/>
      <diagonal/>
    </border>
    <border>
      <left style="thin">
        <color theme="0" tint="-0.1499984740745262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 style="medium">
        <color indexed="64"/>
      </bottom>
      <diagonal/>
    </border>
    <border>
      <left style="medium">
        <color indexed="64"/>
      </left>
      <right style="thin">
        <color theme="0" tint="-0.14999847407452621"/>
      </right>
      <top/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medium">
        <color indexed="64"/>
      </bottom>
      <diagonal/>
    </border>
    <border>
      <left style="thin">
        <color theme="0" tint="-0.14999847407452621"/>
      </left>
      <right/>
      <top/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 tint="0.34998626667073579"/>
      </bottom>
      <diagonal/>
    </border>
    <border>
      <left style="medium">
        <color indexed="64"/>
      </left>
      <right style="medium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 style="medium">
        <color indexed="64"/>
      </right>
      <top style="thin">
        <color theme="1" tint="0.34998626667073579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 tint="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1" tint="0.34998626667073579"/>
      </bottom>
      <diagonal/>
    </border>
    <border>
      <left style="medium">
        <color indexed="64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medium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/>
      <top style="thin">
        <color theme="1" tint="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1" tint="0.3499862666707357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1" tint="0.34998626667073579"/>
      </bottom>
      <diagonal/>
    </border>
    <border>
      <left style="medium">
        <color indexed="64"/>
      </left>
      <right style="thin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 style="thin">
        <color indexed="64"/>
      </right>
      <top style="thin">
        <color theme="1" tint="0.34998626667073579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18" fillId="0" borderId="0" applyNumberFormat="0" applyFill="0" applyBorder="0" applyAlignment="0" applyProtection="0"/>
    <xf numFmtId="0" fontId="42" fillId="0" borderId="0"/>
    <xf numFmtId="0" fontId="2" fillId="0" borderId="0"/>
    <xf numFmtId="0" fontId="43" fillId="0" borderId="0"/>
    <xf numFmtId="9" fontId="47" fillId="0" borderId="0" applyFont="0" applyFill="0" applyBorder="0" applyAlignment="0" applyProtection="0"/>
    <xf numFmtId="0" fontId="17" fillId="0" borderId="0"/>
    <xf numFmtId="0" fontId="1" fillId="0" borderId="0"/>
    <xf numFmtId="9" fontId="17" fillId="0" borderId="0" applyFont="0" applyFill="0" applyBorder="0" applyAlignment="0" applyProtection="0"/>
  </cellStyleXfs>
  <cellXfs count="2099">
    <xf numFmtId="0" fontId="0" fillId="0" borderId="0" xfId="0"/>
    <xf numFmtId="0" fontId="5" fillId="2" borderId="0" xfId="0" applyFont="1" applyFill="1"/>
    <xf numFmtId="0" fontId="6" fillId="0" borderId="0" xfId="0" applyFont="1"/>
    <xf numFmtId="0" fontId="10" fillId="0" borderId="0" xfId="0" applyFont="1"/>
    <xf numFmtId="4" fontId="14" fillId="6" borderId="0" xfId="0" applyNumberFormat="1" applyFont="1" applyFill="1" applyAlignment="1">
      <alignment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3" fontId="3" fillId="0" borderId="0" xfId="0" applyNumberFormat="1" applyFont="1" applyAlignment="1">
      <alignment vertical="top" wrapText="1"/>
    </xf>
    <xf numFmtId="3" fontId="4" fillId="0" borderId="0" xfId="0" applyNumberFormat="1" applyFont="1" applyAlignment="1">
      <alignment vertical="top" wrapText="1"/>
    </xf>
    <xf numFmtId="3" fontId="15" fillId="0" borderId="0" xfId="0" applyNumberFormat="1" applyFont="1" applyAlignment="1">
      <alignment wrapText="1"/>
    </xf>
    <xf numFmtId="0" fontId="17" fillId="0" borderId="1" xfId="0" applyFont="1" applyBorder="1" applyAlignment="1">
      <alignment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right" vertical="center" wrapText="1"/>
    </xf>
    <xf numFmtId="0" fontId="18" fillId="0" borderId="1" xfId="1" applyBorder="1" applyAlignment="1">
      <alignment horizontal="center" vertical="center" wrapText="1"/>
    </xf>
    <xf numFmtId="0" fontId="17" fillId="0" borderId="0" xfId="0" applyFont="1"/>
    <xf numFmtId="0" fontId="17" fillId="0" borderId="1" xfId="0" applyFont="1" applyBorder="1" applyAlignment="1">
      <alignment wrapText="1"/>
    </xf>
    <xf numFmtId="0" fontId="18" fillId="0" borderId="1" xfId="1" applyBorder="1" applyAlignment="1">
      <alignment vertical="center" wrapText="1"/>
    </xf>
    <xf numFmtId="2" fontId="17" fillId="8" borderId="1" xfId="0" applyNumberFormat="1" applyFont="1" applyFill="1" applyBorder="1" applyAlignment="1">
      <alignment horizontal="center" vertical="center" wrapText="1"/>
    </xf>
    <xf numFmtId="2" fontId="17" fillId="8" borderId="2" xfId="0" applyNumberFormat="1" applyFont="1" applyFill="1" applyBorder="1" applyAlignment="1">
      <alignment horizontal="center" vertical="center" wrapText="1"/>
    </xf>
    <xf numFmtId="2" fontId="17" fillId="0" borderId="1" xfId="0" applyNumberFormat="1" applyFont="1" applyBorder="1" applyAlignment="1">
      <alignment wrapText="1"/>
    </xf>
    <xf numFmtId="2" fontId="0" fillId="0" borderId="0" xfId="0" applyNumberFormat="1"/>
    <xf numFmtId="2" fontId="17" fillId="7" borderId="1" xfId="0" applyNumberFormat="1" applyFont="1" applyFill="1" applyBorder="1" applyAlignment="1">
      <alignment vertical="center" wrapText="1"/>
    </xf>
    <xf numFmtId="2" fontId="17" fillId="7" borderId="2" xfId="0" applyNumberFormat="1" applyFont="1" applyFill="1" applyBorder="1" applyAlignment="1">
      <alignment vertical="center" wrapText="1"/>
    </xf>
    <xf numFmtId="2" fontId="17" fillId="7" borderId="1" xfId="0" applyNumberFormat="1" applyFont="1" applyFill="1" applyBorder="1" applyAlignment="1">
      <alignment wrapText="1"/>
    </xf>
    <xf numFmtId="2" fontId="17" fillId="7" borderId="2" xfId="0" applyNumberFormat="1" applyFont="1" applyFill="1" applyBorder="1" applyAlignment="1">
      <alignment wrapText="1"/>
    </xf>
    <xf numFmtId="2" fontId="19" fillId="0" borderId="1" xfId="0" applyNumberFormat="1" applyFont="1" applyBorder="1" applyAlignment="1">
      <alignment horizontal="center" wrapText="1"/>
    </xf>
    <xf numFmtId="164" fontId="17" fillId="0" borderId="1" xfId="0" applyNumberFormat="1" applyFont="1" applyBorder="1" applyAlignment="1">
      <alignment horizontal="center" wrapText="1"/>
    </xf>
    <xf numFmtId="164" fontId="19" fillId="0" borderId="1" xfId="0" applyNumberFormat="1" applyFont="1" applyBorder="1" applyAlignment="1">
      <alignment horizontal="center" wrapText="1"/>
    </xf>
    <xf numFmtId="164" fontId="0" fillId="0" borderId="0" xfId="0" applyNumberFormat="1" applyAlignment="1">
      <alignment horizontal="center"/>
    </xf>
    <xf numFmtId="2" fontId="16" fillId="9" borderId="2" xfId="0" applyNumberFormat="1" applyFont="1" applyFill="1" applyBorder="1" applyAlignment="1">
      <alignment horizontal="center" vertical="center" wrapText="1"/>
    </xf>
    <xf numFmtId="2" fontId="16" fillId="9" borderId="1" xfId="0" applyNumberFormat="1" applyFont="1" applyFill="1" applyBorder="1" applyAlignment="1">
      <alignment horizontal="center" vertical="center" wrapText="1"/>
    </xf>
    <xf numFmtId="0" fontId="0" fillId="12" borderId="0" xfId="0" applyFill="1"/>
    <xf numFmtId="0" fontId="19" fillId="10" borderId="0" xfId="0" applyFont="1" applyFill="1"/>
    <xf numFmtId="3" fontId="0" fillId="0" borderId="0" xfId="0" applyNumberFormat="1"/>
    <xf numFmtId="3" fontId="17" fillId="0" borderId="0" xfId="0" applyNumberFormat="1" applyFont="1"/>
    <xf numFmtId="0" fontId="10" fillId="12" borderId="0" xfId="0" applyFont="1" applyFill="1"/>
    <xf numFmtId="3" fontId="12" fillId="14" borderId="0" xfId="0" applyNumberFormat="1" applyFont="1" applyFill="1"/>
    <xf numFmtId="3" fontId="0" fillId="12" borderId="0" xfId="0" applyNumberFormat="1" applyFill="1"/>
    <xf numFmtId="3" fontId="5" fillId="10" borderId="0" xfId="0" applyNumberFormat="1" applyFont="1" applyFill="1"/>
    <xf numFmtId="3" fontId="5" fillId="18" borderId="0" xfId="0" applyNumberFormat="1" applyFont="1" applyFill="1"/>
    <xf numFmtId="4" fontId="14" fillId="19" borderId="0" xfId="0" applyNumberFormat="1" applyFont="1" applyFill="1" applyAlignment="1">
      <alignment wrapText="1"/>
    </xf>
    <xf numFmtId="0" fontId="0" fillId="20" borderId="0" xfId="0" applyFill="1"/>
    <xf numFmtId="0" fontId="15" fillId="20" borderId="0" xfId="0" applyFont="1" applyFill="1" applyAlignment="1">
      <alignment wrapText="1"/>
    </xf>
    <xf numFmtId="0" fontId="23" fillId="23" borderId="0" xfId="0" applyFont="1" applyFill="1"/>
    <xf numFmtId="0" fontId="24" fillId="23" borderId="0" xfId="0" applyFont="1" applyFill="1"/>
    <xf numFmtId="0" fontId="24" fillId="0" borderId="0" xfId="0" applyFont="1"/>
    <xf numFmtId="0" fontId="19" fillId="23" borderId="10" xfId="0" applyFont="1" applyFill="1" applyBorder="1"/>
    <xf numFmtId="0" fontId="17" fillId="22" borderId="10" xfId="0" applyFont="1" applyFill="1" applyBorder="1"/>
    <xf numFmtId="0" fontId="17" fillId="23" borderId="10" xfId="0" applyFont="1" applyFill="1" applyBorder="1"/>
    <xf numFmtId="0" fontId="17" fillId="0" borderId="10" xfId="0" applyFont="1" applyBorder="1"/>
    <xf numFmtId="0" fontId="24" fillId="0" borderId="10" xfId="0" applyFont="1" applyBorder="1"/>
    <xf numFmtId="3" fontId="19" fillId="23" borderId="10" xfId="0" applyNumberFormat="1" applyFont="1" applyFill="1" applyBorder="1"/>
    <xf numFmtId="0" fontId="23" fillId="23" borderId="10" xfId="0" applyFont="1" applyFill="1" applyBorder="1"/>
    <xf numFmtId="0" fontId="0" fillId="0" borderId="10" xfId="0" applyBorder="1"/>
    <xf numFmtId="0" fontId="24" fillId="23" borderId="10" xfId="0" applyFont="1" applyFill="1" applyBorder="1"/>
    <xf numFmtId="1" fontId="19" fillId="23" borderId="10" xfId="0" applyNumberFormat="1" applyFont="1" applyFill="1" applyBorder="1"/>
    <xf numFmtId="0" fontId="19" fillId="0" borderId="10" xfId="0" applyFont="1" applyBorder="1"/>
    <xf numFmtId="0" fontId="23" fillId="0" borderId="10" xfId="0" applyFont="1" applyBorder="1"/>
    <xf numFmtId="0" fontId="23" fillId="0" borderId="0" xfId="0" applyFont="1"/>
    <xf numFmtId="0" fontId="19" fillId="23" borderId="10" xfId="0" applyFont="1" applyFill="1" applyBorder="1" applyAlignment="1">
      <alignment shrinkToFit="1"/>
    </xf>
    <xf numFmtId="0" fontId="17" fillId="22" borderId="10" xfId="0" applyFont="1" applyFill="1" applyBorder="1" applyAlignment="1">
      <alignment shrinkToFit="1"/>
    </xf>
    <xf numFmtId="3" fontId="19" fillId="23" borderId="10" xfId="0" applyNumberFormat="1" applyFont="1" applyFill="1" applyBorder="1" applyAlignment="1">
      <alignment shrinkToFit="1"/>
    </xf>
    <xf numFmtId="2" fontId="17" fillId="22" borderId="10" xfId="0" applyNumberFormat="1" applyFont="1" applyFill="1" applyBorder="1" applyAlignment="1">
      <alignment shrinkToFit="1"/>
    </xf>
    <xf numFmtId="1" fontId="19" fillId="22" borderId="10" xfId="0" applyNumberFormat="1" applyFont="1" applyFill="1" applyBorder="1" applyAlignment="1">
      <alignment shrinkToFit="1"/>
    </xf>
    <xf numFmtId="3" fontId="17" fillId="22" borderId="10" xfId="0" applyNumberFormat="1" applyFont="1" applyFill="1" applyBorder="1" applyAlignment="1">
      <alignment shrinkToFit="1"/>
    </xf>
    <xf numFmtId="0" fontId="19" fillId="22" borderId="10" xfId="0" applyFont="1" applyFill="1" applyBorder="1"/>
    <xf numFmtId="3" fontId="17" fillId="22" borderId="10" xfId="0" applyNumberFormat="1" applyFont="1" applyFill="1" applyBorder="1"/>
    <xf numFmtId="3" fontId="5" fillId="12" borderId="0" xfId="0" applyNumberFormat="1" applyFont="1" applyFill="1"/>
    <xf numFmtId="0" fontId="17" fillId="0" borderId="0" xfId="0" applyFont="1" applyAlignment="1">
      <alignment horizontal="right"/>
    </xf>
    <xf numFmtId="1" fontId="0" fillId="0" borderId="0" xfId="0" applyNumberFormat="1"/>
    <xf numFmtId="1" fontId="17" fillId="0" borderId="0" xfId="0" applyNumberFormat="1" applyFont="1"/>
    <xf numFmtId="16" fontId="17" fillId="0" borderId="0" xfId="0" applyNumberFormat="1" applyFont="1"/>
    <xf numFmtId="0" fontId="17" fillId="12" borderId="0" xfId="0" applyFont="1" applyFill="1"/>
    <xf numFmtId="0" fontId="21" fillId="12" borderId="0" xfId="0" applyFont="1" applyFill="1" applyAlignment="1">
      <alignment horizontal="right" wrapText="1"/>
    </xf>
    <xf numFmtId="0" fontId="19" fillId="12" borderId="0" xfId="0" applyFont="1" applyFill="1"/>
    <xf numFmtId="0" fontId="28" fillId="0" borderId="0" xfId="0" applyFont="1" applyAlignment="1">
      <alignment horizontal="left"/>
    </xf>
    <xf numFmtId="0" fontId="30" fillId="0" borderId="0" xfId="0" applyFont="1"/>
    <xf numFmtId="0" fontId="0" fillId="11" borderId="0" xfId="0" applyFill="1"/>
    <xf numFmtId="0" fontId="0" fillId="11" borderId="16" xfId="0" applyFill="1" applyBorder="1"/>
    <xf numFmtId="0" fontId="0" fillId="11" borderId="16" xfId="0" applyFill="1" applyBorder="1" applyAlignment="1">
      <alignment vertical="top"/>
    </xf>
    <xf numFmtId="0" fontId="0" fillId="11" borderId="16" xfId="0" applyFill="1" applyBorder="1" applyAlignment="1">
      <alignment horizontal="left" vertical="center" wrapText="1"/>
    </xf>
    <xf numFmtId="2" fontId="0" fillId="11" borderId="16" xfId="0" applyNumberFormat="1" applyFill="1" applyBorder="1"/>
    <xf numFmtId="168" fontId="0" fillId="11" borderId="16" xfId="0" applyNumberFormat="1" applyFill="1" applyBorder="1" applyAlignment="1">
      <alignment vertical="top"/>
    </xf>
    <xf numFmtId="0" fontId="0" fillId="11" borderId="16" xfId="0" applyFill="1" applyBorder="1" applyAlignment="1">
      <alignment wrapText="1"/>
    </xf>
    <xf numFmtId="0" fontId="0" fillId="11" borderId="16" xfId="0" applyFill="1" applyBorder="1" applyAlignment="1">
      <alignment vertical="top" wrapText="1"/>
    </xf>
    <xf numFmtId="0" fontId="0" fillId="11" borderId="16" xfId="0" applyFill="1" applyBorder="1" applyAlignment="1">
      <alignment horizontal="left" vertical="top"/>
    </xf>
    <xf numFmtId="0" fontId="0" fillId="0" borderId="16" xfId="0" applyBorder="1"/>
    <xf numFmtId="0" fontId="0" fillId="0" borderId="18" xfId="0" applyBorder="1"/>
    <xf numFmtId="0" fontId="0" fillId="0" borderId="11" xfId="0" applyBorder="1"/>
    <xf numFmtId="0" fontId="30" fillId="0" borderId="28" xfId="0" applyFont="1" applyBorder="1"/>
    <xf numFmtId="0" fontId="17" fillId="11" borderId="16" xfId="0" applyFont="1" applyFill="1" applyBorder="1" applyAlignment="1">
      <alignment horizontal="left" vertical="center" wrapText="1"/>
    </xf>
    <xf numFmtId="0" fontId="17" fillId="11" borderId="16" xfId="0" applyFont="1" applyFill="1" applyBorder="1"/>
    <xf numFmtId="0" fontId="17" fillId="11" borderId="16" xfId="0" applyFont="1" applyFill="1" applyBorder="1" applyAlignment="1">
      <alignment vertical="top" wrapText="1"/>
    </xf>
    <xf numFmtId="0" fontId="17" fillId="11" borderId="16" xfId="0" applyFont="1" applyFill="1" applyBorder="1" applyAlignment="1">
      <alignment wrapText="1"/>
    </xf>
    <xf numFmtId="0" fontId="0" fillId="0" borderId="28" xfId="0" applyBorder="1"/>
    <xf numFmtId="0" fontId="3" fillId="0" borderId="28" xfId="0" applyFont="1" applyBorder="1"/>
    <xf numFmtId="0" fontId="10" fillId="0" borderId="28" xfId="0" applyFont="1" applyBorder="1"/>
    <xf numFmtId="0" fontId="10" fillId="12" borderId="28" xfId="0" applyFont="1" applyFill="1" applyBorder="1"/>
    <xf numFmtId="0" fontId="3" fillId="0" borderId="0" xfId="0" applyFont="1"/>
    <xf numFmtId="0" fontId="3" fillId="13" borderId="28" xfId="0" applyFont="1" applyFill="1" applyBorder="1"/>
    <xf numFmtId="0" fontId="3" fillId="11" borderId="28" xfId="0" applyFont="1" applyFill="1" applyBorder="1"/>
    <xf numFmtId="0" fontId="17" fillId="11" borderId="16" xfId="2" applyFont="1" applyFill="1" applyBorder="1"/>
    <xf numFmtId="0" fontId="3" fillId="0" borderId="17" xfId="0" applyFont="1" applyBorder="1"/>
    <xf numFmtId="0" fontId="3" fillId="0" borderId="18" xfId="0" applyFont="1" applyBorder="1"/>
    <xf numFmtId="0" fontId="7" fillId="0" borderId="0" xfId="0" applyFont="1"/>
    <xf numFmtId="0" fontId="31" fillId="26" borderId="28" xfId="0" applyFont="1" applyFill="1" applyBorder="1"/>
    <xf numFmtId="1" fontId="30" fillId="0" borderId="0" xfId="0" applyNumberFormat="1" applyFont="1"/>
    <xf numFmtId="0" fontId="48" fillId="32" borderId="17" xfId="0" applyFont="1" applyFill="1" applyBorder="1"/>
    <xf numFmtId="0" fontId="0" fillId="32" borderId="18" xfId="0" applyFill="1" applyBorder="1"/>
    <xf numFmtId="9" fontId="0" fillId="32" borderId="18" xfId="0" applyNumberFormat="1" applyFill="1" applyBorder="1"/>
    <xf numFmtId="0" fontId="0" fillId="32" borderId="27" xfId="0" applyFill="1" applyBorder="1"/>
    <xf numFmtId="0" fontId="49" fillId="32" borderId="28" xfId="0" applyFont="1" applyFill="1" applyBorder="1"/>
    <xf numFmtId="0" fontId="0" fillId="32" borderId="0" xfId="0" applyFill="1"/>
    <xf numFmtId="0" fontId="0" fillId="32" borderId="29" xfId="0" applyFill="1" applyBorder="1"/>
    <xf numFmtId="0" fontId="49" fillId="32" borderId="0" xfId="0" applyFont="1" applyFill="1"/>
    <xf numFmtId="0" fontId="49" fillId="32" borderId="29" xfId="0" applyFont="1" applyFill="1" applyBorder="1"/>
    <xf numFmtId="0" fontId="50" fillId="11" borderId="31" xfId="0" applyFont="1" applyFill="1" applyBorder="1" applyAlignment="1">
      <alignment horizontal="center" vertical="center"/>
    </xf>
    <xf numFmtId="0" fontId="50" fillId="11" borderId="11" xfId="0" applyFont="1" applyFill="1" applyBorder="1" applyAlignment="1">
      <alignment horizontal="center" vertical="center"/>
    </xf>
    <xf numFmtId="0" fontId="50" fillId="11" borderId="11" xfId="0" applyFont="1" applyFill="1" applyBorder="1" applyAlignment="1">
      <alignment horizontal="center" vertical="center" wrapText="1"/>
    </xf>
    <xf numFmtId="0" fontId="50" fillId="11" borderId="32" xfId="0" applyFont="1" applyFill="1" applyBorder="1" applyAlignment="1">
      <alignment horizontal="center" vertical="center" wrapText="1"/>
    </xf>
    <xf numFmtId="0" fontId="51" fillId="32" borderId="17" xfId="0" applyFont="1" applyFill="1" applyBorder="1"/>
    <xf numFmtId="38" fontId="52" fillId="32" borderId="18" xfId="0" applyNumberFormat="1" applyFont="1" applyFill="1" applyBorder="1"/>
    <xf numFmtId="9" fontId="52" fillId="32" borderId="18" xfId="5" applyFont="1" applyFill="1" applyBorder="1"/>
    <xf numFmtId="0" fontId="51" fillId="32" borderId="28" xfId="0" applyFont="1" applyFill="1" applyBorder="1"/>
    <xf numFmtId="38" fontId="52" fillId="32" borderId="0" xfId="0" applyNumberFormat="1" applyFont="1" applyFill="1"/>
    <xf numFmtId="9" fontId="52" fillId="32" borderId="0" xfId="5" applyFont="1" applyFill="1" applyBorder="1"/>
    <xf numFmtId="0" fontId="51" fillId="32" borderId="31" xfId="0" applyFont="1" applyFill="1" applyBorder="1"/>
    <xf numFmtId="38" fontId="52" fillId="32" borderId="11" xfId="0" applyNumberFormat="1" applyFont="1" applyFill="1" applyBorder="1"/>
    <xf numFmtId="9" fontId="52" fillId="32" borderId="11" xfId="5" applyFont="1" applyFill="1" applyBorder="1"/>
    <xf numFmtId="38" fontId="52" fillId="32" borderId="27" xfId="0" applyNumberFormat="1" applyFont="1" applyFill="1" applyBorder="1"/>
    <xf numFmtId="38" fontId="52" fillId="32" borderId="29" xfId="0" applyNumberFormat="1" applyFont="1" applyFill="1" applyBorder="1"/>
    <xf numFmtId="38" fontId="52" fillId="32" borderId="32" xfId="0" applyNumberFormat="1" applyFont="1" applyFill="1" applyBorder="1"/>
    <xf numFmtId="0" fontId="51" fillId="11" borderId="0" xfId="0" applyFont="1" applyFill="1"/>
    <xf numFmtId="9" fontId="53" fillId="11" borderId="0" xfId="5" applyFont="1" applyFill="1"/>
    <xf numFmtId="0" fontId="51" fillId="32" borderId="0" xfId="0" applyFont="1" applyFill="1"/>
    <xf numFmtId="9" fontId="52" fillId="32" borderId="0" xfId="5" applyFont="1" applyFill="1"/>
    <xf numFmtId="10" fontId="52" fillId="32" borderId="0" xfId="0" applyNumberFormat="1" applyFont="1" applyFill="1"/>
    <xf numFmtId="0" fontId="50" fillId="11" borderId="0" xfId="0" applyFont="1" applyFill="1" applyAlignment="1">
      <alignment horizontal="center" vertical="center" wrapText="1"/>
    </xf>
    <xf numFmtId="0" fontId="50" fillId="11" borderId="28" xfId="0" applyFont="1" applyFill="1" applyBorder="1" applyAlignment="1">
      <alignment horizontal="center" vertical="center"/>
    </xf>
    <xf numFmtId="0" fontId="50" fillId="11" borderId="0" xfId="0" applyFont="1" applyFill="1" applyAlignment="1">
      <alignment horizontal="center" vertical="center"/>
    </xf>
    <xf numFmtId="0" fontId="50" fillId="11" borderId="29" xfId="0" applyFont="1" applyFill="1" applyBorder="1" applyAlignment="1">
      <alignment horizontal="center" vertical="center" wrapText="1"/>
    </xf>
    <xf numFmtId="10" fontId="52" fillId="32" borderId="0" xfId="5" applyNumberFormat="1" applyFont="1" applyFill="1" applyBorder="1"/>
    <xf numFmtId="10" fontId="52" fillId="32" borderId="11" xfId="5" applyNumberFormat="1" applyFont="1" applyFill="1" applyBorder="1"/>
    <xf numFmtId="10" fontId="52" fillId="32" borderId="18" xfId="5" applyNumberFormat="1" applyFont="1" applyFill="1" applyBorder="1"/>
    <xf numFmtId="10" fontId="52" fillId="32" borderId="0" xfId="5" applyNumberFormat="1" applyFont="1" applyFill="1"/>
    <xf numFmtId="3" fontId="46" fillId="0" borderId="16" xfId="0" applyNumberFormat="1" applyFont="1" applyBorder="1"/>
    <xf numFmtId="3" fontId="46" fillId="11" borderId="16" xfId="0" applyNumberFormat="1" applyFont="1" applyFill="1" applyBorder="1" applyAlignment="1">
      <alignment vertical="top"/>
    </xf>
    <xf numFmtId="0" fontId="19" fillId="22" borderId="34" xfId="0" applyFont="1" applyFill="1" applyBorder="1"/>
    <xf numFmtId="0" fontId="19" fillId="22" borderId="15" xfId="0" applyFont="1" applyFill="1" applyBorder="1"/>
    <xf numFmtId="0" fontId="19" fillId="22" borderId="35" xfId="0" applyFont="1" applyFill="1" applyBorder="1"/>
    <xf numFmtId="0" fontId="19" fillId="22" borderId="36" xfId="0" applyFont="1" applyFill="1" applyBorder="1"/>
    <xf numFmtId="0" fontId="19" fillId="11" borderId="15" xfId="0" applyFont="1" applyFill="1" applyBorder="1"/>
    <xf numFmtId="0" fontId="19" fillId="34" borderId="15" xfId="0" applyFont="1" applyFill="1" applyBorder="1"/>
    <xf numFmtId="0" fontId="0" fillId="0" borderId="37" xfId="0" applyBorder="1"/>
    <xf numFmtId="0" fontId="0" fillId="22" borderId="0" xfId="0" applyFill="1"/>
    <xf numFmtId="0" fontId="0" fillId="0" borderId="38" xfId="0" applyBorder="1"/>
    <xf numFmtId="0" fontId="0" fillId="0" borderId="39" xfId="0" applyBorder="1"/>
    <xf numFmtId="0" fontId="0" fillId="34" borderId="0" xfId="0" applyFill="1"/>
    <xf numFmtId="0" fontId="0" fillId="22" borderId="40" xfId="0" applyFill="1" applyBorder="1"/>
    <xf numFmtId="0" fontId="0" fillId="22" borderId="11" xfId="0" applyFill="1" applyBorder="1"/>
    <xf numFmtId="0" fontId="0" fillId="22" borderId="41" xfId="0" applyFill="1" applyBorder="1"/>
    <xf numFmtId="0" fontId="0" fillId="22" borderId="42" xfId="0" applyFill="1" applyBorder="1"/>
    <xf numFmtId="0" fontId="19" fillId="22" borderId="43" xfId="0" applyFont="1" applyFill="1" applyBorder="1"/>
    <xf numFmtId="0" fontId="19" fillId="22" borderId="44" xfId="0" applyFont="1" applyFill="1" applyBorder="1"/>
    <xf numFmtId="0" fontId="0" fillId="11" borderId="37" xfId="0" applyFill="1" applyBorder="1"/>
    <xf numFmtId="0" fontId="0" fillId="11" borderId="38" xfId="0" applyFill="1" applyBorder="1"/>
    <xf numFmtId="0" fontId="0" fillId="11" borderId="39" xfId="0" applyFill="1" applyBorder="1"/>
    <xf numFmtId="0" fontId="0" fillId="22" borderId="37" xfId="0" applyFill="1" applyBorder="1"/>
    <xf numFmtId="0" fontId="0" fillId="22" borderId="38" xfId="0" applyFill="1" applyBorder="1"/>
    <xf numFmtId="0" fontId="0" fillId="22" borderId="39" xfId="0" applyFill="1" applyBorder="1"/>
    <xf numFmtId="0" fontId="0" fillId="22" borderId="34" xfId="0" applyFill="1" applyBorder="1"/>
    <xf numFmtId="0" fontId="0" fillId="22" borderId="15" xfId="0" applyFill="1" applyBorder="1"/>
    <xf numFmtId="0" fontId="0" fillId="22" borderId="43" xfId="0" applyFill="1" applyBorder="1"/>
    <xf numFmtId="0" fontId="0" fillId="22" borderId="44" xfId="0" applyFill="1" applyBorder="1"/>
    <xf numFmtId="0" fontId="17" fillId="22" borderId="0" xfId="0" applyFont="1" applyFill="1"/>
    <xf numFmtId="0" fontId="0" fillId="11" borderId="34" xfId="0" applyFill="1" applyBorder="1"/>
    <xf numFmtId="0" fontId="0" fillId="11" borderId="15" xfId="0" applyFill="1" applyBorder="1"/>
    <xf numFmtId="0" fontId="0" fillId="11" borderId="43" xfId="0" applyFill="1" applyBorder="1"/>
    <xf numFmtId="0" fontId="0" fillId="11" borderId="44" xfId="0" applyFill="1" applyBorder="1"/>
    <xf numFmtId="3" fontId="17" fillId="22" borderId="0" xfId="0" applyNumberFormat="1" applyFont="1" applyFill="1"/>
    <xf numFmtId="0" fontId="19" fillId="22" borderId="0" xfId="0" applyFont="1" applyFill="1"/>
    <xf numFmtId="3" fontId="19" fillId="22" borderId="0" xfId="0" applyNumberFormat="1" applyFont="1" applyFill="1"/>
    <xf numFmtId="0" fontId="19" fillId="22" borderId="40" xfId="0" applyFont="1" applyFill="1" applyBorder="1"/>
    <xf numFmtId="0" fontId="19" fillId="22" borderId="11" xfId="0" applyFont="1" applyFill="1" applyBorder="1"/>
    <xf numFmtId="3" fontId="19" fillId="22" borderId="11" xfId="0" applyNumberFormat="1" applyFont="1" applyFill="1" applyBorder="1"/>
    <xf numFmtId="0" fontId="19" fillId="22" borderId="41" xfId="0" applyFont="1" applyFill="1" applyBorder="1"/>
    <xf numFmtId="0" fontId="19" fillId="22" borderId="42" xfId="0" applyFont="1" applyFill="1" applyBorder="1"/>
    <xf numFmtId="0" fontId="57" fillId="22" borderId="45" xfId="0" applyFont="1" applyFill="1" applyBorder="1"/>
    <xf numFmtId="0" fontId="57" fillId="22" borderId="46" xfId="0" applyFont="1" applyFill="1" applyBorder="1"/>
    <xf numFmtId="0" fontId="57" fillId="22" borderId="47" xfId="0" applyFont="1" applyFill="1" applyBorder="1" applyAlignment="1">
      <alignment horizontal="center"/>
    </xf>
    <xf numFmtId="0" fontId="57" fillId="22" borderId="48" xfId="0" applyFont="1" applyFill="1" applyBorder="1" applyAlignment="1">
      <alignment horizontal="center"/>
    </xf>
    <xf numFmtId="0" fontId="57" fillId="22" borderId="47" xfId="0" applyFont="1" applyFill="1" applyBorder="1"/>
    <xf numFmtId="0" fontId="57" fillId="22" borderId="48" xfId="0" applyFont="1" applyFill="1" applyBorder="1"/>
    <xf numFmtId="0" fontId="57" fillId="22" borderId="50" xfId="0" applyFont="1" applyFill="1" applyBorder="1"/>
    <xf numFmtId="0" fontId="0" fillId="0" borderId="50" xfId="0" applyBorder="1"/>
    <xf numFmtId="0" fontId="0" fillId="22" borderId="50" xfId="0" applyFill="1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0" fillId="0" borderId="56" xfId="0" applyBorder="1"/>
    <xf numFmtId="0" fontId="0" fillId="11" borderId="50" xfId="0" applyFill="1" applyBorder="1"/>
    <xf numFmtId="0" fontId="0" fillId="34" borderId="50" xfId="0" applyFill="1" applyBorder="1"/>
    <xf numFmtId="0" fontId="57" fillId="22" borderId="58" xfId="0" applyFont="1" applyFill="1" applyBorder="1"/>
    <xf numFmtId="0" fontId="0" fillId="0" borderId="58" xfId="0" applyBorder="1"/>
    <xf numFmtId="0" fontId="0" fillId="22" borderId="58" xfId="0" applyFill="1" applyBorder="1"/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0" fillId="31" borderId="63" xfId="0" applyFill="1" applyBorder="1"/>
    <xf numFmtId="0" fontId="0" fillId="31" borderId="61" xfId="0" applyFill="1" applyBorder="1"/>
    <xf numFmtId="0" fontId="0" fillId="0" borderId="63" xfId="0" applyBorder="1"/>
    <xf numFmtId="0" fontId="0" fillId="0" borderId="64" xfId="0" applyBorder="1"/>
    <xf numFmtId="0" fontId="0" fillId="11" borderId="58" xfId="0" applyFill="1" applyBorder="1"/>
    <xf numFmtId="0" fontId="0" fillId="34" borderId="58" xfId="0" applyFill="1" applyBorder="1"/>
    <xf numFmtId="1" fontId="0" fillId="22" borderId="58" xfId="0" applyNumberFormat="1" applyFill="1" applyBorder="1"/>
    <xf numFmtId="1" fontId="0" fillId="0" borderId="61" xfId="0" applyNumberFormat="1" applyBorder="1"/>
    <xf numFmtId="1" fontId="0" fillId="31" borderId="61" xfId="0" applyNumberFormat="1" applyFill="1" applyBorder="1"/>
    <xf numFmtId="0" fontId="17" fillId="0" borderId="58" xfId="0" applyFont="1" applyBorder="1"/>
    <xf numFmtId="0" fontId="0" fillId="22" borderId="64" xfId="0" applyFill="1" applyBorder="1"/>
    <xf numFmtId="1" fontId="0" fillId="22" borderId="50" xfId="0" applyNumberFormat="1" applyFill="1" applyBorder="1"/>
    <xf numFmtId="1" fontId="0" fillId="0" borderId="53" xfId="0" applyNumberFormat="1" applyBorder="1"/>
    <xf numFmtId="0" fontId="57" fillId="22" borderId="66" xfId="0" applyFont="1" applyFill="1" applyBorder="1"/>
    <xf numFmtId="0" fontId="17" fillId="0" borderId="66" xfId="0" applyFont="1" applyBorder="1"/>
    <xf numFmtId="0" fontId="0" fillId="22" borderId="66" xfId="0" applyFill="1" applyBorder="1"/>
    <xf numFmtId="1" fontId="0" fillId="22" borderId="66" xfId="0" applyNumberFormat="1" applyFill="1" applyBorder="1"/>
    <xf numFmtId="0" fontId="0" fillId="0" borderId="66" xfId="0" applyBorder="1"/>
    <xf numFmtId="0" fontId="0" fillId="0" borderId="67" xfId="0" applyBorder="1"/>
    <xf numFmtId="0" fontId="0" fillId="0" borderId="68" xfId="0" applyBorder="1"/>
    <xf numFmtId="0" fontId="0" fillId="0" borderId="69" xfId="0" applyBorder="1"/>
    <xf numFmtId="0" fontId="0" fillId="0" borderId="70" xfId="0" applyBorder="1"/>
    <xf numFmtId="0" fontId="0" fillId="0" borderId="71" xfId="0" applyBorder="1"/>
    <xf numFmtId="1" fontId="0" fillId="0" borderId="69" xfId="0" applyNumberFormat="1" applyBorder="1"/>
    <xf numFmtId="0" fontId="0" fillId="0" borderId="72" xfId="0" applyBorder="1"/>
    <xf numFmtId="0" fontId="0" fillId="11" borderId="66" xfId="0" applyFill="1" applyBorder="1"/>
    <xf numFmtId="0" fontId="0" fillId="34" borderId="66" xfId="0" applyFill="1" applyBorder="1"/>
    <xf numFmtId="0" fontId="58" fillId="22" borderId="45" xfId="0" applyFont="1" applyFill="1" applyBorder="1"/>
    <xf numFmtId="0" fontId="58" fillId="22" borderId="46" xfId="0" applyFont="1" applyFill="1" applyBorder="1"/>
    <xf numFmtId="0" fontId="58" fillId="22" borderId="47" xfId="0" applyFont="1" applyFill="1" applyBorder="1"/>
    <xf numFmtId="0" fontId="58" fillId="22" borderId="48" xfId="0" applyFont="1" applyFill="1" applyBorder="1"/>
    <xf numFmtId="0" fontId="19" fillId="30" borderId="37" xfId="0" applyFont="1" applyFill="1" applyBorder="1"/>
    <xf numFmtId="0" fontId="19" fillId="30" borderId="0" xfId="0" applyFont="1" applyFill="1"/>
    <xf numFmtId="10" fontId="19" fillId="30" borderId="0" xfId="0" applyNumberFormat="1" applyFont="1" applyFill="1"/>
    <xf numFmtId="0" fontId="19" fillId="30" borderId="38" xfId="0" applyFont="1" applyFill="1" applyBorder="1"/>
    <xf numFmtId="10" fontId="19" fillId="30" borderId="39" xfId="0" applyNumberFormat="1" applyFont="1" applyFill="1" applyBorder="1"/>
    <xf numFmtId="10" fontId="19" fillId="30" borderId="38" xfId="0" applyNumberFormat="1" applyFont="1" applyFill="1" applyBorder="1"/>
    <xf numFmtId="0" fontId="19" fillId="22" borderId="37" xfId="0" applyFont="1" applyFill="1" applyBorder="1"/>
    <xf numFmtId="0" fontId="19" fillId="22" borderId="38" xfId="0" applyFont="1" applyFill="1" applyBorder="1"/>
    <xf numFmtId="0" fontId="19" fillId="22" borderId="39" xfId="0" applyFont="1" applyFill="1" applyBorder="1"/>
    <xf numFmtId="0" fontId="17" fillId="0" borderId="76" xfId="0" applyFont="1" applyBorder="1" applyAlignment="1">
      <alignment horizontal="center" vertical="center"/>
    </xf>
    <xf numFmtId="0" fontId="57" fillId="22" borderId="0" xfId="0" applyFont="1" applyFill="1"/>
    <xf numFmtId="1" fontId="0" fillId="22" borderId="0" xfId="0" applyNumberFormat="1" applyFill="1"/>
    <xf numFmtId="1" fontId="0" fillId="0" borderId="39" xfId="0" applyNumberFormat="1" applyBorder="1"/>
    <xf numFmtId="0" fontId="17" fillId="11" borderId="16" xfId="0" applyFont="1" applyFill="1" applyBorder="1" applyAlignment="1">
      <alignment horizontal="left" vertical="top"/>
    </xf>
    <xf numFmtId="3" fontId="59" fillId="11" borderId="16" xfId="0" applyNumberFormat="1" applyFont="1" applyFill="1" applyBorder="1" applyAlignment="1">
      <alignment vertical="top"/>
    </xf>
    <xf numFmtId="0" fontId="0" fillId="0" borderId="78" xfId="0" applyBorder="1"/>
    <xf numFmtId="3" fontId="0" fillId="0" borderId="78" xfId="0" applyNumberFormat="1" applyBorder="1"/>
    <xf numFmtId="0" fontId="17" fillId="0" borderId="78" xfId="0" applyFont="1" applyBorder="1"/>
    <xf numFmtId="0" fontId="51" fillId="32" borderId="81" xfId="0" applyFont="1" applyFill="1" applyBorder="1"/>
    <xf numFmtId="38" fontId="52" fillId="32" borderId="82" xfId="0" applyNumberFormat="1" applyFont="1" applyFill="1" applyBorder="1"/>
    <xf numFmtId="10" fontId="52" fillId="32" borderId="82" xfId="5" applyNumberFormat="1" applyFont="1" applyFill="1" applyBorder="1"/>
    <xf numFmtId="0" fontId="0" fillId="0" borderId="82" xfId="0" applyBorder="1"/>
    <xf numFmtId="0" fontId="51" fillId="32" borderId="83" xfId="0" applyFont="1" applyFill="1" applyBorder="1"/>
    <xf numFmtId="38" fontId="52" fillId="32" borderId="84" xfId="0" applyNumberFormat="1" applyFont="1" applyFill="1" applyBorder="1"/>
    <xf numFmtId="10" fontId="52" fillId="32" borderId="84" xfId="5" applyNumberFormat="1" applyFont="1" applyFill="1" applyBorder="1"/>
    <xf numFmtId="0" fontId="0" fillId="0" borderId="84" xfId="0" applyBorder="1"/>
    <xf numFmtId="0" fontId="31" fillId="26" borderId="0" xfId="0" applyFont="1" applyFill="1"/>
    <xf numFmtId="0" fontId="19" fillId="26" borderId="0" xfId="0" applyFont="1" applyFill="1"/>
    <xf numFmtId="0" fontId="31" fillId="10" borderId="81" xfId="0" applyFont="1" applyFill="1" applyBorder="1"/>
    <xf numFmtId="0" fontId="31" fillId="10" borderId="82" xfId="0" applyFont="1" applyFill="1" applyBorder="1"/>
    <xf numFmtId="0" fontId="19" fillId="10" borderId="82" xfId="0" applyFont="1" applyFill="1" applyBorder="1"/>
    <xf numFmtId="0" fontId="31" fillId="26" borderId="83" xfId="0" applyFont="1" applyFill="1" applyBorder="1"/>
    <xf numFmtId="0" fontId="31" fillId="26" borderId="84" xfId="0" applyFont="1" applyFill="1" applyBorder="1"/>
    <xf numFmtId="0" fontId="19" fillId="26" borderId="84" xfId="0" applyFont="1" applyFill="1" applyBorder="1"/>
    <xf numFmtId="0" fontId="40" fillId="0" borderId="78" xfId="0" applyFont="1" applyBorder="1"/>
    <xf numFmtId="0" fontId="31" fillId="10" borderId="77" xfId="0" applyFont="1" applyFill="1" applyBorder="1"/>
    <xf numFmtId="0" fontId="31" fillId="26" borderId="89" xfId="0" applyFont="1" applyFill="1" applyBorder="1"/>
    <xf numFmtId="165" fontId="32" fillId="26" borderId="78" xfId="0" applyNumberFormat="1" applyFont="1" applyFill="1" applyBorder="1" applyAlignment="1">
      <alignment horizontal="left"/>
    </xf>
    <xf numFmtId="0" fontId="33" fillId="27" borderId="78" xfId="0" applyFont="1" applyFill="1" applyBorder="1"/>
    <xf numFmtId="0" fontId="33" fillId="0" borderId="78" xfId="0" applyFont="1" applyBorder="1"/>
    <xf numFmtId="0" fontId="30" fillId="0" borderId="78" xfId="0" applyFont="1" applyBorder="1"/>
    <xf numFmtId="0" fontId="34" fillId="0" borderId="78" xfId="0" applyFont="1" applyBorder="1"/>
    <xf numFmtId="0" fontId="45" fillId="0" borderId="78" xfId="0" applyFont="1" applyBorder="1"/>
    <xf numFmtId="0" fontId="30" fillId="0" borderId="90" xfId="0" applyFont="1" applyBorder="1" applyAlignment="1">
      <alignment vertical="center" wrapText="1"/>
    </xf>
    <xf numFmtId="0" fontId="30" fillId="0" borderId="91" xfId="0" applyFont="1" applyBorder="1" applyAlignment="1">
      <alignment vertical="center" wrapText="1"/>
    </xf>
    <xf numFmtId="0" fontId="41" fillId="11" borderId="78" xfId="0" applyFont="1" applyFill="1" applyBorder="1" applyAlignment="1">
      <alignment vertical="top" wrapText="1"/>
    </xf>
    <xf numFmtId="0" fontId="30" fillId="11" borderId="78" xfId="0" applyFont="1" applyFill="1" applyBorder="1"/>
    <xf numFmtId="0" fontId="31" fillId="26" borderId="78" xfId="0" applyFont="1" applyFill="1" applyBorder="1"/>
    <xf numFmtId="0" fontId="30" fillId="35" borderId="28" xfId="0" applyFont="1" applyFill="1" applyBorder="1"/>
    <xf numFmtId="0" fontId="30" fillId="35" borderId="78" xfId="0" applyFont="1" applyFill="1" applyBorder="1"/>
    <xf numFmtId="0" fontId="33" fillId="36" borderId="78" xfId="0" applyFont="1" applyFill="1" applyBorder="1"/>
    <xf numFmtId="0" fontId="40" fillId="35" borderId="78" xfId="0" applyFont="1" applyFill="1" applyBorder="1"/>
    <xf numFmtId="0" fontId="0" fillId="35" borderId="0" xfId="0" applyFill="1"/>
    <xf numFmtId="0" fontId="33" fillId="35" borderId="78" xfId="0" applyFont="1" applyFill="1" applyBorder="1"/>
    <xf numFmtId="0" fontId="30" fillId="11" borderId="28" xfId="0" applyFont="1" applyFill="1" applyBorder="1"/>
    <xf numFmtId="0" fontId="33" fillId="11" borderId="78" xfId="0" applyFont="1" applyFill="1" applyBorder="1"/>
    <xf numFmtId="0" fontId="30" fillId="32" borderId="28" xfId="0" applyFont="1" applyFill="1" applyBorder="1"/>
    <xf numFmtId="0" fontId="30" fillId="32" borderId="78" xfId="0" applyFont="1" applyFill="1" applyBorder="1"/>
    <xf numFmtId="0" fontId="33" fillId="32" borderId="78" xfId="0" applyFont="1" applyFill="1" applyBorder="1"/>
    <xf numFmtId="0" fontId="34" fillId="35" borderId="78" xfId="0" applyFont="1" applyFill="1" applyBorder="1"/>
    <xf numFmtId="0" fontId="35" fillId="35" borderId="78" xfId="0" applyFont="1" applyFill="1" applyBorder="1"/>
    <xf numFmtId="0" fontId="30" fillId="33" borderId="28" xfId="0" applyFont="1" applyFill="1" applyBorder="1"/>
    <xf numFmtId="0" fontId="30" fillId="33" borderId="78" xfId="0" applyFont="1" applyFill="1" applyBorder="1"/>
    <xf numFmtId="0" fontId="33" fillId="33" borderId="78" xfId="0" applyFont="1" applyFill="1" applyBorder="1"/>
    <xf numFmtId="0" fontId="40" fillId="33" borderId="78" xfId="0" applyFont="1" applyFill="1" applyBorder="1"/>
    <xf numFmtId="0" fontId="30" fillId="33" borderId="0" xfId="0" applyFont="1" applyFill="1"/>
    <xf numFmtId="0" fontId="0" fillId="33" borderId="0" xfId="0" applyFill="1"/>
    <xf numFmtId="0" fontId="45" fillId="35" borderId="78" xfId="0" applyFont="1" applyFill="1" applyBorder="1"/>
    <xf numFmtId="0" fontId="30" fillId="35" borderId="91" xfId="0" applyFont="1" applyFill="1" applyBorder="1" applyAlignment="1">
      <alignment vertical="center" wrapText="1"/>
    </xf>
    <xf numFmtId="0" fontId="41" fillId="35" borderId="78" xfId="0" applyFont="1" applyFill="1" applyBorder="1" applyAlignment="1">
      <alignment vertical="top" wrapText="1"/>
    </xf>
    <xf numFmtId="0" fontId="45" fillId="33" borderId="78" xfId="0" applyFont="1" applyFill="1" applyBorder="1"/>
    <xf numFmtId="1" fontId="30" fillId="35" borderId="0" xfId="0" applyNumberFormat="1" applyFont="1" applyFill="1"/>
    <xf numFmtId="1" fontId="30" fillId="33" borderId="0" xfId="0" applyNumberFormat="1" applyFont="1" applyFill="1"/>
    <xf numFmtId="0" fontId="31" fillId="10" borderId="93" xfId="0" applyFont="1" applyFill="1" applyBorder="1"/>
    <xf numFmtId="0" fontId="31" fillId="10" borderId="85" xfId="0" applyFont="1" applyFill="1" applyBorder="1"/>
    <xf numFmtId="165" fontId="32" fillId="10" borderId="85" xfId="0" applyNumberFormat="1" applyFont="1" applyFill="1" applyBorder="1" applyAlignment="1">
      <alignment horizontal="left"/>
    </xf>
    <xf numFmtId="1" fontId="30" fillId="10" borderId="95" xfId="0" applyNumberFormat="1" applyFont="1" applyFill="1" applyBorder="1"/>
    <xf numFmtId="0" fontId="19" fillId="10" borderId="96" xfId="0" applyFont="1" applyFill="1" applyBorder="1"/>
    <xf numFmtId="0" fontId="41" fillId="33" borderId="78" xfId="0" applyFont="1" applyFill="1" applyBorder="1" applyAlignment="1">
      <alignment vertical="top" wrapText="1"/>
    </xf>
    <xf numFmtId="1" fontId="19" fillId="10" borderId="97" xfId="0" applyNumberFormat="1" applyFont="1" applyFill="1" applyBorder="1"/>
    <xf numFmtId="0" fontId="19" fillId="10" borderId="98" xfId="0" applyFont="1" applyFill="1" applyBorder="1"/>
    <xf numFmtId="0" fontId="19" fillId="10" borderId="77" xfId="0" applyFont="1" applyFill="1" applyBorder="1"/>
    <xf numFmtId="0" fontId="19" fillId="26" borderId="89" xfId="0" applyFont="1" applyFill="1" applyBorder="1"/>
    <xf numFmtId="0" fontId="19" fillId="26" borderId="78" xfId="0" applyFont="1" applyFill="1" applyBorder="1"/>
    <xf numFmtId="1" fontId="30" fillId="0" borderId="78" xfId="0" applyNumberFormat="1" applyFont="1" applyBorder="1"/>
    <xf numFmtId="0" fontId="0" fillId="35" borderId="78" xfId="0" applyFill="1" applyBorder="1"/>
    <xf numFmtId="1" fontId="19" fillId="10" borderId="85" xfId="0" applyNumberFormat="1" applyFont="1" applyFill="1" applyBorder="1"/>
    <xf numFmtId="1" fontId="30" fillId="33" borderId="78" xfId="0" applyNumberFormat="1" applyFont="1" applyFill="1" applyBorder="1"/>
    <xf numFmtId="1" fontId="30" fillId="35" borderId="78" xfId="0" applyNumberFormat="1" applyFont="1" applyFill="1" applyBorder="1"/>
    <xf numFmtId="0" fontId="36" fillId="33" borderId="91" xfId="1" applyFont="1" applyFill="1" applyBorder="1" applyAlignment="1">
      <alignment vertical="center" wrapText="1"/>
    </xf>
    <xf numFmtId="0" fontId="30" fillId="33" borderId="92" xfId="0" applyFont="1" applyFill="1" applyBorder="1" applyAlignment="1">
      <alignment vertical="center" wrapText="1"/>
    </xf>
    <xf numFmtId="0" fontId="30" fillId="33" borderId="91" xfId="0" applyFont="1" applyFill="1" applyBorder="1" applyAlignment="1">
      <alignment vertical="center" wrapText="1"/>
    </xf>
    <xf numFmtId="0" fontId="0" fillId="33" borderId="78" xfId="0" applyFill="1" applyBorder="1"/>
    <xf numFmtId="3" fontId="19" fillId="0" borderId="0" xfId="0" applyNumberFormat="1" applyFont="1"/>
    <xf numFmtId="0" fontId="31" fillId="12" borderId="93" xfId="0" applyFont="1" applyFill="1" applyBorder="1"/>
    <xf numFmtId="0" fontId="31" fillId="12" borderId="85" xfId="0" applyFont="1" applyFill="1" applyBorder="1"/>
    <xf numFmtId="165" fontId="32" fillId="12" borderId="85" xfId="0" applyNumberFormat="1" applyFont="1" applyFill="1" applyBorder="1" applyAlignment="1">
      <alignment horizontal="left"/>
    </xf>
    <xf numFmtId="1" fontId="30" fillId="12" borderId="95" xfId="0" applyNumberFormat="1" applyFont="1" applyFill="1" applyBorder="1"/>
    <xf numFmtId="0" fontId="19" fillId="12" borderId="85" xfId="0" applyFont="1" applyFill="1" applyBorder="1"/>
    <xf numFmtId="0" fontId="19" fillId="12" borderId="96" xfId="0" applyFont="1" applyFill="1" applyBorder="1"/>
    <xf numFmtId="3" fontId="19" fillId="12" borderId="85" xfId="0" applyNumberFormat="1" applyFont="1" applyFill="1" applyBorder="1"/>
    <xf numFmtId="0" fontId="30" fillId="10" borderId="93" xfId="0" applyFont="1" applyFill="1" applyBorder="1"/>
    <xf numFmtId="0" fontId="0" fillId="10" borderId="95" xfId="0" applyFill="1" applyBorder="1"/>
    <xf numFmtId="0" fontId="19" fillId="11" borderId="10" xfId="0" applyFont="1" applyFill="1" applyBorder="1"/>
    <xf numFmtId="0" fontId="19" fillId="11" borderId="10" xfId="0" applyFont="1" applyFill="1" applyBorder="1" applyAlignment="1">
      <alignment shrinkToFit="1"/>
    </xf>
    <xf numFmtId="0" fontId="17" fillId="11" borderId="10" xfId="0" applyFont="1" applyFill="1" applyBorder="1" applyAlignment="1">
      <alignment shrinkToFit="1"/>
    </xf>
    <xf numFmtId="3" fontId="19" fillId="11" borderId="10" xfId="0" applyNumberFormat="1" applyFont="1" applyFill="1" applyBorder="1" applyAlignment="1">
      <alignment shrinkToFit="1"/>
    </xf>
    <xf numFmtId="0" fontId="17" fillId="11" borderId="10" xfId="0" applyFont="1" applyFill="1" applyBorder="1"/>
    <xf numFmtId="3" fontId="17" fillId="11" borderId="10" xfId="0" applyNumberFormat="1" applyFont="1" applyFill="1" applyBorder="1" applyAlignment="1">
      <alignment shrinkToFit="1"/>
    </xf>
    <xf numFmtId="3" fontId="40" fillId="10" borderId="77" xfId="0" applyNumberFormat="1" applyFont="1" applyFill="1" applyBorder="1" applyAlignment="1">
      <alignment horizontal="center"/>
    </xf>
    <xf numFmtId="3" fontId="40" fillId="10" borderId="87" xfId="0" applyNumberFormat="1" applyFont="1" applyFill="1" applyBorder="1" applyAlignment="1">
      <alignment horizontal="center"/>
    </xf>
    <xf numFmtId="3" fontId="40" fillId="10" borderId="77" xfId="0" applyNumberFormat="1" applyFont="1" applyFill="1" applyBorder="1"/>
    <xf numFmtId="3" fontId="40" fillId="26" borderId="89" xfId="0" applyNumberFormat="1" applyFont="1" applyFill="1" applyBorder="1"/>
    <xf numFmtId="3" fontId="40" fillId="26" borderId="88" xfId="0" applyNumberFormat="1" applyFont="1" applyFill="1" applyBorder="1"/>
    <xf numFmtId="3" fontId="40" fillId="26" borderId="89" xfId="0" applyNumberFormat="1" applyFont="1" applyFill="1" applyBorder="1" applyAlignment="1">
      <alignment horizontal="center"/>
    </xf>
    <xf numFmtId="3" fontId="40" fillId="26" borderId="78" xfId="0" applyNumberFormat="1" applyFont="1" applyFill="1" applyBorder="1"/>
    <xf numFmtId="3" fontId="40" fillId="26" borderId="29" xfId="0" applyNumberFormat="1" applyFont="1" applyFill="1" applyBorder="1"/>
    <xf numFmtId="3" fontId="40" fillId="0" borderId="78" xfId="0" applyNumberFormat="1" applyFont="1" applyBorder="1"/>
    <xf numFmtId="3" fontId="40" fillId="11" borderId="29" xfId="0" applyNumberFormat="1" applyFont="1" applyFill="1" applyBorder="1"/>
    <xf numFmtId="3" fontId="40" fillId="35" borderId="78" xfId="0" applyNumberFormat="1" applyFont="1" applyFill="1" applyBorder="1"/>
    <xf numFmtId="3" fontId="40" fillId="35" borderId="29" xfId="0" applyNumberFormat="1" applyFont="1" applyFill="1" applyBorder="1"/>
    <xf numFmtId="3" fontId="40" fillId="11" borderId="78" xfId="0" applyNumberFormat="1" applyFont="1" applyFill="1" applyBorder="1"/>
    <xf numFmtId="3" fontId="40" fillId="32" borderId="78" xfId="0" applyNumberFormat="1" applyFont="1" applyFill="1" applyBorder="1"/>
    <xf numFmtId="3" fontId="40" fillId="32" borderId="29" xfId="0" applyNumberFormat="1" applyFont="1" applyFill="1" applyBorder="1"/>
    <xf numFmtId="3" fontId="40" fillId="33" borderId="78" xfId="0" applyNumberFormat="1" applyFont="1" applyFill="1" applyBorder="1"/>
    <xf numFmtId="3" fontId="40" fillId="33" borderId="29" xfId="0" applyNumberFormat="1" applyFont="1" applyFill="1" applyBorder="1"/>
    <xf numFmtId="3" fontId="60" fillId="33" borderId="29" xfId="0" applyNumberFormat="1" applyFont="1" applyFill="1" applyBorder="1"/>
    <xf numFmtId="3" fontId="46" fillId="33" borderId="78" xfId="0" applyNumberFormat="1" applyFont="1" applyFill="1" applyBorder="1"/>
    <xf numFmtId="3" fontId="60" fillId="11" borderId="29" xfId="0" applyNumberFormat="1" applyFont="1" applyFill="1" applyBorder="1"/>
    <xf numFmtId="3" fontId="46" fillId="0" borderId="78" xfId="0" applyNumberFormat="1" applyFont="1" applyBorder="1"/>
    <xf numFmtId="3" fontId="46" fillId="11" borderId="78" xfId="0" applyNumberFormat="1" applyFont="1" applyFill="1" applyBorder="1"/>
    <xf numFmtId="3" fontId="60" fillId="35" borderId="29" xfId="0" applyNumberFormat="1" applyFont="1" applyFill="1" applyBorder="1"/>
    <xf numFmtId="3" fontId="46" fillId="35" borderId="78" xfId="0" applyNumberFormat="1" applyFont="1" applyFill="1" applyBorder="1"/>
    <xf numFmtId="3" fontId="46" fillId="11" borderId="29" xfId="0" applyNumberFormat="1" applyFont="1" applyFill="1" applyBorder="1"/>
    <xf numFmtId="3" fontId="46" fillId="33" borderId="29" xfId="0" applyNumberFormat="1" applyFont="1" applyFill="1" applyBorder="1"/>
    <xf numFmtId="3" fontId="40" fillId="10" borderId="85" xfId="0" applyNumberFormat="1" applyFont="1" applyFill="1" applyBorder="1"/>
    <xf numFmtId="3" fontId="40" fillId="10" borderId="94" xfId="0" applyNumberFormat="1" applyFont="1" applyFill="1" applyBorder="1"/>
    <xf numFmtId="3" fontId="40" fillId="12" borderId="85" xfId="0" applyNumberFormat="1" applyFont="1" applyFill="1" applyBorder="1"/>
    <xf numFmtId="3" fontId="40" fillId="12" borderId="94" xfId="0" applyNumberFormat="1" applyFont="1" applyFill="1" applyBorder="1"/>
    <xf numFmtId="3" fontId="17" fillId="23" borderId="10" xfId="0" applyNumberFormat="1" applyFont="1" applyFill="1" applyBorder="1"/>
    <xf numFmtId="3" fontId="0" fillId="0" borderId="86" xfId="0" applyNumberFormat="1" applyBorder="1"/>
    <xf numFmtId="0" fontId="17" fillId="22" borderId="14" xfId="0" applyFont="1" applyFill="1" applyBorder="1" applyAlignment="1">
      <alignment shrinkToFit="1"/>
    </xf>
    <xf numFmtId="0" fontId="19" fillId="23" borderId="14" xfId="0" applyFont="1" applyFill="1" applyBorder="1" applyAlignment="1">
      <alignment shrinkToFit="1"/>
    </xf>
    <xf numFmtId="3" fontId="19" fillId="10" borderId="77" xfId="0" applyNumberFormat="1" applyFont="1" applyFill="1" applyBorder="1"/>
    <xf numFmtId="3" fontId="19" fillId="26" borderId="89" xfId="0" applyNumberFormat="1" applyFont="1" applyFill="1" applyBorder="1"/>
    <xf numFmtId="3" fontId="19" fillId="26" borderId="78" xfId="0" applyNumberFormat="1" applyFont="1" applyFill="1" applyBorder="1"/>
    <xf numFmtId="3" fontId="0" fillId="35" borderId="78" xfId="0" applyNumberFormat="1" applyFill="1" applyBorder="1"/>
    <xf numFmtId="3" fontId="0" fillId="11" borderId="78" xfId="0" applyNumberFormat="1" applyFill="1" applyBorder="1"/>
    <xf numFmtId="3" fontId="0" fillId="32" borderId="78" xfId="0" applyNumberFormat="1" applyFill="1" applyBorder="1"/>
    <xf numFmtId="3" fontId="0" fillId="33" borderId="78" xfId="0" applyNumberFormat="1" applyFill="1" applyBorder="1"/>
    <xf numFmtId="3" fontId="19" fillId="10" borderId="85" xfId="0" applyNumberFormat="1" applyFont="1" applyFill="1" applyBorder="1"/>
    <xf numFmtId="0" fontId="17" fillId="22" borderId="99" xfId="0" applyFont="1" applyFill="1" applyBorder="1" applyAlignment="1">
      <alignment shrinkToFit="1"/>
    </xf>
    <xf numFmtId="0" fontId="19" fillId="23" borderId="99" xfId="0" applyFont="1" applyFill="1" applyBorder="1" applyAlignment="1">
      <alignment shrinkToFit="1"/>
    </xf>
    <xf numFmtId="3" fontId="19" fillId="10" borderId="81" xfId="0" applyNumberFormat="1" applyFont="1" applyFill="1" applyBorder="1"/>
    <xf numFmtId="3" fontId="19" fillId="26" borderId="83" xfId="0" applyNumberFormat="1" applyFont="1" applyFill="1" applyBorder="1"/>
    <xf numFmtId="3" fontId="19" fillId="26" borderId="86" xfId="0" applyNumberFormat="1" applyFont="1" applyFill="1" applyBorder="1"/>
    <xf numFmtId="3" fontId="0" fillId="35" borderId="86" xfId="0" applyNumberFormat="1" applyFill="1" applyBorder="1"/>
    <xf numFmtId="3" fontId="0" fillId="11" borderId="86" xfId="0" applyNumberFormat="1" applyFill="1" applyBorder="1"/>
    <xf numFmtId="3" fontId="0" fillId="33" borderId="86" xfId="0" applyNumberFormat="1" applyFill="1" applyBorder="1"/>
    <xf numFmtId="3" fontId="0" fillId="12" borderId="93" xfId="0" applyNumberFormat="1" applyFill="1" applyBorder="1"/>
    <xf numFmtId="3" fontId="19" fillId="10" borderId="93" xfId="0" applyNumberFormat="1" applyFont="1" applyFill="1" applyBorder="1"/>
    <xf numFmtId="3" fontId="17" fillId="22" borderId="12" xfId="0" applyNumberFormat="1" applyFont="1" applyFill="1" applyBorder="1" applyAlignment="1">
      <alignment shrinkToFit="1"/>
    </xf>
    <xf numFmtId="3" fontId="19" fillId="23" borderId="12" xfId="0" applyNumberFormat="1" applyFont="1" applyFill="1" applyBorder="1" applyAlignment="1">
      <alignment shrinkToFit="1"/>
    </xf>
    <xf numFmtId="3" fontId="17" fillId="22" borderId="99" xfId="0" applyNumberFormat="1" applyFont="1" applyFill="1" applyBorder="1" applyAlignment="1">
      <alignment shrinkToFit="1"/>
    </xf>
    <xf numFmtId="3" fontId="17" fillId="22" borderId="14" xfId="0" applyNumberFormat="1" applyFont="1" applyFill="1" applyBorder="1" applyAlignment="1">
      <alignment shrinkToFit="1"/>
    </xf>
    <xf numFmtId="3" fontId="19" fillId="23" borderId="99" xfId="0" applyNumberFormat="1" applyFont="1" applyFill="1" applyBorder="1" applyAlignment="1">
      <alignment shrinkToFit="1"/>
    </xf>
    <xf numFmtId="3" fontId="19" fillId="23" borderId="14" xfId="0" applyNumberFormat="1" applyFont="1" applyFill="1" applyBorder="1" applyAlignment="1">
      <alignment shrinkToFit="1"/>
    </xf>
    <xf numFmtId="1" fontId="19" fillId="10" borderId="95" xfId="0" applyNumberFormat="1" applyFont="1" applyFill="1" applyBorder="1"/>
    <xf numFmtId="0" fontId="19" fillId="10" borderId="95" xfId="0" applyFont="1" applyFill="1" applyBorder="1"/>
    <xf numFmtId="3" fontId="19" fillId="12" borderId="98" xfId="0" applyNumberFormat="1" applyFont="1" applyFill="1" applyBorder="1"/>
    <xf numFmtId="0" fontId="63" fillId="29" borderId="33" xfId="0" applyFont="1" applyFill="1" applyBorder="1" applyAlignment="1">
      <alignment horizontal="center" vertical="center" wrapText="1"/>
    </xf>
    <xf numFmtId="0" fontId="63" fillId="29" borderId="79" xfId="0" applyFont="1" applyFill="1" applyBorder="1" applyAlignment="1">
      <alignment horizontal="center" vertical="center" wrapText="1"/>
    </xf>
    <xf numFmtId="0" fontId="63" fillId="29" borderId="79" xfId="0" applyFont="1" applyFill="1" applyBorder="1" applyAlignment="1">
      <alignment horizontal="center" vertical="justify" wrapText="1"/>
    </xf>
    <xf numFmtId="0" fontId="63" fillId="29" borderId="107" xfId="0" applyFont="1" applyFill="1" applyBorder="1" applyAlignment="1">
      <alignment horizontal="center" vertical="center" wrapText="1"/>
    </xf>
    <xf numFmtId="3" fontId="63" fillId="29" borderId="18" xfId="0" applyNumberFormat="1" applyFont="1" applyFill="1" applyBorder="1" applyAlignment="1">
      <alignment horizontal="center" vertical="center" wrapText="1"/>
    </xf>
    <xf numFmtId="3" fontId="63" fillId="29" borderId="79" xfId="0" applyNumberFormat="1" applyFont="1" applyFill="1" applyBorder="1" applyAlignment="1">
      <alignment horizontal="center" vertical="center" wrapText="1"/>
    </xf>
    <xf numFmtId="0" fontId="63" fillId="29" borderId="108" xfId="0" applyFont="1" applyFill="1" applyBorder="1" applyAlignment="1">
      <alignment horizontal="center" vertical="center" wrapText="1"/>
    </xf>
    <xf numFmtId="3" fontId="63" fillId="29" borderId="108" xfId="0" applyNumberFormat="1" applyFont="1" applyFill="1" applyBorder="1" applyAlignment="1">
      <alignment horizontal="center" vertical="center" wrapText="1"/>
    </xf>
    <xf numFmtId="0" fontId="63" fillId="37" borderId="77" xfId="0" applyFont="1" applyFill="1" applyBorder="1" applyAlignment="1">
      <alignment horizontal="center" vertical="center" wrapText="1"/>
    </xf>
    <xf numFmtId="0" fontId="62" fillId="37" borderId="100" xfId="0" applyFont="1" applyFill="1" applyBorder="1" applyAlignment="1">
      <alignment vertical="justify" wrapText="1"/>
    </xf>
    <xf numFmtId="0" fontId="62" fillId="37" borderId="109" xfId="0" applyFont="1" applyFill="1" applyBorder="1" applyAlignment="1">
      <alignment vertical="center" wrapText="1"/>
    </xf>
    <xf numFmtId="0" fontId="62" fillId="37" borderId="110" xfId="0" applyFont="1" applyFill="1" applyBorder="1" applyAlignment="1">
      <alignment vertical="center" wrapText="1"/>
    </xf>
    <xf numFmtId="0" fontId="62" fillId="37" borderId="100" xfId="0" applyFont="1" applyFill="1" applyBorder="1" applyAlignment="1">
      <alignment vertical="center" wrapText="1"/>
    </xf>
    <xf numFmtId="3" fontId="62" fillId="37" borderId="111" xfId="0" applyNumberFormat="1" applyFont="1" applyFill="1" applyBorder="1" applyAlignment="1">
      <alignment wrapText="1"/>
    </xf>
    <xf numFmtId="3" fontId="62" fillId="37" borderId="100" xfId="0" applyNumberFormat="1" applyFont="1" applyFill="1" applyBorder="1" applyAlignment="1">
      <alignment wrapText="1"/>
    </xf>
    <xf numFmtId="1" fontId="62" fillId="37" borderId="77" xfId="0" applyNumberFormat="1" applyFont="1" applyFill="1" applyBorder="1" applyAlignment="1">
      <alignment horizontal="center" vertical="center" wrapText="1"/>
    </xf>
    <xf numFmtId="3" fontId="62" fillId="37" borderId="77" xfId="0" applyNumberFormat="1" applyFont="1" applyFill="1" applyBorder="1" applyAlignment="1">
      <alignment horizontal="center" vertical="center" wrapText="1"/>
    </xf>
    <xf numFmtId="3" fontId="62" fillId="37" borderId="102" xfId="0" applyNumberFormat="1" applyFont="1" applyFill="1" applyBorder="1" applyAlignment="1">
      <alignment wrapText="1"/>
    </xf>
    <xf numFmtId="3" fontId="62" fillId="37" borderId="114" xfId="0" applyNumberFormat="1" applyFont="1" applyFill="1" applyBorder="1" applyAlignment="1">
      <alignment wrapText="1"/>
    </xf>
    <xf numFmtId="3" fontId="62" fillId="37" borderId="81" xfId="0" applyNumberFormat="1" applyFont="1" applyFill="1" applyBorder="1" applyAlignment="1">
      <alignment horizontal="center" vertical="center" wrapText="1"/>
    </xf>
    <xf numFmtId="0" fontId="63" fillId="37" borderId="78" xfId="0" applyFont="1" applyFill="1" applyBorder="1" applyAlignment="1">
      <alignment horizontal="center" vertical="center" wrapText="1"/>
    </xf>
    <xf numFmtId="0" fontId="62" fillId="37" borderId="91" xfId="0" applyFont="1" applyFill="1" applyBorder="1" applyAlignment="1">
      <alignment vertical="justify" wrapText="1"/>
    </xf>
    <xf numFmtId="0" fontId="62" fillId="37" borderId="21" xfId="0" applyFont="1" applyFill="1" applyBorder="1" applyAlignment="1">
      <alignment vertical="center" wrapText="1"/>
    </xf>
    <xf numFmtId="0" fontId="62" fillId="37" borderId="19" xfId="0" applyFont="1" applyFill="1" applyBorder="1" applyAlignment="1">
      <alignment vertical="center" wrapText="1"/>
    </xf>
    <xf numFmtId="0" fontId="62" fillId="37" borderId="91" xfId="0" applyFont="1" applyFill="1" applyBorder="1" applyAlignment="1">
      <alignment vertical="center" wrapText="1"/>
    </xf>
    <xf numFmtId="3" fontId="62" fillId="37" borderId="20" xfId="0" applyNumberFormat="1" applyFont="1" applyFill="1" applyBorder="1" applyAlignment="1">
      <alignment wrapText="1"/>
    </xf>
    <xf numFmtId="3" fontId="62" fillId="37" borderId="91" xfId="0" applyNumberFormat="1" applyFont="1" applyFill="1" applyBorder="1" applyAlignment="1">
      <alignment wrapText="1"/>
    </xf>
    <xf numFmtId="3" fontId="62" fillId="37" borderId="78" xfId="0" applyNumberFormat="1" applyFont="1" applyFill="1" applyBorder="1" applyAlignment="1">
      <alignment horizontal="center" vertical="center" wrapText="1"/>
    </xf>
    <xf numFmtId="0" fontId="62" fillId="37" borderId="78" xfId="0" applyFont="1" applyFill="1" applyBorder="1" applyAlignment="1">
      <alignment horizontal="center" vertical="center" wrapText="1"/>
    </xf>
    <xf numFmtId="3" fontId="62" fillId="37" borderId="115" xfId="0" applyNumberFormat="1" applyFont="1" applyFill="1" applyBorder="1" applyAlignment="1">
      <alignment wrapText="1"/>
    </xf>
    <xf numFmtId="3" fontId="62" fillId="37" borderId="86" xfId="0" applyNumberFormat="1" applyFont="1" applyFill="1" applyBorder="1" applyAlignment="1">
      <alignment horizontal="center" vertical="center" wrapText="1"/>
    </xf>
    <xf numFmtId="0" fontId="62" fillId="37" borderId="103" xfId="0" applyFont="1" applyFill="1" applyBorder="1" applyAlignment="1">
      <alignment vertical="justify" wrapText="1"/>
    </xf>
    <xf numFmtId="0" fontId="62" fillId="37" borderId="104" xfId="0" applyFont="1" applyFill="1" applyBorder="1" applyAlignment="1">
      <alignment vertical="center" wrapText="1"/>
    </xf>
    <xf numFmtId="0" fontId="62" fillId="37" borderId="25" xfId="0" applyFont="1" applyFill="1" applyBorder="1" applyAlignment="1">
      <alignment vertical="center" wrapText="1"/>
    </xf>
    <xf numFmtId="0" fontId="62" fillId="37" borderId="103" xfId="0" applyFont="1" applyFill="1" applyBorder="1" applyAlignment="1">
      <alignment vertical="center" wrapText="1"/>
    </xf>
    <xf numFmtId="3" fontId="62" fillId="37" borderId="112" xfId="0" applyNumberFormat="1" applyFont="1" applyFill="1" applyBorder="1" applyAlignment="1">
      <alignment wrapText="1"/>
    </xf>
    <xf numFmtId="3" fontId="62" fillId="37" borderId="103" xfId="0" applyNumberFormat="1" applyFont="1" applyFill="1" applyBorder="1" applyAlignment="1">
      <alignment wrapText="1"/>
    </xf>
    <xf numFmtId="3" fontId="62" fillId="37" borderId="113" xfId="0" applyNumberFormat="1" applyFont="1" applyFill="1" applyBorder="1" applyAlignment="1">
      <alignment wrapText="1"/>
    </xf>
    <xf numFmtId="3" fontId="62" fillId="37" borderId="116" xfId="0" applyNumberFormat="1" applyFont="1" applyFill="1" applyBorder="1" applyAlignment="1">
      <alignment wrapText="1"/>
    </xf>
    <xf numFmtId="0" fontId="62" fillId="37" borderId="77" xfId="0" applyFont="1" applyFill="1" applyBorder="1" applyAlignment="1">
      <alignment horizontal="center" vertical="center" wrapText="1"/>
    </xf>
    <xf numFmtId="3" fontId="62" fillId="37" borderId="117" xfId="0" applyNumberFormat="1" applyFont="1" applyFill="1" applyBorder="1" applyAlignment="1">
      <alignment wrapText="1"/>
    </xf>
    <xf numFmtId="0" fontId="62" fillId="37" borderId="118" xfId="0" applyFont="1" applyFill="1" applyBorder="1" applyAlignment="1">
      <alignment vertical="justify" wrapText="1"/>
    </xf>
    <xf numFmtId="0" fontId="62" fillId="37" borderId="119" xfId="0" applyFont="1" applyFill="1" applyBorder="1" applyAlignment="1">
      <alignment vertical="center" wrapText="1"/>
    </xf>
    <xf numFmtId="0" fontId="62" fillId="37" borderId="120" xfId="0" applyFont="1" applyFill="1" applyBorder="1" applyAlignment="1">
      <alignment vertical="center" wrapText="1"/>
    </xf>
    <xf numFmtId="0" fontId="62" fillId="37" borderId="118" xfId="0" applyFont="1" applyFill="1" applyBorder="1" applyAlignment="1">
      <alignment vertical="center" wrapText="1"/>
    </xf>
    <xf numFmtId="3" fontId="62" fillId="37" borderId="121" xfId="0" applyNumberFormat="1" applyFont="1" applyFill="1" applyBorder="1" applyAlignment="1">
      <alignment wrapText="1"/>
    </xf>
    <xf numFmtId="3" fontId="62" fillId="37" borderId="118" xfId="0" applyNumberFormat="1" applyFont="1" applyFill="1" applyBorder="1" applyAlignment="1">
      <alignment wrapText="1"/>
    </xf>
    <xf numFmtId="0" fontId="62" fillId="37" borderId="89" xfId="0" applyFont="1" applyFill="1" applyBorder="1" applyAlignment="1">
      <alignment horizontal="center" vertical="center" wrapText="1"/>
    </xf>
    <xf numFmtId="3" fontId="62" fillId="37" borderId="89" xfId="0" applyNumberFormat="1" applyFont="1" applyFill="1" applyBorder="1" applyAlignment="1">
      <alignment horizontal="center" vertical="center" wrapText="1"/>
    </xf>
    <xf numFmtId="3" fontId="62" fillId="37" borderId="122" xfId="0" applyNumberFormat="1" applyFont="1" applyFill="1" applyBorder="1" applyAlignment="1">
      <alignment wrapText="1"/>
    </xf>
    <xf numFmtId="3" fontId="62" fillId="37" borderId="123" xfId="0" applyNumberFormat="1" applyFont="1" applyFill="1" applyBorder="1" applyAlignment="1">
      <alignment wrapText="1"/>
    </xf>
    <xf numFmtId="0" fontId="62" fillId="37" borderId="78" xfId="0" applyFont="1" applyFill="1" applyBorder="1" applyAlignment="1">
      <alignment vertical="justify" wrapText="1"/>
    </xf>
    <xf numFmtId="0" fontId="62" fillId="37" borderId="124" xfId="0" applyFont="1" applyFill="1" applyBorder="1" applyAlignment="1">
      <alignment wrapText="1"/>
    </xf>
    <xf numFmtId="0" fontId="62" fillId="37" borderId="30" xfId="0" applyFont="1" applyFill="1" applyBorder="1" applyAlignment="1">
      <alignment wrapText="1"/>
    </xf>
    <xf numFmtId="0" fontId="62" fillId="37" borderId="78" xfId="0" applyFont="1" applyFill="1" applyBorder="1" applyAlignment="1">
      <alignment wrapText="1"/>
    </xf>
    <xf numFmtId="3" fontId="62" fillId="37" borderId="0" xfId="0" applyNumberFormat="1" applyFont="1" applyFill="1" applyAlignment="1">
      <alignment wrapText="1"/>
    </xf>
    <xf numFmtId="3" fontId="62" fillId="37" borderId="78" xfId="0" applyNumberFormat="1" applyFont="1" applyFill="1" applyBorder="1" applyAlignment="1">
      <alignment wrapText="1"/>
    </xf>
    <xf numFmtId="3" fontId="62" fillId="37" borderId="86" xfId="0" applyNumberFormat="1" applyFont="1" applyFill="1" applyBorder="1" applyAlignment="1">
      <alignment wrapText="1"/>
    </xf>
    <xf numFmtId="3" fontId="62" fillId="37" borderId="125" xfId="0" applyNumberFormat="1" applyFont="1" applyFill="1" applyBorder="1" applyAlignment="1">
      <alignment wrapText="1"/>
    </xf>
    <xf numFmtId="0" fontId="62" fillId="37" borderId="21" xfId="0" applyFont="1" applyFill="1" applyBorder="1" applyAlignment="1">
      <alignment wrapText="1"/>
    </xf>
    <xf numFmtId="0" fontId="62" fillId="37" borderId="19" xfId="0" applyFont="1" applyFill="1" applyBorder="1" applyAlignment="1">
      <alignment wrapText="1"/>
    </xf>
    <xf numFmtId="0" fontId="62" fillId="37" borderId="91" xfId="0" applyFont="1" applyFill="1" applyBorder="1" applyAlignment="1">
      <alignment wrapText="1"/>
    </xf>
    <xf numFmtId="0" fontId="62" fillId="37" borderId="104" xfId="0" applyFont="1" applyFill="1" applyBorder="1" applyAlignment="1">
      <alignment wrapText="1"/>
    </xf>
    <xf numFmtId="0" fontId="62" fillId="37" borderId="25" xfId="0" applyFont="1" applyFill="1" applyBorder="1" applyAlignment="1">
      <alignment wrapText="1"/>
    </xf>
    <xf numFmtId="0" fontId="62" fillId="37" borderId="103" xfId="0" applyFont="1" applyFill="1" applyBorder="1" applyAlignment="1">
      <alignment wrapText="1"/>
    </xf>
    <xf numFmtId="0" fontId="62" fillId="37" borderId="109" xfId="0" applyFont="1" applyFill="1" applyBorder="1" applyAlignment="1">
      <alignment wrapText="1"/>
    </xf>
    <xf numFmtId="0" fontId="62" fillId="37" borderId="110" xfId="0" applyFont="1" applyFill="1" applyBorder="1" applyAlignment="1">
      <alignment wrapText="1"/>
    </xf>
    <xf numFmtId="0" fontId="62" fillId="37" borderId="100" xfId="0" applyFont="1" applyFill="1" applyBorder="1" applyAlignment="1">
      <alignment wrapText="1"/>
    </xf>
    <xf numFmtId="0" fontId="62" fillId="38" borderId="91" xfId="0" applyFont="1" applyFill="1" applyBorder="1" applyAlignment="1">
      <alignment vertical="justify" wrapText="1"/>
    </xf>
    <xf numFmtId="0" fontId="62" fillId="38" borderId="103" xfId="0" applyFont="1" applyFill="1" applyBorder="1" applyAlignment="1">
      <alignment vertical="justify" wrapText="1"/>
    </xf>
    <xf numFmtId="3" fontId="60" fillId="37" borderId="115" xfId="0" applyNumberFormat="1" applyFont="1" applyFill="1" applyBorder="1" applyAlignment="1">
      <alignment wrapText="1"/>
    </xf>
    <xf numFmtId="0" fontId="62" fillId="37" borderId="77" xfId="0" applyFont="1" applyFill="1" applyBorder="1" applyAlignment="1">
      <alignment vertical="justify" wrapText="1"/>
    </xf>
    <xf numFmtId="0" fontId="62" fillId="37" borderId="128" xfId="0" applyFont="1" applyFill="1" applyBorder="1" applyAlignment="1">
      <alignment wrapText="1"/>
    </xf>
    <xf numFmtId="0" fontId="62" fillId="37" borderId="129" xfId="0" applyFont="1" applyFill="1" applyBorder="1" applyAlignment="1">
      <alignment wrapText="1"/>
    </xf>
    <xf numFmtId="0" fontId="62" fillId="37" borderId="77" xfId="0" applyFont="1" applyFill="1" applyBorder="1" applyAlignment="1">
      <alignment wrapText="1"/>
    </xf>
    <xf numFmtId="3" fontId="62" fillId="37" borderId="82" xfId="0" applyNumberFormat="1" applyFont="1" applyFill="1" applyBorder="1" applyAlignment="1">
      <alignment wrapText="1"/>
    </xf>
    <xf numFmtId="3" fontId="62" fillId="37" borderId="77" xfId="0" applyNumberFormat="1" applyFont="1" applyFill="1" applyBorder="1" applyAlignment="1">
      <alignment wrapText="1"/>
    </xf>
    <xf numFmtId="3" fontId="62" fillId="37" borderId="81" xfId="0" applyNumberFormat="1" applyFont="1" applyFill="1" applyBorder="1" applyAlignment="1">
      <alignment wrapText="1"/>
    </xf>
    <xf numFmtId="3" fontId="62" fillId="37" borderId="130" xfId="0" applyNumberFormat="1" applyFont="1" applyFill="1" applyBorder="1" applyAlignment="1">
      <alignment wrapText="1"/>
    </xf>
    <xf numFmtId="0" fontId="62" fillId="37" borderId="119" xfId="0" applyFont="1" applyFill="1" applyBorder="1" applyAlignment="1">
      <alignment wrapText="1"/>
    </xf>
    <xf numFmtId="0" fontId="62" fillId="37" borderId="120" xfId="0" applyFont="1" applyFill="1" applyBorder="1" applyAlignment="1">
      <alignment wrapText="1"/>
    </xf>
    <xf numFmtId="0" fontId="62" fillId="37" borderId="118" xfId="0" applyFont="1" applyFill="1" applyBorder="1" applyAlignment="1">
      <alignment wrapText="1"/>
    </xf>
    <xf numFmtId="0" fontId="0" fillId="0" borderId="86" xfId="0" applyBorder="1"/>
    <xf numFmtId="3" fontId="0" fillId="0" borderId="86" xfId="0" applyNumberFormat="1" applyBorder="1" applyAlignment="1">
      <alignment horizontal="center" vertical="center"/>
    </xf>
    <xf numFmtId="0" fontId="62" fillId="37" borderId="135" xfId="0" applyFont="1" applyFill="1" applyBorder="1" applyAlignment="1">
      <alignment wrapText="1"/>
    </xf>
    <xf numFmtId="3" fontId="62" fillId="37" borderId="101" xfId="0" applyNumberFormat="1" applyFont="1" applyFill="1" applyBorder="1" applyAlignment="1">
      <alignment wrapText="1"/>
    </xf>
    <xf numFmtId="3" fontId="62" fillId="37" borderId="135" xfId="0" applyNumberFormat="1" applyFont="1" applyFill="1" applyBorder="1" applyAlignment="1">
      <alignment wrapText="1"/>
    </xf>
    <xf numFmtId="0" fontId="0" fillId="0" borderId="108" xfId="0" applyBorder="1"/>
    <xf numFmtId="3" fontId="0" fillId="0" borderId="108" xfId="0" applyNumberFormat="1" applyBorder="1"/>
    <xf numFmtId="3" fontId="0" fillId="0" borderId="108" xfId="0" applyNumberFormat="1" applyBorder="1" applyAlignment="1">
      <alignment horizontal="center" vertical="center"/>
    </xf>
    <xf numFmtId="0" fontId="62" fillId="37" borderId="106" xfId="0" applyFont="1" applyFill="1" applyBorder="1" applyAlignment="1">
      <alignment wrapText="1"/>
    </xf>
    <xf numFmtId="3" fontId="62" fillId="37" borderId="105" xfId="0" applyNumberFormat="1" applyFont="1" applyFill="1" applyBorder="1" applyAlignment="1">
      <alignment wrapText="1"/>
    </xf>
    <xf numFmtId="3" fontId="62" fillId="37" borderId="106" xfId="0" applyNumberFormat="1" applyFont="1" applyFill="1" applyBorder="1" applyAlignment="1">
      <alignment wrapText="1"/>
    </xf>
    <xf numFmtId="0" fontId="0" fillId="0" borderId="132" xfId="0" applyBorder="1"/>
    <xf numFmtId="3" fontId="0" fillId="0" borderId="132" xfId="0" applyNumberFormat="1" applyBorder="1"/>
    <xf numFmtId="3" fontId="0" fillId="0" borderId="132" xfId="0" applyNumberFormat="1" applyBorder="1" applyAlignment="1">
      <alignment horizontal="center" vertical="center"/>
    </xf>
    <xf numFmtId="0" fontId="0" fillId="26" borderId="15" xfId="0" applyFill="1" applyBorder="1"/>
    <xf numFmtId="0" fontId="0" fillId="26" borderId="139" xfId="0" applyFill="1" applyBorder="1"/>
    <xf numFmtId="3" fontId="0" fillId="26" borderId="139" xfId="0" applyNumberFormat="1" applyFill="1" applyBorder="1"/>
    <xf numFmtId="3" fontId="0" fillId="26" borderId="139" xfId="0" applyNumberFormat="1" applyFill="1" applyBorder="1" applyAlignment="1">
      <alignment horizontal="center" vertical="center"/>
    </xf>
    <xf numFmtId="3" fontId="0" fillId="26" borderId="79" xfId="0" applyNumberFormat="1" applyFill="1" applyBorder="1" applyAlignment="1">
      <alignment horizontal="center" vertical="center"/>
    </xf>
    <xf numFmtId="3" fontId="0" fillId="26" borderId="18" xfId="0" applyNumberFormat="1" applyFill="1" applyBorder="1"/>
    <xf numFmtId="3" fontId="0" fillId="26" borderId="78" xfId="0" applyNumberFormat="1" applyFill="1" applyBorder="1" applyAlignment="1">
      <alignment horizontal="center" vertical="center"/>
    </xf>
    <xf numFmtId="3" fontId="0" fillId="26" borderId="0" xfId="0" applyNumberFormat="1" applyFill="1"/>
    <xf numFmtId="3" fontId="0" fillId="26" borderId="80" xfId="0" applyNumberFormat="1" applyFill="1" applyBorder="1" applyAlignment="1">
      <alignment horizontal="center" vertical="center"/>
    </xf>
    <xf numFmtId="3" fontId="0" fillId="26" borderId="11" xfId="0" applyNumberFormat="1" applyFill="1" applyBorder="1"/>
    <xf numFmtId="0" fontId="19" fillId="26" borderId="15" xfId="0" applyFont="1" applyFill="1" applyBorder="1"/>
    <xf numFmtId="3" fontId="19" fillId="26" borderId="15" xfId="0" applyNumberFormat="1" applyFont="1" applyFill="1" applyBorder="1"/>
    <xf numFmtId="3" fontId="19" fillId="26" borderId="138" xfId="0" applyNumberFormat="1" applyFont="1" applyFill="1" applyBorder="1" applyAlignment="1">
      <alignment horizontal="center" vertical="center"/>
    </xf>
    <xf numFmtId="0" fontId="19" fillId="26" borderId="139" xfId="0" applyFont="1" applyFill="1" applyBorder="1"/>
    <xf numFmtId="3" fontId="19" fillId="26" borderId="139" xfId="0" applyNumberFormat="1" applyFont="1" applyFill="1" applyBorder="1"/>
    <xf numFmtId="3" fontId="19" fillId="26" borderId="139" xfId="0" applyNumberFormat="1" applyFont="1" applyFill="1" applyBorder="1" applyAlignment="1">
      <alignment horizontal="center" vertical="center"/>
    </xf>
    <xf numFmtId="3" fontId="19" fillId="0" borderId="86" xfId="0" applyNumberFormat="1" applyFont="1" applyBorder="1"/>
    <xf numFmtId="1" fontId="19" fillId="0" borderId="86" xfId="0" applyNumberFormat="1" applyFont="1" applyBorder="1"/>
    <xf numFmtId="3" fontId="0" fillId="0" borderId="141" xfId="0" applyNumberFormat="1" applyBorder="1"/>
    <xf numFmtId="3" fontId="0" fillId="0" borderId="140" xfId="0" applyNumberFormat="1" applyBorder="1"/>
    <xf numFmtId="3" fontId="0" fillId="0" borderId="143" xfId="0" applyNumberFormat="1" applyBorder="1"/>
    <xf numFmtId="0" fontId="0" fillId="0" borderId="144" xfId="0" applyBorder="1"/>
    <xf numFmtId="0" fontId="0" fillId="0" borderId="40" xfId="0" applyBorder="1"/>
    <xf numFmtId="1" fontId="19" fillId="0" borderId="37" xfId="0" applyNumberFormat="1" applyFont="1" applyBorder="1"/>
    <xf numFmtId="0" fontId="19" fillId="26" borderId="34" xfId="0" applyFont="1" applyFill="1" applyBorder="1" applyAlignment="1">
      <alignment horizontal="right"/>
    </xf>
    <xf numFmtId="3" fontId="17" fillId="0" borderId="78" xfId="0" applyNumberFormat="1" applyFont="1" applyBorder="1" applyAlignment="1">
      <alignment horizontal="left" vertical="center"/>
    </xf>
    <xf numFmtId="0" fontId="0" fillId="11" borderId="78" xfId="0" applyFill="1" applyBorder="1"/>
    <xf numFmtId="3" fontId="0" fillId="11" borderId="0" xfId="0" applyNumberFormat="1" applyFill="1"/>
    <xf numFmtId="3" fontId="0" fillId="11" borderId="78" xfId="0" applyNumberFormat="1" applyFill="1" applyBorder="1" applyAlignment="1">
      <alignment horizontal="center" vertical="center"/>
    </xf>
    <xf numFmtId="0" fontId="0" fillId="11" borderId="86" xfId="0" applyFill="1" applyBorder="1"/>
    <xf numFmtId="3" fontId="19" fillId="11" borderId="37" xfId="0" applyNumberFormat="1" applyFont="1" applyFill="1" applyBorder="1"/>
    <xf numFmtId="3" fontId="0" fillId="11" borderId="86" xfId="0" applyNumberFormat="1" applyFill="1" applyBorder="1" applyAlignment="1">
      <alignment horizontal="center" vertical="center"/>
    </xf>
    <xf numFmtId="1" fontId="19" fillId="26" borderId="34" xfId="0" applyNumberFormat="1" applyFont="1" applyFill="1" applyBorder="1"/>
    <xf numFmtId="3" fontId="19" fillId="26" borderId="138" xfId="0" applyNumberFormat="1" applyFont="1" applyFill="1" applyBorder="1" applyAlignment="1">
      <alignment horizontal="left" vertical="center"/>
    </xf>
    <xf numFmtId="3" fontId="17" fillId="22" borderId="78" xfId="0" applyNumberFormat="1" applyFont="1" applyFill="1" applyBorder="1" applyAlignment="1">
      <alignment horizontal="left" vertical="center"/>
    </xf>
    <xf numFmtId="0" fontId="0" fillId="22" borderId="86" xfId="0" applyFill="1" applyBorder="1"/>
    <xf numFmtId="1" fontId="19" fillId="22" borderId="37" xfId="0" applyNumberFormat="1" applyFont="1" applyFill="1" applyBorder="1"/>
    <xf numFmtId="3" fontId="0" fillId="22" borderId="86" xfId="0" applyNumberFormat="1" applyFill="1" applyBorder="1"/>
    <xf numFmtId="3" fontId="0" fillId="22" borderId="86" xfId="0" applyNumberFormat="1" applyFill="1" applyBorder="1" applyAlignment="1">
      <alignment horizontal="center" vertical="center"/>
    </xf>
    <xf numFmtId="3" fontId="19" fillId="22" borderId="37" xfId="0" applyNumberFormat="1" applyFont="1" applyFill="1" applyBorder="1"/>
    <xf numFmtId="0" fontId="62" fillId="37" borderId="145" xfId="0" applyFont="1" applyFill="1" applyBorder="1" applyAlignment="1">
      <alignment vertical="justify" wrapText="1"/>
    </xf>
    <xf numFmtId="0" fontId="62" fillId="37" borderId="115" xfId="0" applyFont="1" applyFill="1" applyBorder="1" applyAlignment="1">
      <alignment vertical="justify" wrapText="1"/>
    </xf>
    <xf numFmtId="0" fontId="62" fillId="37" borderId="146" xfId="0" applyFont="1" applyFill="1" applyBorder="1" applyAlignment="1">
      <alignment vertical="justify" wrapText="1"/>
    </xf>
    <xf numFmtId="0" fontId="62" fillId="37" borderId="101" xfId="0" applyFont="1" applyFill="1" applyBorder="1" applyAlignment="1">
      <alignment wrapText="1"/>
    </xf>
    <xf numFmtId="0" fontId="62" fillId="37" borderId="20" xfId="0" applyFont="1" applyFill="1" applyBorder="1" applyAlignment="1">
      <alignment wrapText="1"/>
    </xf>
    <xf numFmtId="0" fontId="62" fillId="37" borderId="105" xfId="0" applyFont="1" applyFill="1" applyBorder="1" applyAlignment="1">
      <alignment wrapText="1"/>
    </xf>
    <xf numFmtId="0" fontId="62" fillId="37" borderId="154" xfId="0" applyFont="1" applyFill="1" applyBorder="1" applyAlignment="1">
      <alignment wrapText="1"/>
    </xf>
    <xf numFmtId="0" fontId="62" fillId="37" borderId="150" xfId="0" applyFont="1" applyFill="1" applyBorder="1" applyAlignment="1">
      <alignment wrapText="1"/>
    </xf>
    <xf numFmtId="0" fontId="62" fillId="37" borderId="155" xfId="0" applyFont="1" applyFill="1" applyBorder="1" applyAlignment="1">
      <alignment wrapText="1"/>
    </xf>
    <xf numFmtId="0" fontId="0" fillId="11" borderId="151" xfId="0" applyFill="1" applyBorder="1" applyAlignment="1">
      <alignment vertical="justify"/>
    </xf>
    <xf numFmtId="0" fontId="19" fillId="26" borderId="156" xfId="0" applyFont="1" applyFill="1" applyBorder="1" applyAlignment="1">
      <alignment horizontal="right"/>
    </xf>
    <xf numFmtId="0" fontId="19" fillId="26" borderId="157" xfId="0" applyFont="1" applyFill="1" applyBorder="1" applyAlignment="1">
      <alignment horizontal="right"/>
    </xf>
    <xf numFmtId="0" fontId="19" fillId="26" borderId="158" xfId="0" applyFont="1" applyFill="1" applyBorder="1" applyAlignment="1">
      <alignment horizontal="right"/>
    </xf>
    <xf numFmtId="3" fontId="19" fillId="26" borderId="158" xfId="0" applyNumberFormat="1" applyFont="1" applyFill="1" applyBorder="1" applyAlignment="1">
      <alignment horizontal="right"/>
    </xf>
    <xf numFmtId="3" fontId="19" fillId="26" borderId="159" xfId="0" applyNumberFormat="1" applyFont="1" applyFill="1" applyBorder="1" applyAlignment="1">
      <alignment horizontal="right" vertical="center"/>
    </xf>
    <xf numFmtId="1" fontId="19" fillId="26" borderId="157" xfId="0" applyNumberFormat="1" applyFont="1" applyFill="1" applyBorder="1" applyAlignment="1">
      <alignment horizontal="right"/>
    </xf>
    <xf numFmtId="1" fontId="19" fillId="26" borderId="160" xfId="0" applyNumberFormat="1" applyFont="1" applyFill="1" applyBorder="1" applyAlignment="1">
      <alignment horizontal="right"/>
    </xf>
    <xf numFmtId="3" fontId="19" fillId="26" borderId="157" xfId="0" applyNumberFormat="1" applyFont="1" applyFill="1" applyBorder="1" applyAlignment="1">
      <alignment horizontal="right"/>
    </xf>
    <xf numFmtId="3" fontId="19" fillId="26" borderId="157" xfId="0" applyNumberFormat="1" applyFont="1" applyFill="1" applyBorder="1" applyAlignment="1">
      <alignment horizontal="right" vertical="center"/>
    </xf>
    <xf numFmtId="3" fontId="17" fillId="0" borderId="0" xfId="0" applyNumberFormat="1" applyFont="1" applyAlignment="1">
      <alignment horizontal="right"/>
    </xf>
    <xf numFmtId="4" fontId="17" fillId="0" borderId="0" xfId="0" applyNumberFormat="1" applyFont="1" applyAlignment="1">
      <alignment horizontal="right"/>
    </xf>
    <xf numFmtId="4" fontId="19" fillId="0" borderId="0" xfId="0" applyNumberFormat="1" applyFont="1" applyAlignment="1">
      <alignment horizontal="right"/>
    </xf>
    <xf numFmtId="0" fontId="19" fillId="0" borderId="0" xfId="0" applyFont="1" applyAlignment="1">
      <alignment horizontal="right"/>
    </xf>
    <xf numFmtId="3" fontId="65" fillId="0" borderId="0" xfId="0" applyNumberFormat="1" applyFont="1"/>
    <xf numFmtId="4" fontId="65" fillId="0" borderId="0" xfId="0" applyNumberFormat="1" applyFont="1"/>
    <xf numFmtId="0" fontId="19" fillId="26" borderId="0" xfId="0" applyFont="1" applyFill="1" applyAlignment="1">
      <alignment horizontal="center" wrapText="1"/>
    </xf>
    <xf numFmtId="3" fontId="19" fillId="26" borderId="0" xfId="0" applyNumberFormat="1" applyFont="1" applyFill="1" applyAlignment="1">
      <alignment horizontal="center" wrapText="1"/>
    </xf>
    <xf numFmtId="4" fontId="19" fillId="26" borderId="0" xfId="0" applyNumberFormat="1" applyFont="1" applyFill="1" applyAlignment="1">
      <alignment horizontal="center" wrapText="1"/>
    </xf>
    <xf numFmtId="0" fontId="17" fillId="0" borderId="165" xfId="0" applyFont="1" applyBorder="1" applyAlignment="1">
      <alignment horizontal="right"/>
    </xf>
    <xf numFmtId="3" fontId="17" fillId="0" borderId="165" xfId="0" applyNumberFormat="1" applyFont="1" applyBorder="1" applyAlignment="1">
      <alignment horizontal="right"/>
    </xf>
    <xf numFmtId="4" fontId="17" fillId="0" borderId="165" xfId="0" applyNumberFormat="1" applyFont="1" applyBorder="1" applyAlignment="1">
      <alignment horizontal="right"/>
    </xf>
    <xf numFmtId="0" fontId="0" fillId="0" borderId="165" xfId="0" applyBorder="1"/>
    <xf numFmtId="0" fontId="17" fillId="0" borderId="168" xfId="0" applyFont="1" applyBorder="1" applyAlignment="1">
      <alignment horizontal="right"/>
    </xf>
    <xf numFmtId="3" fontId="17" fillId="0" borderId="168" xfId="0" applyNumberFormat="1" applyFont="1" applyBorder="1" applyAlignment="1">
      <alignment horizontal="right"/>
    </xf>
    <xf numFmtId="4" fontId="17" fillId="0" borderId="168" xfId="0" applyNumberFormat="1" applyFont="1" applyBorder="1" applyAlignment="1">
      <alignment horizontal="right"/>
    </xf>
    <xf numFmtId="0" fontId="17" fillId="0" borderId="168" xfId="0" applyFont="1" applyBorder="1"/>
    <xf numFmtId="0" fontId="0" fillId="0" borderId="168" xfId="0" applyBorder="1"/>
    <xf numFmtId="0" fontId="59" fillId="0" borderId="0" xfId="0" applyFont="1" applyAlignment="1">
      <alignment horizontal="right"/>
    </xf>
    <xf numFmtId="3" fontId="59" fillId="0" borderId="0" xfId="0" applyNumberFormat="1" applyFont="1" applyAlignment="1">
      <alignment horizontal="right"/>
    </xf>
    <xf numFmtId="4" fontId="59" fillId="0" borderId="0" xfId="0" applyNumberFormat="1" applyFont="1" applyAlignment="1">
      <alignment horizontal="right"/>
    </xf>
    <xf numFmtId="0" fontId="0" fillId="0" borderId="169" xfId="0" applyBorder="1"/>
    <xf numFmtId="0" fontId="0" fillId="26" borderId="0" xfId="0" applyFill="1" applyAlignment="1">
      <alignment horizontal="center"/>
    </xf>
    <xf numFmtId="0" fontId="0" fillId="26" borderId="18" xfId="0" applyFill="1" applyBorder="1" applyAlignment="1">
      <alignment horizontal="center"/>
    </xf>
    <xf numFmtId="0" fontId="19" fillId="39" borderId="170" xfId="0" applyFont="1" applyFill="1" applyBorder="1" applyAlignment="1">
      <alignment horizontal="center" vertical="center"/>
    </xf>
    <xf numFmtId="0" fontId="19" fillId="0" borderId="151" xfId="0" applyFont="1" applyBorder="1" applyAlignment="1">
      <alignment horizontal="center" vertical="center"/>
    </xf>
    <xf numFmtId="0" fontId="19" fillId="40" borderId="151" xfId="0" applyFont="1" applyFill="1" applyBorder="1" applyAlignment="1">
      <alignment horizontal="center" wrapText="1"/>
    </xf>
    <xf numFmtId="0" fontId="19" fillId="42" borderId="151" xfId="0" applyFont="1" applyFill="1" applyBorder="1" applyAlignment="1">
      <alignment horizontal="center" vertical="center"/>
    </xf>
    <xf numFmtId="0" fontId="19" fillId="5" borderId="151" xfId="0" applyFont="1" applyFill="1" applyBorder="1" applyAlignment="1">
      <alignment horizontal="center" vertical="center"/>
    </xf>
    <xf numFmtId="0" fontId="65" fillId="0" borderId="151" xfId="0" applyFont="1" applyBorder="1" applyAlignment="1">
      <alignment horizontal="center" vertical="center"/>
    </xf>
    <xf numFmtId="0" fontId="0" fillId="0" borderId="151" xfId="0" applyBorder="1"/>
    <xf numFmtId="0" fontId="17" fillId="0" borderId="164" xfId="0" applyFont="1" applyBorder="1" applyAlignment="1">
      <alignment horizontal="right" wrapText="1"/>
    </xf>
    <xf numFmtId="0" fontId="17" fillId="0" borderId="172" xfId="0" applyFont="1" applyBorder="1" applyAlignment="1">
      <alignment horizontal="right" wrapText="1"/>
    </xf>
    <xf numFmtId="0" fontId="17" fillId="0" borderId="166" xfId="0" applyFont="1" applyBorder="1" applyAlignment="1">
      <alignment horizontal="right" wrapText="1"/>
    </xf>
    <xf numFmtId="0" fontId="17" fillId="0" borderId="173" xfId="0" applyFont="1" applyBorder="1" applyAlignment="1">
      <alignment horizontal="right" wrapText="1"/>
    </xf>
    <xf numFmtId="0" fontId="19" fillId="26" borderId="166" xfId="0" applyFont="1" applyFill="1" applyBorder="1" applyAlignment="1">
      <alignment horizontal="center" wrapText="1"/>
    </xf>
    <xf numFmtId="0" fontId="19" fillId="26" borderId="173" xfId="0" applyFont="1" applyFill="1" applyBorder="1" applyAlignment="1">
      <alignment horizontal="center" wrapText="1"/>
    </xf>
    <xf numFmtId="0" fontId="64" fillId="0" borderId="173" xfId="0" applyFont="1" applyBorder="1" applyAlignment="1">
      <alignment horizontal="right" wrapText="1"/>
    </xf>
    <xf numFmtId="0" fontId="17" fillId="0" borderId="167" xfId="0" applyFont="1" applyBorder="1" applyAlignment="1">
      <alignment horizontal="right" wrapText="1"/>
    </xf>
    <xf numFmtId="0" fontId="17" fillId="0" borderId="174" xfId="0" applyFont="1" applyBorder="1" applyAlignment="1">
      <alignment horizontal="right" wrapText="1"/>
    </xf>
    <xf numFmtId="0" fontId="59" fillId="0" borderId="173" xfId="0" applyFont="1" applyBorder="1" applyAlignment="1">
      <alignment horizontal="right" wrapText="1"/>
    </xf>
    <xf numFmtId="0" fontId="44" fillId="0" borderId="167" xfId="0" applyFont="1" applyBorder="1" applyAlignment="1">
      <alignment horizontal="right" wrapText="1"/>
    </xf>
    <xf numFmtId="0" fontId="65" fillId="0" borderId="166" xfId="0" applyFont="1" applyBorder="1" applyAlignment="1">
      <alignment wrapText="1"/>
    </xf>
    <xf numFmtId="0" fontId="65" fillId="0" borderId="173" xfId="0" applyFont="1" applyBorder="1" applyAlignment="1">
      <alignment wrapText="1"/>
    </xf>
    <xf numFmtId="0" fontId="0" fillId="0" borderId="166" xfId="0" applyBorder="1"/>
    <xf numFmtId="0" fontId="0" fillId="0" borderId="173" xfId="0" applyBorder="1"/>
    <xf numFmtId="0" fontId="62" fillId="37" borderId="176" xfId="0" applyFont="1" applyFill="1" applyBorder="1" applyAlignment="1">
      <alignment vertical="justify" wrapText="1"/>
    </xf>
    <xf numFmtId="0" fontId="62" fillId="37" borderId="177" xfId="0" applyFont="1" applyFill="1" applyBorder="1" applyAlignment="1">
      <alignment vertical="center" wrapText="1"/>
    </xf>
    <xf numFmtId="0" fontId="62" fillId="37" borderId="178" xfId="0" applyFont="1" applyFill="1" applyBorder="1" applyAlignment="1">
      <alignment vertical="center" wrapText="1"/>
    </xf>
    <xf numFmtId="0" fontId="62" fillId="37" borderId="176" xfId="0" applyFont="1" applyFill="1" applyBorder="1" applyAlignment="1">
      <alignment vertical="center" wrapText="1"/>
    </xf>
    <xf numFmtId="3" fontId="62" fillId="37" borderId="179" xfId="0" applyNumberFormat="1" applyFont="1" applyFill="1" applyBorder="1" applyAlignment="1">
      <alignment wrapText="1"/>
    </xf>
    <xf numFmtId="3" fontId="62" fillId="37" borderId="176" xfId="0" applyNumberFormat="1" applyFont="1" applyFill="1" applyBorder="1" applyAlignment="1">
      <alignment wrapText="1"/>
    </xf>
    <xf numFmtId="0" fontId="62" fillId="37" borderId="175" xfId="0" applyFont="1" applyFill="1" applyBorder="1" applyAlignment="1">
      <alignment horizontal="center" vertical="center" wrapText="1"/>
    </xf>
    <xf numFmtId="3" fontId="62" fillId="37" borderId="175" xfId="0" applyNumberFormat="1" applyFont="1" applyFill="1" applyBorder="1" applyAlignment="1">
      <alignment horizontal="center" vertical="center" wrapText="1"/>
    </xf>
    <xf numFmtId="3" fontId="62" fillId="37" borderId="180" xfId="0" applyNumberFormat="1" applyFont="1" applyFill="1" applyBorder="1" applyAlignment="1">
      <alignment wrapText="1"/>
    </xf>
    <xf numFmtId="3" fontId="62" fillId="37" borderId="181" xfId="0" applyNumberFormat="1" applyFont="1" applyFill="1" applyBorder="1" applyAlignment="1">
      <alignment wrapText="1"/>
    </xf>
    <xf numFmtId="0" fontId="62" fillId="37" borderId="184" xfId="0" applyFont="1" applyFill="1" applyBorder="1" applyAlignment="1">
      <alignment vertical="justify" wrapText="1"/>
    </xf>
    <xf numFmtId="0" fontId="62" fillId="37" borderId="185" xfId="0" applyFont="1" applyFill="1" applyBorder="1" applyAlignment="1">
      <alignment wrapText="1"/>
    </xf>
    <xf numFmtId="0" fontId="62" fillId="37" borderId="186" xfId="0" applyFont="1" applyFill="1" applyBorder="1" applyAlignment="1">
      <alignment wrapText="1"/>
    </xf>
    <xf numFmtId="0" fontId="62" fillId="37" borderId="184" xfId="0" applyFont="1" applyFill="1" applyBorder="1" applyAlignment="1">
      <alignment wrapText="1"/>
    </xf>
    <xf numFmtId="3" fontId="62" fillId="37" borderId="187" xfId="0" applyNumberFormat="1" applyFont="1" applyFill="1" applyBorder="1" applyAlignment="1">
      <alignment wrapText="1"/>
    </xf>
    <xf numFmtId="3" fontId="62" fillId="37" borderId="184" xfId="0" applyNumberFormat="1" applyFont="1" applyFill="1" applyBorder="1" applyAlignment="1">
      <alignment wrapText="1"/>
    </xf>
    <xf numFmtId="0" fontId="62" fillId="37" borderId="183" xfId="0" applyFont="1" applyFill="1" applyBorder="1" applyAlignment="1">
      <alignment horizontal="center" vertical="center" wrapText="1"/>
    </xf>
    <xf numFmtId="3" fontId="62" fillId="37" borderId="183" xfId="0" applyNumberFormat="1" applyFont="1" applyFill="1" applyBorder="1" applyAlignment="1">
      <alignment horizontal="center" vertical="center" wrapText="1"/>
    </xf>
    <xf numFmtId="3" fontId="60" fillId="37" borderId="188" xfId="0" applyNumberFormat="1" applyFont="1" applyFill="1" applyBorder="1" applyAlignment="1">
      <alignment wrapText="1"/>
    </xf>
    <xf numFmtId="3" fontId="62" fillId="37" borderId="189" xfId="0" applyNumberFormat="1" applyFont="1" applyFill="1" applyBorder="1" applyAlignment="1">
      <alignment wrapText="1"/>
    </xf>
    <xf numFmtId="0" fontId="62" fillId="37" borderId="90" xfId="0" applyFont="1" applyFill="1" applyBorder="1" applyAlignment="1">
      <alignment vertical="justify" wrapText="1"/>
    </xf>
    <xf numFmtId="0" fontId="62" fillId="37" borderId="133" xfId="0" applyFont="1" applyFill="1" applyBorder="1" applyAlignment="1">
      <alignment wrapText="1"/>
    </xf>
    <xf numFmtId="0" fontId="62" fillId="37" borderId="26" xfId="0" applyFont="1" applyFill="1" applyBorder="1" applyAlignment="1">
      <alignment wrapText="1"/>
    </xf>
    <xf numFmtId="0" fontId="62" fillId="37" borderId="90" xfId="0" applyFont="1" applyFill="1" applyBorder="1" applyAlignment="1">
      <alignment wrapText="1"/>
    </xf>
    <xf numFmtId="3" fontId="62" fillId="37" borderId="126" xfId="0" applyNumberFormat="1" applyFont="1" applyFill="1" applyBorder="1" applyAlignment="1">
      <alignment wrapText="1"/>
    </xf>
    <xf numFmtId="3" fontId="62" fillId="37" borderId="90" xfId="0" applyNumberFormat="1" applyFont="1" applyFill="1" applyBorder="1" applyAlignment="1">
      <alignment wrapText="1"/>
    </xf>
    <xf numFmtId="1" fontId="62" fillId="37" borderId="78" xfId="0" applyNumberFormat="1" applyFont="1" applyFill="1" applyBorder="1" applyAlignment="1">
      <alignment horizontal="center" vertical="center" wrapText="1"/>
    </xf>
    <xf numFmtId="3" fontId="62" fillId="37" borderId="127" xfId="0" applyNumberFormat="1" applyFont="1" applyFill="1" applyBorder="1" applyAlignment="1">
      <alignment wrapText="1"/>
    </xf>
    <xf numFmtId="3" fontId="62" fillId="37" borderId="191" xfId="0" applyNumberFormat="1" applyFont="1" applyFill="1" applyBorder="1" applyAlignment="1">
      <alignment wrapText="1"/>
    </xf>
    <xf numFmtId="0" fontId="62" fillId="12" borderId="91" xfId="0" applyFont="1" applyFill="1" applyBorder="1" applyAlignment="1">
      <alignment vertical="justify" wrapText="1"/>
    </xf>
    <xf numFmtId="0" fontId="62" fillId="12" borderId="21" xfId="0" applyFont="1" applyFill="1" applyBorder="1" applyAlignment="1">
      <alignment wrapText="1"/>
    </xf>
    <xf numFmtId="0" fontId="62" fillId="12" borderId="19" xfId="0" applyFont="1" applyFill="1" applyBorder="1" applyAlignment="1">
      <alignment wrapText="1"/>
    </xf>
    <xf numFmtId="0" fontId="62" fillId="12" borderId="91" xfId="0" applyFont="1" applyFill="1" applyBorder="1" applyAlignment="1">
      <alignment wrapText="1"/>
    </xf>
    <xf numFmtId="3" fontId="62" fillId="12" borderId="20" xfId="0" applyNumberFormat="1" applyFont="1" applyFill="1" applyBorder="1" applyAlignment="1">
      <alignment wrapText="1"/>
    </xf>
    <xf numFmtId="3" fontId="62" fillId="12" borderId="91" xfId="0" applyNumberFormat="1" applyFont="1" applyFill="1" applyBorder="1" applyAlignment="1">
      <alignment wrapText="1"/>
    </xf>
    <xf numFmtId="0" fontId="62" fillId="12" borderId="78" xfId="0" applyFont="1" applyFill="1" applyBorder="1" applyAlignment="1">
      <alignment horizontal="center" vertical="center" wrapText="1"/>
    </xf>
    <xf numFmtId="3" fontId="62" fillId="12" borderId="78" xfId="0" applyNumberFormat="1" applyFont="1" applyFill="1" applyBorder="1" applyAlignment="1">
      <alignment horizontal="center" vertical="center" wrapText="1"/>
    </xf>
    <xf numFmtId="3" fontId="62" fillId="12" borderId="115" xfId="0" applyNumberFormat="1" applyFont="1" applyFill="1" applyBorder="1" applyAlignment="1">
      <alignment wrapText="1"/>
    </xf>
    <xf numFmtId="3" fontId="62" fillId="12" borderId="114" xfId="0" applyNumberFormat="1" applyFont="1" applyFill="1" applyBorder="1" applyAlignment="1">
      <alignment wrapText="1"/>
    </xf>
    <xf numFmtId="3" fontId="62" fillId="12" borderId="112" xfId="0" applyNumberFormat="1" applyFont="1" applyFill="1" applyBorder="1" applyAlignment="1">
      <alignment wrapText="1"/>
    </xf>
    <xf numFmtId="3" fontId="62" fillId="12" borderId="113" xfId="0" applyNumberFormat="1" applyFont="1" applyFill="1" applyBorder="1" applyAlignment="1">
      <alignment wrapText="1"/>
    </xf>
    <xf numFmtId="3" fontId="62" fillId="12" borderId="116" xfId="0" applyNumberFormat="1" applyFont="1" applyFill="1" applyBorder="1" applyAlignment="1">
      <alignment wrapText="1"/>
    </xf>
    <xf numFmtId="0" fontId="63" fillId="29" borderId="30" xfId="0" applyFont="1" applyFill="1" applyBorder="1" applyAlignment="1">
      <alignment horizontal="center" vertical="center" wrapText="1"/>
    </xf>
    <xf numFmtId="0" fontId="63" fillId="29" borderId="78" xfId="0" applyFont="1" applyFill="1" applyBorder="1" applyAlignment="1">
      <alignment horizontal="center" vertical="center" wrapText="1"/>
    </xf>
    <xf numFmtId="0" fontId="63" fillId="29" borderId="78" xfId="0" applyFont="1" applyFill="1" applyBorder="1" applyAlignment="1">
      <alignment horizontal="center" vertical="justify" wrapText="1"/>
    </xf>
    <xf numFmtId="0" fontId="63" fillId="29" borderId="124" xfId="0" applyFont="1" applyFill="1" applyBorder="1" applyAlignment="1">
      <alignment horizontal="center" vertical="center" wrapText="1"/>
    </xf>
    <xf numFmtId="3" fontId="63" fillId="29" borderId="0" xfId="0" applyNumberFormat="1" applyFont="1" applyFill="1" applyAlignment="1">
      <alignment horizontal="center" vertical="center" wrapText="1"/>
    </xf>
    <xf numFmtId="3" fontId="63" fillId="29" borderId="78" xfId="0" applyNumberFormat="1" applyFont="1" applyFill="1" applyBorder="1" applyAlignment="1">
      <alignment horizontal="center" vertical="center" wrapText="1"/>
    </xf>
    <xf numFmtId="0" fontId="63" fillId="29" borderId="86" xfId="0" applyFont="1" applyFill="1" applyBorder="1" applyAlignment="1">
      <alignment horizontal="center" vertical="center" wrapText="1"/>
    </xf>
    <xf numFmtId="3" fontId="63" fillId="29" borderId="86" xfId="0" applyNumberFormat="1" applyFont="1" applyFill="1" applyBorder="1" applyAlignment="1">
      <alignment horizontal="center" vertical="center" wrapText="1"/>
    </xf>
    <xf numFmtId="0" fontId="62" fillId="12" borderId="176" xfId="0" applyFont="1" applyFill="1" applyBorder="1" applyAlignment="1">
      <alignment vertical="justify" wrapText="1"/>
    </xf>
    <xf numFmtId="0" fontId="62" fillId="12" borderId="177" xfId="0" applyFont="1" applyFill="1" applyBorder="1" applyAlignment="1">
      <alignment wrapText="1"/>
    </xf>
    <xf numFmtId="0" fontId="62" fillId="12" borderId="178" xfId="0" applyFont="1" applyFill="1" applyBorder="1" applyAlignment="1">
      <alignment wrapText="1"/>
    </xf>
    <xf numFmtId="0" fontId="62" fillId="12" borderId="176" xfId="0" applyFont="1" applyFill="1" applyBorder="1" applyAlignment="1">
      <alignment wrapText="1"/>
    </xf>
    <xf numFmtId="3" fontId="62" fillId="12" borderId="179" xfId="0" applyNumberFormat="1" applyFont="1" applyFill="1" applyBorder="1" applyAlignment="1">
      <alignment wrapText="1"/>
    </xf>
    <xf numFmtId="3" fontId="62" fillId="12" borderId="176" xfId="0" applyNumberFormat="1" applyFont="1" applyFill="1" applyBorder="1" applyAlignment="1">
      <alignment wrapText="1"/>
    </xf>
    <xf numFmtId="0" fontId="62" fillId="12" borderId="175" xfId="0" applyFont="1" applyFill="1" applyBorder="1" applyAlignment="1">
      <alignment horizontal="center" vertical="center" wrapText="1"/>
    </xf>
    <xf numFmtId="3" fontId="62" fillId="12" borderId="175" xfId="0" applyNumberFormat="1" applyFont="1" applyFill="1" applyBorder="1" applyAlignment="1">
      <alignment horizontal="center" vertical="center" wrapText="1"/>
    </xf>
    <xf numFmtId="3" fontId="62" fillId="12" borderId="180" xfId="0" applyNumberFormat="1" applyFont="1" applyFill="1" applyBorder="1" applyAlignment="1">
      <alignment wrapText="1"/>
    </xf>
    <xf numFmtId="3" fontId="62" fillId="12" borderId="181" xfId="0" applyNumberFormat="1" applyFont="1" applyFill="1" applyBorder="1" applyAlignment="1">
      <alignment wrapText="1"/>
    </xf>
    <xf numFmtId="0" fontId="0" fillId="12" borderId="165" xfId="0" applyFill="1" applyBorder="1"/>
    <xf numFmtId="0" fontId="62" fillId="12" borderId="184" xfId="0" applyFont="1" applyFill="1" applyBorder="1" applyAlignment="1">
      <alignment vertical="justify" wrapText="1"/>
    </xf>
    <xf numFmtId="0" fontId="62" fillId="12" borderId="185" xfId="0" applyFont="1" applyFill="1" applyBorder="1" applyAlignment="1">
      <alignment wrapText="1"/>
    </xf>
    <xf numFmtId="0" fontId="62" fillId="12" borderId="186" xfId="0" applyFont="1" applyFill="1" applyBorder="1" applyAlignment="1">
      <alignment wrapText="1"/>
    </xf>
    <xf numFmtId="0" fontId="62" fillId="12" borderId="184" xfId="0" applyFont="1" applyFill="1" applyBorder="1" applyAlignment="1">
      <alignment wrapText="1"/>
    </xf>
    <xf numFmtId="3" fontId="62" fillId="12" borderId="187" xfId="0" applyNumberFormat="1" applyFont="1" applyFill="1" applyBorder="1" applyAlignment="1">
      <alignment wrapText="1"/>
    </xf>
    <xf numFmtId="3" fontId="62" fillId="12" borderId="184" xfId="0" applyNumberFormat="1" applyFont="1" applyFill="1" applyBorder="1" applyAlignment="1">
      <alignment wrapText="1"/>
    </xf>
    <xf numFmtId="0" fontId="0" fillId="12" borderId="168" xfId="0" applyFill="1" applyBorder="1"/>
    <xf numFmtId="0" fontId="63" fillId="29" borderId="18" xfId="0" applyFont="1" applyFill="1" applyBorder="1" applyAlignment="1">
      <alignment horizontal="center" vertical="center" wrapText="1"/>
    </xf>
    <xf numFmtId="0" fontId="63" fillId="29" borderId="0" xfId="0" applyFont="1" applyFill="1" applyAlignment="1">
      <alignment horizontal="center" vertical="center" wrapText="1"/>
    </xf>
    <xf numFmtId="3" fontId="63" fillId="29" borderId="170" xfId="0" applyNumberFormat="1" applyFont="1" applyFill="1" applyBorder="1" applyAlignment="1">
      <alignment horizontal="center" vertical="center" wrapText="1"/>
    </xf>
    <xf numFmtId="3" fontId="63" fillId="29" borderId="151" xfId="0" applyNumberFormat="1" applyFont="1" applyFill="1" applyBorder="1" applyAlignment="1">
      <alignment horizontal="center" vertical="center" wrapText="1"/>
    </xf>
    <xf numFmtId="0" fontId="19" fillId="11" borderId="141" xfId="0" applyFont="1" applyFill="1" applyBorder="1" applyAlignment="1">
      <alignment horizontal="center" vertical="center"/>
    </xf>
    <xf numFmtId="0" fontId="63" fillId="11" borderId="86" xfId="0" applyFont="1" applyFill="1" applyBorder="1" applyAlignment="1">
      <alignment horizontal="center" vertical="center" wrapText="1"/>
    </xf>
    <xf numFmtId="0" fontId="62" fillId="11" borderId="0" xfId="0" applyFont="1" applyFill="1" applyAlignment="1">
      <alignment vertical="justify" wrapText="1"/>
    </xf>
    <xf numFmtId="0" fontId="62" fillId="11" borderId="0" xfId="0" applyFont="1" applyFill="1" applyAlignment="1">
      <alignment wrapText="1"/>
    </xf>
    <xf numFmtId="3" fontId="62" fillId="11" borderId="0" xfId="0" applyNumberFormat="1" applyFont="1" applyFill="1" applyAlignment="1">
      <alignment wrapText="1"/>
    </xf>
    <xf numFmtId="3" fontId="62" fillId="11" borderId="86" xfId="0" applyNumberFormat="1" applyFont="1" applyFill="1" applyBorder="1" applyAlignment="1">
      <alignment horizontal="center" vertical="center" wrapText="1"/>
    </xf>
    <xf numFmtId="0" fontId="0" fillId="11" borderId="0" xfId="0" applyFill="1" applyAlignment="1">
      <alignment horizontal="center" vertical="center"/>
    </xf>
    <xf numFmtId="0" fontId="62" fillId="11" borderId="0" xfId="0" applyFont="1" applyFill="1" applyAlignment="1">
      <alignment horizontal="center" vertical="center" wrapText="1"/>
    </xf>
    <xf numFmtId="3" fontId="62" fillId="11" borderId="141" xfId="0" applyNumberFormat="1" applyFont="1" applyFill="1" applyBorder="1" applyAlignment="1">
      <alignment horizontal="center" vertical="center" wrapText="1"/>
    </xf>
    <xf numFmtId="3" fontId="62" fillId="11" borderId="86" xfId="0" applyNumberFormat="1" applyFont="1" applyFill="1" applyBorder="1" applyAlignment="1">
      <alignment wrapText="1"/>
    </xf>
    <xf numFmtId="3" fontId="62" fillId="11" borderId="0" xfId="0" applyNumberFormat="1" applyFont="1" applyFill="1" applyAlignment="1">
      <alignment horizontal="center" vertical="center" wrapText="1"/>
    </xf>
    <xf numFmtId="3" fontId="0" fillId="11" borderId="80" xfId="0" applyNumberFormat="1" applyFill="1" applyBorder="1" applyAlignment="1">
      <alignment horizontal="center" vertical="center"/>
    </xf>
    <xf numFmtId="0" fontId="0" fillId="11" borderId="11" xfId="0" applyFill="1" applyBorder="1"/>
    <xf numFmtId="0" fontId="0" fillId="11" borderId="40" xfId="0" applyFill="1" applyBorder="1"/>
    <xf numFmtId="3" fontId="0" fillId="11" borderId="143" xfId="0" applyNumberFormat="1" applyFill="1" applyBorder="1"/>
    <xf numFmtId="3" fontId="0" fillId="11" borderId="132" xfId="0" applyNumberFormat="1" applyFill="1" applyBorder="1"/>
    <xf numFmtId="3" fontId="0" fillId="11" borderId="132" xfId="0" applyNumberFormat="1" applyFill="1" applyBorder="1" applyAlignment="1">
      <alignment horizontal="center" vertical="center"/>
    </xf>
    <xf numFmtId="0" fontId="0" fillId="26" borderId="11" xfId="0" applyFill="1" applyBorder="1"/>
    <xf numFmtId="0" fontId="0" fillId="26" borderId="40" xfId="0" applyFill="1" applyBorder="1"/>
    <xf numFmtId="3" fontId="19" fillId="26" borderId="80" xfId="0" applyNumberFormat="1" applyFont="1" applyFill="1" applyBorder="1" applyAlignment="1">
      <alignment horizontal="center" vertical="center"/>
    </xf>
    <xf numFmtId="3" fontId="19" fillId="26" borderId="11" xfId="0" applyNumberFormat="1" applyFont="1" applyFill="1" applyBorder="1"/>
    <xf numFmtId="0" fontId="0" fillId="11" borderId="132" xfId="0" applyFill="1" applyBorder="1"/>
    <xf numFmtId="0" fontId="62" fillId="0" borderId="30" xfId="0" applyFont="1" applyBorder="1" applyAlignment="1">
      <alignment wrapText="1"/>
    </xf>
    <xf numFmtId="0" fontId="62" fillId="0" borderId="78" xfId="0" applyFont="1" applyBorder="1" applyAlignment="1">
      <alignment wrapText="1"/>
    </xf>
    <xf numFmtId="0" fontId="62" fillId="0" borderId="78" xfId="0" applyFont="1" applyBorder="1" applyAlignment="1">
      <alignment vertical="justify" wrapText="1"/>
    </xf>
    <xf numFmtId="0" fontId="62" fillId="0" borderId="124" xfId="0" applyFont="1" applyBorder="1" applyAlignment="1">
      <alignment wrapText="1"/>
    </xf>
    <xf numFmtId="3" fontId="62" fillId="0" borderId="80" xfId="0" applyNumberFormat="1" applyFont="1" applyBorder="1" applyAlignment="1">
      <alignment horizontal="center" wrapText="1"/>
    </xf>
    <xf numFmtId="0" fontId="62" fillId="26" borderId="156" xfId="0" applyFont="1" applyFill="1" applyBorder="1" applyAlignment="1">
      <alignment wrapText="1"/>
    </xf>
    <xf numFmtId="0" fontId="62" fillId="26" borderId="159" xfId="0" applyFont="1" applyFill="1" applyBorder="1" applyAlignment="1">
      <alignment wrapText="1"/>
    </xf>
    <xf numFmtId="0" fontId="62" fillId="26" borderId="159" xfId="0" applyFont="1" applyFill="1" applyBorder="1" applyAlignment="1">
      <alignment vertical="justify" wrapText="1"/>
    </xf>
    <xf numFmtId="0" fontId="62" fillId="26" borderId="199" xfId="0" applyFont="1" applyFill="1" applyBorder="1" applyAlignment="1">
      <alignment wrapText="1"/>
    </xf>
    <xf numFmtId="0" fontId="62" fillId="26" borderId="200" xfId="0" applyFont="1" applyFill="1" applyBorder="1" applyAlignment="1">
      <alignment wrapText="1"/>
    </xf>
    <xf numFmtId="3" fontId="62" fillId="26" borderId="158" xfId="0" applyNumberFormat="1" applyFont="1" applyFill="1" applyBorder="1" applyAlignment="1">
      <alignment wrapText="1"/>
    </xf>
    <xf numFmtId="3" fontId="62" fillId="26" borderId="159" xfId="0" applyNumberFormat="1" applyFont="1" applyFill="1" applyBorder="1" applyAlignment="1">
      <alignment wrapText="1"/>
    </xf>
    <xf numFmtId="3" fontId="62" fillId="26" borderId="159" xfId="0" applyNumberFormat="1" applyFont="1" applyFill="1" applyBorder="1" applyAlignment="1">
      <alignment horizontal="center" vertical="center" wrapText="1"/>
    </xf>
    <xf numFmtId="0" fontId="62" fillId="26" borderId="157" xfId="0" applyFont="1" applyFill="1" applyBorder="1" applyAlignment="1">
      <alignment wrapText="1"/>
    </xf>
    <xf numFmtId="3" fontId="62" fillId="26" borderId="157" xfId="0" applyNumberFormat="1" applyFont="1" applyFill="1" applyBorder="1" applyAlignment="1">
      <alignment wrapText="1"/>
    </xf>
    <xf numFmtId="3" fontId="62" fillId="26" borderId="157" xfId="0" applyNumberFormat="1" applyFont="1" applyFill="1" applyBorder="1" applyAlignment="1">
      <alignment horizontal="center" vertical="center" wrapText="1"/>
    </xf>
    <xf numFmtId="0" fontId="0" fillId="26" borderId="158" xfId="0" applyFill="1" applyBorder="1"/>
    <xf numFmtId="0" fontId="19" fillId="26" borderId="201" xfId="0" applyFont="1" applyFill="1" applyBorder="1" applyAlignment="1">
      <alignment horizontal="center" vertical="center"/>
    </xf>
    <xf numFmtId="0" fontId="63" fillId="26" borderId="157" xfId="0" applyFont="1" applyFill="1" applyBorder="1" applyAlignment="1">
      <alignment horizontal="center" vertical="center" wrapText="1"/>
    </xf>
    <xf numFmtId="0" fontId="63" fillId="26" borderId="158" xfId="0" applyFont="1" applyFill="1" applyBorder="1" applyAlignment="1">
      <alignment vertical="justify" wrapText="1"/>
    </xf>
    <xf numFmtId="0" fontId="63" fillId="26" borderId="158" xfId="0" applyFont="1" applyFill="1" applyBorder="1" applyAlignment="1">
      <alignment wrapText="1"/>
    </xf>
    <xf numFmtId="3" fontId="63" fillId="26" borderId="158" xfId="0" applyNumberFormat="1" applyFont="1" applyFill="1" applyBorder="1" applyAlignment="1">
      <alignment wrapText="1"/>
    </xf>
    <xf numFmtId="3" fontId="63" fillId="26" borderId="157" xfId="0" applyNumberFormat="1" applyFont="1" applyFill="1" applyBorder="1" applyAlignment="1">
      <alignment horizontal="center" vertical="center" wrapText="1"/>
    </xf>
    <xf numFmtId="3" fontId="19" fillId="26" borderId="158" xfId="0" applyNumberFormat="1" applyFont="1" applyFill="1" applyBorder="1" applyAlignment="1">
      <alignment horizontal="center" vertical="center"/>
    </xf>
    <xf numFmtId="0" fontId="19" fillId="26" borderId="158" xfId="0" applyFont="1" applyFill="1" applyBorder="1" applyAlignment="1">
      <alignment horizontal="center" vertical="center"/>
    </xf>
    <xf numFmtId="0" fontId="63" fillId="26" borderId="158" xfId="0" applyFont="1" applyFill="1" applyBorder="1" applyAlignment="1">
      <alignment horizontal="center" vertical="center" wrapText="1"/>
    </xf>
    <xf numFmtId="3" fontId="63" fillId="26" borderId="161" xfId="0" applyNumberFormat="1" applyFont="1" applyFill="1" applyBorder="1" applyAlignment="1">
      <alignment horizontal="center" vertical="center" wrapText="1"/>
    </xf>
    <xf numFmtId="3" fontId="63" fillId="26" borderId="157" xfId="0" applyNumberFormat="1" applyFont="1" applyFill="1" applyBorder="1" applyAlignment="1">
      <alignment wrapText="1"/>
    </xf>
    <xf numFmtId="3" fontId="63" fillId="26" borderId="158" xfId="0" applyNumberFormat="1" applyFont="1" applyFill="1" applyBorder="1" applyAlignment="1">
      <alignment horizontal="center" vertical="center" wrapText="1"/>
    </xf>
    <xf numFmtId="0" fontId="19" fillId="26" borderId="158" xfId="0" applyFont="1" applyFill="1" applyBorder="1"/>
    <xf numFmtId="3" fontId="63" fillId="26" borderId="156" xfId="0" applyNumberFormat="1" applyFont="1" applyFill="1" applyBorder="1" applyAlignment="1">
      <alignment horizontal="center" vertical="center" wrapText="1"/>
    </xf>
    <xf numFmtId="0" fontId="19" fillId="26" borderId="166" xfId="0" applyFont="1" applyFill="1" applyBorder="1" applyAlignment="1">
      <alignment horizontal="center"/>
    </xf>
    <xf numFmtId="3" fontId="63" fillId="29" borderId="203" xfId="0" applyNumberFormat="1" applyFont="1" applyFill="1" applyBorder="1" applyAlignment="1">
      <alignment horizontal="center" vertical="center" wrapText="1"/>
    </xf>
    <xf numFmtId="3" fontId="62" fillId="37" borderId="204" xfId="0" applyNumberFormat="1" applyFont="1" applyFill="1" applyBorder="1" applyAlignment="1">
      <alignment horizontal="center" vertical="center" wrapText="1"/>
    </xf>
    <xf numFmtId="3" fontId="62" fillId="37" borderId="166" xfId="0" applyNumberFormat="1" applyFont="1" applyFill="1" applyBorder="1" applyAlignment="1">
      <alignment horizontal="center" vertical="center" wrapText="1"/>
    </xf>
    <xf numFmtId="3" fontId="63" fillId="29" borderId="166" xfId="0" applyNumberFormat="1" applyFont="1" applyFill="1" applyBorder="1" applyAlignment="1">
      <alignment horizontal="center" vertical="center" wrapText="1"/>
    </xf>
    <xf numFmtId="3" fontId="62" fillId="11" borderId="166" xfId="0" applyNumberFormat="1" applyFont="1" applyFill="1" applyBorder="1" applyAlignment="1">
      <alignment horizontal="center" vertical="center" wrapText="1"/>
    </xf>
    <xf numFmtId="3" fontId="0" fillId="0" borderId="203" xfId="0" applyNumberFormat="1" applyBorder="1" applyAlignment="1">
      <alignment horizontal="center" vertical="center"/>
    </xf>
    <xf numFmtId="3" fontId="0" fillId="0" borderId="166" xfId="0" applyNumberFormat="1" applyBorder="1" applyAlignment="1">
      <alignment horizontal="center" vertical="center"/>
    </xf>
    <xf numFmtId="3" fontId="0" fillId="0" borderId="206" xfId="0" applyNumberFormat="1" applyBorder="1" applyAlignment="1">
      <alignment horizontal="center" vertical="center"/>
    </xf>
    <xf numFmtId="3" fontId="0" fillId="11" borderId="206" xfId="0" applyNumberFormat="1" applyFill="1" applyBorder="1" applyAlignment="1">
      <alignment horizontal="center" vertical="center"/>
    </xf>
    <xf numFmtId="3" fontId="0" fillId="26" borderId="207" xfId="0" applyNumberFormat="1" applyFill="1" applyBorder="1" applyAlignment="1">
      <alignment horizontal="center" vertical="center"/>
    </xf>
    <xf numFmtId="3" fontId="0" fillId="22" borderId="166" xfId="0" applyNumberFormat="1" applyFill="1" applyBorder="1" applyAlignment="1">
      <alignment horizontal="center" vertical="center"/>
    </xf>
    <xf numFmtId="3" fontId="19" fillId="26" borderId="156" xfId="0" applyNumberFormat="1" applyFont="1" applyFill="1" applyBorder="1" applyAlignment="1">
      <alignment horizontal="right" vertical="center"/>
    </xf>
    <xf numFmtId="3" fontId="19" fillId="26" borderId="207" xfId="0" applyNumberFormat="1" applyFont="1" applyFill="1" applyBorder="1" applyAlignment="1">
      <alignment horizontal="center" vertical="center"/>
    </xf>
    <xf numFmtId="3" fontId="0" fillId="11" borderId="166" xfId="0" applyNumberFormat="1" applyFill="1" applyBorder="1" applyAlignment="1">
      <alignment horizontal="center" vertical="center"/>
    </xf>
    <xf numFmtId="0" fontId="0" fillId="26" borderId="147" xfId="0" applyFill="1" applyBorder="1"/>
    <xf numFmtId="0" fontId="0" fillId="12" borderId="170" xfId="0" applyFill="1" applyBorder="1"/>
    <xf numFmtId="0" fontId="0" fillId="12" borderId="151" xfId="0" applyFill="1" applyBorder="1"/>
    <xf numFmtId="0" fontId="0" fillId="12" borderId="171" xfId="0" applyFill="1" applyBorder="1"/>
    <xf numFmtId="0" fontId="19" fillId="26" borderId="147" xfId="0" applyFont="1" applyFill="1" applyBorder="1"/>
    <xf numFmtId="0" fontId="0" fillId="11" borderId="151" xfId="0" applyFill="1" applyBorder="1"/>
    <xf numFmtId="0" fontId="0" fillId="0" borderId="149" xfId="0" applyBorder="1"/>
    <xf numFmtId="0" fontId="0" fillId="0" borderId="197" xfId="0" applyBorder="1"/>
    <xf numFmtId="0" fontId="0" fillId="11" borderId="197" xfId="0" applyFill="1" applyBorder="1"/>
    <xf numFmtId="0" fontId="0" fillId="26" borderId="153" xfId="0" applyFill="1" applyBorder="1"/>
    <xf numFmtId="0" fontId="0" fillId="22" borderId="151" xfId="0" applyFill="1" applyBorder="1"/>
    <xf numFmtId="3" fontId="0" fillId="0" borderId="151" xfId="0" applyNumberFormat="1" applyBorder="1"/>
    <xf numFmtId="0" fontId="19" fillId="26" borderId="147" xfId="0" applyFont="1" applyFill="1" applyBorder="1" applyAlignment="1">
      <alignment horizontal="right"/>
    </xf>
    <xf numFmtId="0" fontId="19" fillId="26" borderId="153" xfId="0" applyFont="1" applyFill="1" applyBorder="1"/>
    <xf numFmtId="0" fontId="0" fillId="26" borderId="156" xfId="0" applyFill="1" applyBorder="1"/>
    <xf numFmtId="0" fontId="0" fillId="12" borderId="164" xfId="0" applyFill="1" applyBorder="1"/>
    <xf numFmtId="0" fontId="0" fillId="12" borderId="166" xfId="0" applyFill="1" applyBorder="1"/>
    <xf numFmtId="0" fontId="0" fillId="12" borderId="167" xfId="0" applyFill="1" applyBorder="1"/>
    <xf numFmtId="0" fontId="19" fillId="26" borderId="156" xfId="0" applyFont="1" applyFill="1" applyBorder="1"/>
    <xf numFmtId="0" fontId="0" fillId="11" borderId="166" xfId="0" applyFill="1" applyBorder="1"/>
    <xf numFmtId="0" fontId="0" fillId="0" borderId="203" xfId="0" applyBorder="1"/>
    <xf numFmtId="0" fontId="0" fillId="0" borderId="206" xfId="0" applyBorder="1"/>
    <xf numFmtId="0" fontId="0" fillId="11" borderId="206" xfId="0" applyFill="1" applyBorder="1"/>
    <xf numFmtId="0" fontId="0" fillId="26" borderId="207" xfId="0" applyFill="1" applyBorder="1"/>
    <xf numFmtId="0" fontId="0" fillId="22" borderId="166" xfId="0" applyFill="1" applyBorder="1"/>
    <xf numFmtId="0" fontId="19" fillId="26" borderId="207" xfId="0" applyFont="1" applyFill="1" applyBorder="1"/>
    <xf numFmtId="1" fontId="19" fillId="26" borderId="160" xfId="0" applyNumberFormat="1" applyFont="1" applyFill="1" applyBorder="1"/>
    <xf numFmtId="3" fontId="0" fillId="26" borderId="157" xfId="0" applyNumberFormat="1" applyFill="1" applyBorder="1"/>
    <xf numFmtId="3" fontId="19" fillId="22" borderId="86" xfId="0" applyNumberFormat="1" applyFont="1" applyFill="1" applyBorder="1"/>
    <xf numFmtId="3" fontId="19" fillId="11" borderId="11" xfId="0" applyNumberFormat="1" applyFont="1" applyFill="1" applyBorder="1"/>
    <xf numFmtId="3" fontId="19" fillId="26" borderId="143" xfId="0" applyNumberFormat="1" applyFont="1" applyFill="1" applyBorder="1" applyAlignment="1">
      <alignment horizontal="center" vertical="center"/>
    </xf>
    <xf numFmtId="3" fontId="19" fillId="26" borderId="142" xfId="0" applyNumberFormat="1" applyFont="1" applyFill="1" applyBorder="1" applyAlignment="1">
      <alignment horizontal="center" vertical="center"/>
    </xf>
    <xf numFmtId="3" fontId="17" fillId="22" borderId="141" xfId="0" applyNumberFormat="1" applyFont="1" applyFill="1" applyBorder="1" applyAlignment="1">
      <alignment horizontal="left" vertical="center"/>
    </xf>
    <xf numFmtId="3" fontId="17" fillId="0" borderId="141" xfId="0" applyNumberFormat="1" applyFont="1" applyBorder="1" applyAlignment="1">
      <alignment horizontal="left" vertical="center"/>
    </xf>
    <xf numFmtId="3" fontId="19" fillId="26" borderId="161" xfId="0" applyNumberFormat="1" applyFont="1" applyFill="1" applyBorder="1" applyAlignment="1">
      <alignment horizontal="right" vertical="center"/>
    </xf>
    <xf numFmtId="3" fontId="19" fillId="26" borderId="142" xfId="0" applyNumberFormat="1" applyFont="1" applyFill="1" applyBorder="1" applyAlignment="1">
      <alignment horizontal="left" vertical="center"/>
    </xf>
    <xf numFmtId="0" fontId="63" fillId="11" borderId="28" xfId="0" applyFont="1" applyFill="1" applyBorder="1" applyAlignment="1">
      <alignment horizontal="center" vertical="center" wrapText="1"/>
    </xf>
    <xf numFmtId="0" fontId="62" fillId="11" borderId="86" xfId="0" applyFont="1" applyFill="1" applyBorder="1" applyAlignment="1">
      <alignment vertical="justify" wrapText="1"/>
    </xf>
    <xf numFmtId="0" fontId="62" fillId="11" borderId="151" xfId="0" applyFont="1" applyFill="1" applyBorder="1" applyAlignment="1">
      <alignment wrapText="1"/>
    </xf>
    <xf numFmtId="3" fontId="0" fillId="11" borderId="11" xfId="0" applyNumberFormat="1" applyFill="1" applyBorder="1" applyAlignment="1">
      <alignment horizontal="center" vertical="center"/>
    </xf>
    <xf numFmtId="3" fontId="0" fillId="11" borderId="147" xfId="0" applyNumberFormat="1" applyFill="1" applyBorder="1"/>
    <xf numFmtId="3" fontId="3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5" fillId="10" borderId="0" xfId="0" applyNumberFormat="1" applyFont="1" applyFill="1" applyAlignment="1">
      <alignment horizontal="right"/>
    </xf>
    <xf numFmtId="3" fontId="10" fillId="12" borderId="0" xfId="0" applyNumberFormat="1" applyFont="1" applyFill="1"/>
    <xf numFmtId="10" fontId="6" fillId="0" borderId="0" xfId="0" applyNumberFormat="1" applyFont="1"/>
    <xf numFmtId="0" fontId="3" fillId="0" borderId="170" xfId="0" applyFont="1" applyBorder="1"/>
    <xf numFmtId="3" fontId="5" fillId="0" borderId="151" xfId="0" applyNumberFormat="1" applyFont="1" applyBorder="1" applyAlignment="1">
      <alignment horizontal="right"/>
    </xf>
    <xf numFmtId="0" fontId="4" fillId="0" borderId="151" xfId="0" applyFont="1" applyBorder="1"/>
    <xf numFmtId="0" fontId="4" fillId="10" borderId="151" xfId="0" applyFont="1" applyFill="1" applyBorder="1"/>
    <xf numFmtId="0" fontId="11" fillId="0" borderId="151" xfId="0" applyFont="1" applyBorder="1"/>
    <xf numFmtId="0" fontId="4" fillId="12" borderId="151" xfId="0" applyFont="1" applyFill="1" applyBorder="1"/>
    <xf numFmtId="0" fontId="13" fillId="0" borderId="151" xfId="0" applyFont="1" applyBorder="1"/>
    <xf numFmtId="0" fontId="10" fillId="0" borderId="151" xfId="0" applyFont="1" applyBorder="1"/>
    <xf numFmtId="0" fontId="3" fillId="0" borderId="151" xfId="0" applyFont="1" applyBorder="1"/>
    <xf numFmtId="3" fontId="38" fillId="0" borderId="151" xfId="0" applyNumberFormat="1" applyFont="1" applyBorder="1" applyAlignment="1">
      <alignment horizontal="center"/>
    </xf>
    <xf numFmtId="0" fontId="3" fillId="0" borderId="151" xfId="0" applyFont="1" applyBorder="1" applyAlignment="1">
      <alignment horizontal="center"/>
    </xf>
    <xf numFmtId="3" fontId="3" fillId="0" borderId="151" xfId="0" applyNumberFormat="1" applyFont="1" applyBorder="1"/>
    <xf numFmtId="3" fontId="10" fillId="12" borderId="151" xfId="0" applyNumberFormat="1" applyFont="1" applyFill="1" applyBorder="1"/>
    <xf numFmtId="10" fontId="6" fillId="0" borderId="151" xfId="0" applyNumberFormat="1" applyFont="1" applyBorder="1"/>
    <xf numFmtId="0" fontId="3" fillId="0" borderId="166" xfId="0" applyFont="1" applyBorder="1"/>
    <xf numFmtId="3" fontId="38" fillId="0" borderId="166" xfId="0" applyNumberFormat="1" applyFont="1" applyBorder="1" applyAlignment="1">
      <alignment horizontal="center"/>
    </xf>
    <xf numFmtId="0" fontId="3" fillId="0" borderId="166" xfId="0" applyFont="1" applyBorder="1" applyAlignment="1">
      <alignment horizontal="center"/>
    </xf>
    <xf numFmtId="3" fontId="5" fillId="10" borderId="166" xfId="0" applyNumberFormat="1" applyFont="1" applyFill="1" applyBorder="1" applyAlignment="1">
      <alignment horizontal="right"/>
    </xf>
    <xf numFmtId="0" fontId="10" fillId="0" borderId="166" xfId="0" applyFont="1" applyBorder="1"/>
    <xf numFmtId="3" fontId="3" fillId="0" borderId="166" xfId="0" applyNumberFormat="1" applyFont="1" applyBorder="1"/>
    <xf numFmtId="3" fontId="10" fillId="12" borderId="166" xfId="0" applyNumberFormat="1" applyFont="1" applyFill="1" applyBorder="1"/>
    <xf numFmtId="10" fontId="6" fillId="0" borderId="166" xfId="0" applyNumberFormat="1" applyFont="1" applyBorder="1"/>
    <xf numFmtId="3" fontId="62" fillId="37" borderId="204" xfId="0" applyNumberFormat="1" applyFont="1" applyFill="1" applyBorder="1" applyAlignment="1">
      <alignment vertical="center" wrapText="1"/>
    </xf>
    <xf numFmtId="3" fontId="62" fillId="37" borderId="166" xfId="0" applyNumberFormat="1" applyFont="1" applyFill="1" applyBorder="1" applyAlignment="1">
      <alignment vertical="center" wrapText="1"/>
    </xf>
    <xf numFmtId="3" fontId="62" fillId="37" borderId="205" xfId="0" applyNumberFormat="1" applyFont="1" applyFill="1" applyBorder="1" applyAlignment="1">
      <alignment vertical="center" wrapText="1"/>
    </xf>
    <xf numFmtId="3" fontId="62" fillId="37" borderId="164" xfId="0" applyNumberFormat="1" applyFont="1" applyFill="1" applyBorder="1" applyAlignment="1">
      <alignment vertical="center" wrapText="1"/>
    </xf>
    <xf numFmtId="3" fontId="62" fillId="37" borderId="167" xfId="0" applyNumberFormat="1" applyFont="1" applyFill="1" applyBorder="1" applyAlignment="1">
      <alignment vertical="center" wrapText="1"/>
    </xf>
    <xf numFmtId="4" fontId="3" fillId="0" borderId="166" xfId="0" applyNumberFormat="1" applyFont="1" applyBorder="1"/>
    <xf numFmtId="0" fontId="19" fillId="43" borderId="163" xfId="0" applyFont="1" applyFill="1" applyBorder="1" applyAlignment="1">
      <alignment horizontal="center" wrapText="1"/>
    </xf>
    <xf numFmtId="0" fontId="17" fillId="0" borderId="212" xfId="0" applyFont="1" applyBorder="1" applyAlignment="1">
      <alignment wrapText="1"/>
    </xf>
    <xf numFmtId="0" fontId="17" fillId="0" borderId="162" xfId="0" applyFont="1" applyBorder="1" applyAlignment="1">
      <alignment wrapText="1"/>
    </xf>
    <xf numFmtId="0" fontId="19" fillId="43" borderId="212" xfId="0" applyFont="1" applyFill="1" applyBorder="1" applyAlignment="1">
      <alignment horizontal="right" wrapText="1"/>
    </xf>
    <xf numFmtId="3" fontId="19" fillId="43" borderId="163" xfId="0" applyNumberFormat="1" applyFont="1" applyFill="1" applyBorder="1" applyAlignment="1">
      <alignment horizontal="right" wrapText="1"/>
    </xf>
    <xf numFmtId="3" fontId="17" fillId="0" borderId="163" xfId="0" applyNumberFormat="1" applyFont="1" applyBorder="1" applyAlignment="1">
      <alignment horizontal="right" wrapText="1"/>
    </xf>
    <xf numFmtId="3" fontId="66" fillId="0" borderId="163" xfId="0" applyNumberFormat="1" applyFont="1" applyBorder="1" applyAlignment="1">
      <alignment horizontal="right" wrapText="1"/>
    </xf>
    <xf numFmtId="3" fontId="17" fillId="0" borderId="162" xfId="0" applyNumberFormat="1" applyFont="1" applyBorder="1" applyAlignment="1">
      <alignment wrapText="1"/>
    </xf>
    <xf numFmtId="3" fontId="0" fillId="11" borderId="16" xfId="0" applyNumberFormat="1" applyFill="1" applyBorder="1"/>
    <xf numFmtId="3" fontId="5" fillId="15" borderId="156" xfId="0" applyNumberFormat="1" applyFont="1" applyFill="1" applyBorder="1"/>
    <xf numFmtId="3" fontId="5" fillId="10" borderId="158" xfId="0" applyNumberFormat="1" applyFont="1" applyFill="1" applyBorder="1"/>
    <xf numFmtId="0" fontId="4" fillId="10" borderId="147" xfId="0" applyFont="1" applyFill="1" applyBorder="1"/>
    <xf numFmtId="3" fontId="5" fillId="10" borderId="156" xfId="0" applyNumberFormat="1" applyFont="1" applyFill="1" applyBorder="1" applyAlignment="1">
      <alignment horizontal="right"/>
    </xf>
    <xf numFmtId="0" fontId="17" fillId="22" borderId="13" xfId="0" applyFont="1" applyFill="1" applyBorder="1" applyAlignment="1">
      <alignment shrinkToFit="1"/>
    </xf>
    <xf numFmtId="0" fontId="17" fillId="23" borderId="12" xfId="0" applyFont="1" applyFill="1" applyBorder="1"/>
    <xf numFmtId="0" fontId="17" fillId="23" borderId="13" xfId="0" applyFont="1" applyFill="1" applyBorder="1"/>
    <xf numFmtId="0" fontId="17" fillId="23" borderId="14" xfId="0" applyFont="1" applyFill="1" applyBorder="1"/>
    <xf numFmtId="0" fontId="19" fillId="23" borderId="218" xfId="0" applyFont="1" applyFill="1" applyBorder="1"/>
    <xf numFmtId="0" fontId="17" fillId="23" borderId="218" xfId="0" applyFont="1" applyFill="1" applyBorder="1"/>
    <xf numFmtId="0" fontId="19" fillId="23" borderId="219" xfId="0" applyFont="1" applyFill="1" applyBorder="1"/>
    <xf numFmtId="0" fontId="19" fillId="23" borderId="220" xfId="0" applyFont="1" applyFill="1" applyBorder="1" applyAlignment="1">
      <alignment shrinkToFit="1"/>
    </xf>
    <xf numFmtId="0" fontId="19" fillId="23" borderId="220" xfId="0" applyFont="1" applyFill="1" applyBorder="1"/>
    <xf numFmtId="0" fontId="19" fillId="11" borderId="221" xfId="0" applyFont="1" applyFill="1" applyBorder="1"/>
    <xf numFmtId="0" fontId="19" fillId="11" borderId="0" xfId="0" applyFont="1" applyFill="1" applyAlignment="1">
      <alignment shrinkToFit="1"/>
    </xf>
    <xf numFmtId="0" fontId="19" fillId="11" borderId="222" xfId="0" applyFont="1" applyFill="1" applyBorder="1" applyAlignment="1">
      <alignment shrinkToFit="1"/>
    </xf>
    <xf numFmtId="0" fontId="19" fillId="11" borderId="223" xfId="0" applyFont="1" applyFill="1" applyBorder="1" applyAlignment="1">
      <alignment shrinkToFit="1"/>
    </xf>
    <xf numFmtId="0" fontId="19" fillId="11" borderId="223" xfId="0" applyFont="1" applyFill="1" applyBorder="1"/>
    <xf numFmtId="4" fontId="58" fillId="23" borderId="0" xfId="0" applyNumberFormat="1" applyFont="1" applyFill="1"/>
    <xf numFmtId="0" fontId="19" fillId="22" borderId="10" xfId="0" applyFont="1" applyFill="1" applyBorder="1" applyAlignment="1">
      <alignment shrinkToFit="1"/>
    </xf>
    <xf numFmtId="1" fontId="28" fillId="22" borderId="217" xfId="0" applyNumberFormat="1" applyFont="1" applyFill="1" applyBorder="1" applyAlignment="1">
      <alignment shrinkToFit="1"/>
    </xf>
    <xf numFmtId="1" fontId="28" fillId="23" borderId="217" xfId="0" applyNumberFormat="1" applyFont="1" applyFill="1" applyBorder="1"/>
    <xf numFmtId="0" fontId="28" fillId="23" borderId="217" xfId="0" applyFont="1" applyFill="1" applyBorder="1"/>
    <xf numFmtId="0" fontId="67" fillId="0" borderId="165" xfId="0" applyFont="1" applyBorder="1"/>
    <xf numFmtId="4" fontId="0" fillId="0" borderId="0" xfId="0" applyNumberFormat="1"/>
    <xf numFmtId="3" fontId="0" fillId="0" borderId="28" xfId="0" applyNumberFormat="1" applyBorder="1"/>
    <xf numFmtId="0" fontId="17" fillId="23" borderId="224" xfId="0" applyFont="1" applyFill="1" applyBorder="1"/>
    <xf numFmtId="3" fontId="17" fillId="22" borderId="225" xfId="0" applyNumberFormat="1" applyFont="1" applyFill="1" applyBorder="1" applyAlignment="1">
      <alignment shrinkToFit="1"/>
    </xf>
    <xf numFmtId="0" fontId="17" fillId="23" borderId="225" xfId="0" applyFont="1" applyFill="1" applyBorder="1"/>
    <xf numFmtId="3" fontId="19" fillId="22" borderId="10" xfId="0" applyNumberFormat="1" applyFont="1" applyFill="1" applyBorder="1" applyAlignment="1">
      <alignment shrinkToFit="1"/>
    </xf>
    <xf numFmtId="0" fontId="17" fillId="0" borderId="166" xfId="0" applyFont="1" applyBorder="1"/>
    <xf numFmtId="0" fontId="28" fillId="0" borderId="0" xfId="0" applyFont="1"/>
    <xf numFmtId="3" fontId="0" fillId="0" borderId="173" xfId="0" applyNumberFormat="1" applyBorder="1"/>
    <xf numFmtId="0" fontId="28" fillId="22" borderId="164" xfId="0" applyFont="1" applyFill="1" applyBorder="1"/>
    <xf numFmtId="0" fontId="28" fillId="22" borderId="165" xfId="0" applyFont="1" applyFill="1" applyBorder="1"/>
    <xf numFmtId="0" fontId="28" fillId="22" borderId="172" xfId="0" applyFont="1" applyFill="1" applyBorder="1"/>
    <xf numFmtId="0" fontId="19" fillId="22" borderId="167" xfId="0" applyFont="1" applyFill="1" applyBorder="1"/>
    <xf numFmtId="3" fontId="19" fillId="22" borderId="168" xfId="0" applyNumberFormat="1" applyFont="1" applyFill="1" applyBorder="1"/>
    <xf numFmtId="3" fontId="19" fillId="22" borderId="174" xfId="0" applyNumberFormat="1" applyFont="1" applyFill="1" applyBorder="1"/>
    <xf numFmtId="0" fontId="19" fillId="0" borderId="0" xfId="0" applyFont="1"/>
    <xf numFmtId="4" fontId="19" fillId="0" borderId="0" xfId="0" applyNumberFormat="1" applyFont="1"/>
    <xf numFmtId="0" fontId="19" fillId="22" borderId="156" xfId="0" applyFont="1" applyFill="1" applyBorder="1"/>
    <xf numFmtId="0" fontId="19" fillId="22" borderId="158" xfId="0" applyFont="1" applyFill="1" applyBorder="1"/>
    <xf numFmtId="10" fontId="19" fillId="22" borderId="158" xfId="0" applyNumberFormat="1" applyFont="1" applyFill="1" applyBorder="1"/>
    <xf numFmtId="10" fontId="19" fillId="22" borderId="226" xfId="0" applyNumberFormat="1" applyFont="1" applyFill="1" applyBorder="1"/>
    <xf numFmtId="3" fontId="19" fillId="23" borderId="220" xfId="0" applyNumberFormat="1" applyFont="1" applyFill="1" applyBorder="1" applyAlignment="1">
      <alignment shrinkToFit="1"/>
    </xf>
    <xf numFmtId="3" fontId="19" fillId="23" borderId="220" xfId="0" applyNumberFormat="1" applyFont="1" applyFill="1" applyBorder="1"/>
    <xf numFmtId="0" fontId="69" fillId="25" borderId="28" xfId="0" applyFont="1" applyFill="1" applyBorder="1"/>
    <xf numFmtId="0" fontId="69" fillId="0" borderId="0" xfId="0" applyFont="1"/>
    <xf numFmtId="169" fontId="70" fillId="0" borderId="151" xfId="0" applyNumberFormat="1" applyFont="1" applyBorder="1"/>
    <xf numFmtId="169" fontId="69" fillId="0" borderId="166" xfId="0" applyNumberFormat="1" applyFont="1" applyBorder="1"/>
    <xf numFmtId="3" fontId="5" fillId="44" borderId="28" xfId="0" applyNumberFormat="1" applyFont="1" applyFill="1" applyBorder="1"/>
    <xf numFmtId="3" fontId="5" fillId="12" borderId="166" xfId="0" applyNumberFormat="1" applyFont="1" applyFill="1" applyBorder="1" applyAlignment="1">
      <alignment horizontal="right"/>
    </xf>
    <xf numFmtId="0" fontId="0" fillId="0" borderId="158" xfId="0" applyBorder="1"/>
    <xf numFmtId="3" fontId="5" fillId="15" borderId="164" xfId="0" applyNumberFormat="1" applyFont="1" applyFill="1" applyBorder="1"/>
    <xf numFmtId="3" fontId="5" fillId="10" borderId="165" xfId="0" applyNumberFormat="1" applyFont="1" applyFill="1" applyBorder="1"/>
    <xf numFmtId="0" fontId="4" fillId="10" borderId="170" xfId="0" applyFont="1" applyFill="1" applyBorder="1"/>
    <xf numFmtId="3" fontId="5" fillId="10" borderId="164" xfId="0" applyNumberFormat="1" applyFont="1" applyFill="1" applyBorder="1" applyAlignment="1">
      <alignment horizontal="right"/>
    </xf>
    <xf numFmtId="3" fontId="21" fillId="11" borderId="156" xfId="0" applyNumberFormat="1" applyFont="1" applyFill="1" applyBorder="1"/>
    <xf numFmtId="3" fontId="21" fillId="11" borderId="158" xfId="0" applyNumberFormat="1" applyFont="1" applyFill="1" applyBorder="1"/>
    <xf numFmtId="3" fontId="21" fillId="11" borderId="147" xfId="0" applyNumberFormat="1" applyFont="1" applyFill="1" applyBorder="1"/>
    <xf numFmtId="0" fontId="0" fillId="11" borderId="158" xfId="0" applyFill="1" applyBorder="1"/>
    <xf numFmtId="3" fontId="5" fillId="45" borderId="28" xfId="0" applyNumberFormat="1" applyFont="1" applyFill="1" applyBorder="1"/>
    <xf numFmtId="3" fontId="5" fillId="11" borderId="0" xfId="0" applyNumberFormat="1" applyFont="1" applyFill="1"/>
    <xf numFmtId="0" fontId="4" fillId="11" borderId="151" xfId="0" applyFont="1" applyFill="1" applyBorder="1"/>
    <xf numFmtId="3" fontId="5" fillId="11" borderId="166" xfId="0" applyNumberFormat="1" applyFont="1" applyFill="1" applyBorder="1" applyAlignment="1">
      <alignment horizontal="right"/>
    </xf>
    <xf numFmtId="0" fontId="54" fillId="11" borderId="28" xfId="0" applyFont="1" applyFill="1" applyBorder="1"/>
    <xf numFmtId="0" fontId="54" fillId="11" borderId="0" xfId="0" applyFont="1" applyFill="1"/>
    <xf numFmtId="0" fontId="54" fillId="11" borderId="151" xfId="0" applyFont="1" applyFill="1" applyBorder="1"/>
    <xf numFmtId="10" fontId="54" fillId="11" borderId="166" xfId="0" applyNumberFormat="1" applyFont="1" applyFill="1" applyBorder="1"/>
    <xf numFmtId="10" fontId="54" fillId="11" borderId="151" xfId="0" applyNumberFormat="1" applyFont="1" applyFill="1" applyBorder="1"/>
    <xf numFmtId="10" fontId="54" fillId="11" borderId="0" xfId="0" applyNumberFormat="1" applyFont="1" applyFill="1"/>
    <xf numFmtId="0" fontId="10" fillId="11" borderId="28" xfId="0" applyFont="1" applyFill="1" applyBorder="1"/>
    <xf numFmtId="0" fontId="10" fillId="11" borderId="0" xfId="0" applyFont="1" applyFill="1"/>
    <xf numFmtId="0" fontId="11" fillId="11" borderId="151" xfId="0" applyFont="1" applyFill="1" applyBorder="1"/>
    <xf numFmtId="0" fontId="10" fillId="11" borderId="166" xfId="0" applyFont="1" applyFill="1" applyBorder="1"/>
    <xf numFmtId="0" fontId="10" fillId="11" borderId="151" xfId="0" applyFont="1" applyFill="1" applyBorder="1"/>
    <xf numFmtId="0" fontId="11" fillId="46" borderId="28" xfId="0" applyFont="1" applyFill="1" applyBorder="1"/>
    <xf numFmtId="0" fontId="4" fillId="11" borderId="0" xfId="0" applyFont="1" applyFill="1" applyAlignment="1">
      <alignment vertical="center" wrapText="1"/>
    </xf>
    <xf numFmtId="3" fontId="4" fillId="11" borderId="151" xfId="0" applyNumberFormat="1" applyFont="1" applyFill="1" applyBorder="1"/>
    <xf numFmtId="3" fontId="11" fillId="11" borderId="166" xfId="0" applyNumberFormat="1" applyFont="1" applyFill="1" applyBorder="1"/>
    <xf numFmtId="0" fontId="11" fillId="47" borderId="28" xfId="0" applyFont="1" applyFill="1" applyBorder="1"/>
    <xf numFmtId="0" fontId="6" fillId="0" borderId="156" xfId="0" applyFont="1" applyBorder="1"/>
    <xf numFmtId="0" fontId="6" fillId="0" borderId="158" xfId="0" applyFont="1" applyBorder="1"/>
    <xf numFmtId="0" fontId="13" fillId="0" borderId="147" xfId="0" applyFont="1" applyBorder="1"/>
    <xf numFmtId="3" fontId="6" fillId="0" borderId="156" xfId="0" applyNumberFormat="1" applyFont="1" applyBorder="1"/>
    <xf numFmtId="3" fontId="6" fillId="0" borderId="147" xfId="0" applyNumberFormat="1" applyFont="1" applyBorder="1"/>
    <xf numFmtId="3" fontId="6" fillId="0" borderId="158" xfId="0" applyNumberFormat="1" applyFont="1" applyBorder="1"/>
    <xf numFmtId="0" fontId="19" fillId="43" borderId="227" xfId="0" applyFont="1" applyFill="1" applyBorder="1" applyAlignment="1">
      <alignment horizontal="center" wrapText="1"/>
    </xf>
    <xf numFmtId="3" fontId="66" fillId="0" borderId="227" xfId="0" applyNumberFormat="1" applyFont="1" applyBorder="1" applyAlignment="1">
      <alignment horizontal="right" wrapText="1"/>
    </xf>
    <xf numFmtId="3" fontId="17" fillId="0" borderId="227" xfId="0" applyNumberFormat="1" applyFont="1" applyBorder="1" applyAlignment="1">
      <alignment horizontal="right" wrapText="1"/>
    </xf>
    <xf numFmtId="3" fontId="17" fillId="0" borderId="227" xfId="0" applyNumberFormat="1" applyFont="1" applyBorder="1" applyAlignment="1">
      <alignment wrapText="1"/>
    </xf>
    <xf numFmtId="3" fontId="19" fillId="43" borderId="227" xfId="0" applyNumberFormat="1" applyFont="1" applyFill="1" applyBorder="1" applyAlignment="1">
      <alignment horizontal="right" wrapText="1"/>
    </xf>
    <xf numFmtId="3" fontId="17" fillId="0" borderId="229" xfId="0" applyNumberFormat="1" applyFont="1" applyBorder="1" applyAlignment="1">
      <alignment horizontal="right" wrapText="1"/>
    </xf>
    <xf numFmtId="3" fontId="17" fillId="0" borderId="230" xfId="0" applyNumberFormat="1" applyFont="1" applyBorder="1" applyAlignment="1">
      <alignment wrapText="1"/>
    </xf>
    <xf numFmtId="166" fontId="5" fillId="0" borderId="151" xfId="0" applyNumberFormat="1" applyFont="1" applyBorder="1" applyAlignment="1">
      <alignment horizontal="right"/>
    </xf>
    <xf numFmtId="0" fontId="71" fillId="0" borderId="144" xfId="0" applyFont="1" applyBorder="1"/>
    <xf numFmtId="0" fontId="71" fillId="0" borderId="37" xfId="0" applyFont="1" applyBorder="1"/>
    <xf numFmtId="3" fontId="38" fillId="0" borderId="37" xfId="0" applyNumberFormat="1" applyFont="1" applyBorder="1" applyAlignment="1">
      <alignment horizontal="center"/>
    </xf>
    <xf numFmtId="0" fontId="38" fillId="0" borderId="37" xfId="0" applyFont="1" applyBorder="1" applyAlignment="1">
      <alignment horizontal="center"/>
    </xf>
    <xf numFmtId="3" fontId="38" fillId="10" borderId="160" xfId="0" applyNumberFormat="1" applyFont="1" applyFill="1" applyBorder="1" applyAlignment="1">
      <alignment horizontal="right"/>
    </xf>
    <xf numFmtId="169" fontId="71" fillId="0" borderId="37" xfId="0" applyNumberFormat="1" applyFont="1" applyBorder="1"/>
    <xf numFmtId="3" fontId="71" fillId="11" borderId="160" xfId="0" applyNumberFormat="1" applyFont="1" applyFill="1" applyBorder="1"/>
    <xf numFmtId="3" fontId="71" fillId="12" borderId="37" xfId="0" applyNumberFormat="1" applyFont="1" applyFill="1" applyBorder="1"/>
    <xf numFmtId="3" fontId="71" fillId="11" borderId="37" xfId="0" applyNumberFormat="1" applyFont="1" applyFill="1" applyBorder="1"/>
    <xf numFmtId="10" fontId="54" fillId="11" borderId="37" xfId="0" applyNumberFormat="1" applyFont="1" applyFill="1" applyBorder="1"/>
    <xf numFmtId="0" fontId="71" fillId="11" borderId="37" xfId="0" applyFont="1" applyFill="1" applyBorder="1"/>
    <xf numFmtId="3" fontId="38" fillId="10" borderId="231" xfId="0" applyNumberFormat="1" applyFont="1" applyFill="1" applyBorder="1" applyAlignment="1">
      <alignment horizontal="right"/>
    </xf>
    <xf numFmtId="3" fontId="71" fillId="10" borderId="160" xfId="0" applyNumberFormat="1" applyFont="1" applyFill="1" applyBorder="1"/>
    <xf numFmtId="3" fontId="71" fillId="10" borderId="37" xfId="0" applyNumberFormat="1" applyFont="1" applyFill="1" applyBorder="1"/>
    <xf numFmtId="10" fontId="6" fillId="0" borderId="37" xfId="0" applyNumberFormat="1" applyFont="1" applyBorder="1"/>
    <xf numFmtId="3" fontId="71" fillId="0" borderId="160" xfId="0" applyNumberFormat="1" applyFont="1" applyBorder="1"/>
    <xf numFmtId="166" fontId="27" fillId="21" borderId="151" xfId="0" applyNumberFormat="1" applyFont="1" applyFill="1" applyBorder="1"/>
    <xf numFmtId="3" fontId="46" fillId="11" borderId="16" xfId="0" applyNumberFormat="1" applyFont="1" applyFill="1" applyBorder="1"/>
    <xf numFmtId="1" fontId="46" fillId="11" borderId="16" xfId="0" applyNumberFormat="1" applyFont="1" applyFill="1" applyBorder="1" applyAlignment="1">
      <alignment vertical="top"/>
    </xf>
    <xf numFmtId="0" fontId="0" fillId="11" borderId="16" xfId="0" applyFill="1" applyBorder="1" applyAlignment="1">
      <alignment vertical="center" wrapText="1"/>
    </xf>
    <xf numFmtId="3" fontId="0" fillId="11" borderId="22" xfId="0" applyNumberFormat="1" applyFill="1" applyBorder="1"/>
    <xf numFmtId="0" fontId="0" fillId="0" borderId="24" xfId="0" applyBorder="1"/>
    <xf numFmtId="3" fontId="46" fillId="0" borderId="24" xfId="0" applyNumberFormat="1" applyFont="1" applyBorder="1"/>
    <xf numFmtId="0" fontId="0" fillId="12" borderId="239" xfId="0" applyFill="1" applyBorder="1"/>
    <xf numFmtId="0" fontId="0" fillId="12" borderId="240" xfId="0" applyFill="1" applyBorder="1"/>
    <xf numFmtId="2" fontId="0" fillId="12" borderId="240" xfId="0" applyNumberFormat="1" applyFill="1" applyBorder="1"/>
    <xf numFmtId="168" fontId="0" fillId="12" borderId="240" xfId="0" applyNumberFormat="1" applyFill="1" applyBorder="1" applyAlignment="1">
      <alignment vertical="top"/>
    </xf>
    <xf numFmtId="0" fontId="0" fillId="12" borderId="15" xfId="0" applyFill="1" applyBorder="1"/>
    <xf numFmtId="0" fontId="0" fillId="12" borderId="207" xfId="0" applyFill="1" applyBorder="1"/>
    <xf numFmtId="0" fontId="0" fillId="12" borderId="153" xfId="0" applyFill="1" applyBorder="1"/>
    <xf numFmtId="3" fontId="19" fillId="26" borderId="0" xfId="0" applyNumberFormat="1" applyFont="1" applyFill="1" applyAlignment="1">
      <alignment horizontal="center" vertical="center" wrapText="1"/>
    </xf>
    <xf numFmtId="0" fontId="17" fillId="11" borderId="16" xfId="0" applyFont="1" applyFill="1" applyBorder="1" applyAlignment="1">
      <alignment vertical="center" wrapText="1"/>
    </xf>
    <xf numFmtId="3" fontId="19" fillId="0" borderId="165" xfId="0" applyNumberFormat="1" applyFont="1" applyBorder="1" applyAlignment="1">
      <alignment vertical="center"/>
    </xf>
    <xf numFmtId="3" fontId="19" fillId="0" borderId="0" xfId="0" applyNumberFormat="1" applyFont="1" applyAlignment="1">
      <alignment vertical="center"/>
    </xf>
    <xf numFmtId="3" fontId="19" fillId="0" borderId="168" xfId="0" applyNumberFormat="1" applyFont="1" applyBorder="1" applyAlignment="1">
      <alignment vertical="center"/>
    </xf>
    <xf numFmtId="0" fontId="19" fillId="0" borderId="0" xfId="0" applyFont="1" applyAlignment="1">
      <alignment wrapText="1"/>
    </xf>
    <xf numFmtId="2" fontId="19" fillId="0" borderId="17" xfId="0" applyNumberFormat="1" applyFont="1" applyBorder="1" applyAlignment="1">
      <alignment wrapText="1"/>
    </xf>
    <xf numFmtId="2" fontId="19" fillId="0" borderId="18" xfId="0" applyNumberFormat="1" applyFont="1" applyBorder="1" applyAlignment="1">
      <alignment wrapText="1"/>
    </xf>
    <xf numFmtId="0" fontId="19" fillId="0" borderId="28" xfId="0" applyFont="1" applyBorder="1" applyAlignment="1">
      <alignment wrapText="1"/>
    </xf>
    <xf numFmtId="0" fontId="19" fillId="0" borderId="0" xfId="0" applyFont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21" fillId="0" borderId="0" xfId="0" applyFont="1"/>
    <xf numFmtId="3" fontId="0" fillId="11" borderId="241" xfId="0" applyNumberFormat="1" applyFill="1" applyBorder="1"/>
    <xf numFmtId="3" fontId="68" fillId="11" borderId="241" xfId="0" applyNumberFormat="1" applyFont="1" applyFill="1" applyBorder="1"/>
    <xf numFmtId="0" fontId="0" fillId="11" borderId="241" xfId="0" applyFill="1" applyBorder="1"/>
    <xf numFmtId="0" fontId="19" fillId="11" borderId="242" xfId="0" applyFont="1" applyFill="1" applyBorder="1" applyAlignment="1">
      <alignment horizontal="center" vertical="center" wrapText="1"/>
    </xf>
    <xf numFmtId="3" fontId="0" fillId="11" borderId="243" xfId="0" applyNumberFormat="1" applyFill="1" applyBorder="1"/>
    <xf numFmtId="3" fontId="0" fillId="11" borderId="242" xfId="0" applyNumberFormat="1" applyFill="1" applyBorder="1"/>
    <xf numFmtId="3" fontId="0" fillId="11" borderId="244" xfId="0" applyNumberFormat="1" applyFill="1" applyBorder="1"/>
    <xf numFmtId="3" fontId="68" fillId="11" borderId="243" xfId="0" applyNumberFormat="1" applyFont="1" applyFill="1" applyBorder="1"/>
    <xf numFmtId="3" fontId="68" fillId="11" borderId="242" xfId="0" applyNumberFormat="1" applyFont="1" applyFill="1" applyBorder="1"/>
    <xf numFmtId="3" fontId="68" fillId="11" borderId="244" xfId="0" applyNumberFormat="1" applyFont="1" applyFill="1" applyBorder="1"/>
    <xf numFmtId="0" fontId="17" fillId="11" borderId="0" xfId="0" applyFont="1" applyFill="1"/>
    <xf numFmtId="0" fontId="19" fillId="11" borderId="245" xfId="0" applyFont="1" applyFill="1" applyBorder="1" applyAlignment="1">
      <alignment horizontal="center" vertical="center" wrapText="1"/>
    </xf>
    <xf numFmtId="3" fontId="0" fillId="11" borderId="247" xfId="0" applyNumberFormat="1" applyFill="1" applyBorder="1"/>
    <xf numFmtId="3" fontId="17" fillId="11" borderId="247" xfId="0" applyNumberFormat="1" applyFont="1" applyFill="1" applyBorder="1"/>
    <xf numFmtId="0" fontId="0" fillId="11" borderId="247" xfId="0" applyFill="1" applyBorder="1"/>
    <xf numFmtId="3" fontId="19" fillId="11" borderId="244" xfId="0" applyNumberFormat="1" applyFont="1" applyFill="1" applyBorder="1"/>
    <xf numFmtId="3" fontId="17" fillId="11" borderId="250" xfId="0" applyNumberFormat="1" applyFont="1" applyFill="1" applyBorder="1"/>
    <xf numFmtId="3" fontId="17" fillId="11" borderId="245" xfId="0" applyNumberFormat="1" applyFont="1" applyFill="1" applyBorder="1"/>
    <xf numFmtId="0" fontId="19" fillId="26" borderId="164" xfId="0" applyFont="1" applyFill="1" applyBorder="1" applyAlignment="1">
      <alignment vertical="top"/>
    </xf>
    <xf numFmtId="0" fontId="19" fillId="26" borderId="166" xfId="0" applyFont="1" applyFill="1" applyBorder="1" applyAlignment="1">
      <alignment vertical="top"/>
    </xf>
    <xf numFmtId="0" fontId="19" fillId="26" borderId="166" xfId="0" applyFont="1" applyFill="1" applyBorder="1" applyAlignment="1">
      <alignment horizontal="center" vertical="top"/>
    </xf>
    <xf numFmtId="4" fontId="19" fillId="26" borderId="164" xfId="0" applyNumberFormat="1" applyFont="1" applyFill="1" applyBorder="1" applyAlignment="1">
      <alignment vertical="top"/>
    </xf>
    <xf numFmtId="0" fontId="19" fillId="26" borderId="167" xfId="0" applyFont="1" applyFill="1" applyBorder="1" applyAlignment="1">
      <alignment vertical="top"/>
    </xf>
    <xf numFmtId="0" fontId="0" fillId="0" borderId="248" xfId="0" applyBorder="1"/>
    <xf numFmtId="3" fontId="19" fillId="0" borderId="251" xfId="0" applyNumberFormat="1" applyFont="1" applyBorder="1"/>
    <xf numFmtId="0" fontId="0" fillId="0" borderId="249" xfId="0" applyBorder="1"/>
    <xf numFmtId="3" fontId="19" fillId="0" borderId="252" xfId="0" applyNumberFormat="1" applyFont="1" applyBorder="1"/>
    <xf numFmtId="0" fontId="19" fillId="26" borderId="249" xfId="0" applyFont="1" applyFill="1" applyBorder="1" applyAlignment="1">
      <alignment horizontal="center" vertical="center"/>
    </xf>
    <xf numFmtId="3" fontId="19" fillId="26" borderId="252" xfId="0" applyNumberFormat="1" applyFont="1" applyFill="1" applyBorder="1" applyAlignment="1">
      <alignment horizontal="center" vertical="center" wrapText="1"/>
    </xf>
    <xf numFmtId="0" fontId="0" fillId="0" borderId="253" xfId="0" applyBorder="1"/>
    <xf numFmtId="3" fontId="19" fillId="0" borderId="254" xfId="0" applyNumberFormat="1" applyFont="1" applyBorder="1" applyAlignment="1">
      <alignment vertical="center"/>
    </xf>
    <xf numFmtId="3" fontId="19" fillId="0" borderId="252" xfId="0" applyNumberFormat="1" applyFont="1" applyBorder="1" applyAlignment="1">
      <alignment vertical="center"/>
    </xf>
    <xf numFmtId="0" fontId="0" fillId="0" borderId="255" xfId="0" applyBorder="1"/>
    <xf numFmtId="3" fontId="19" fillId="0" borderId="256" xfId="0" applyNumberFormat="1" applyFont="1" applyBorder="1" applyAlignment="1">
      <alignment vertical="center"/>
    </xf>
    <xf numFmtId="0" fontId="59" fillId="0" borderId="249" xfId="0" applyFont="1" applyBorder="1"/>
    <xf numFmtId="3" fontId="10" fillId="12" borderId="28" xfId="0" applyNumberFormat="1" applyFont="1" applyFill="1" applyBorder="1"/>
    <xf numFmtId="3" fontId="10" fillId="0" borderId="0" xfId="0" applyNumberFormat="1" applyFont="1"/>
    <xf numFmtId="3" fontId="3" fillId="0" borderId="0" xfId="0" applyNumberFormat="1" applyFont="1"/>
    <xf numFmtId="4" fontId="3" fillId="0" borderId="0" xfId="0" applyNumberFormat="1" applyFont="1" applyAlignment="1">
      <alignment vertical="top" wrapText="1"/>
    </xf>
    <xf numFmtId="3" fontId="14" fillId="0" borderId="0" xfId="0" applyNumberFormat="1" applyFont="1" applyAlignment="1">
      <alignment wrapText="1"/>
    </xf>
    <xf numFmtId="0" fontId="17" fillId="12" borderId="257" xfId="0" applyFont="1" applyFill="1" applyBorder="1"/>
    <xf numFmtId="10" fontId="0" fillId="12" borderId="257" xfId="0" applyNumberFormat="1" applyFill="1" applyBorder="1"/>
    <xf numFmtId="3" fontId="72" fillId="12" borderId="258" xfId="0" applyNumberFormat="1" applyFont="1" applyFill="1" applyBorder="1" applyAlignment="1">
      <alignment horizontal="right"/>
    </xf>
    <xf numFmtId="10" fontId="5" fillId="12" borderId="258" xfId="0" applyNumberFormat="1" applyFont="1" applyFill="1" applyBorder="1"/>
    <xf numFmtId="3" fontId="73" fillId="12" borderId="258" xfId="0" applyNumberFormat="1" applyFont="1" applyFill="1" applyBorder="1" applyAlignment="1">
      <alignment horizontal="right"/>
    </xf>
    <xf numFmtId="10" fontId="26" fillId="12" borderId="258" xfId="0" applyNumberFormat="1" applyFont="1" applyFill="1" applyBorder="1" applyAlignment="1">
      <alignment horizontal="right"/>
    </xf>
    <xf numFmtId="3" fontId="73" fillId="12" borderId="260" xfId="0" applyNumberFormat="1" applyFont="1" applyFill="1" applyBorder="1" applyAlignment="1">
      <alignment horizontal="right"/>
    </xf>
    <xf numFmtId="10" fontId="26" fillId="12" borderId="260" xfId="0" applyNumberFormat="1" applyFont="1" applyFill="1" applyBorder="1" applyAlignment="1">
      <alignment horizontal="right"/>
    </xf>
    <xf numFmtId="10" fontId="0" fillId="12" borderId="259" xfId="0" applyNumberFormat="1" applyFill="1" applyBorder="1"/>
    <xf numFmtId="0" fontId="17" fillId="12" borderId="259" xfId="0" applyFont="1" applyFill="1" applyBorder="1"/>
    <xf numFmtId="0" fontId="46" fillId="0" borderId="0" xfId="0" applyFont="1"/>
    <xf numFmtId="0" fontId="19" fillId="0" borderId="0" xfId="0" applyFont="1" applyAlignment="1">
      <alignment vertical="center" wrapText="1"/>
    </xf>
    <xf numFmtId="0" fontId="0" fillId="11" borderId="261" xfId="0" applyFill="1" applyBorder="1"/>
    <xf numFmtId="0" fontId="17" fillId="11" borderId="261" xfId="0" applyFont="1" applyFill="1" applyBorder="1"/>
    <xf numFmtId="0" fontId="0" fillId="11" borderId="261" xfId="0" applyFill="1" applyBorder="1" applyAlignment="1">
      <alignment horizontal="right" vertical="center"/>
    </xf>
    <xf numFmtId="0" fontId="0" fillId="11" borderId="266" xfId="0" applyFill="1" applyBorder="1"/>
    <xf numFmtId="0" fontId="0" fillId="11" borderId="267" xfId="0" applyFill="1" applyBorder="1"/>
    <xf numFmtId="0" fontId="17" fillId="11" borderId="267" xfId="0" applyFont="1" applyFill="1" applyBorder="1"/>
    <xf numFmtId="0" fontId="59" fillId="11" borderId="261" xfId="0" applyFont="1" applyFill="1" applyBorder="1"/>
    <xf numFmtId="0" fontId="46" fillId="11" borderId="261" xfId="0" applyFont="1" applyFill="1" applyBorder="1"/>
    <xf numFmtId="0" fontId="0" fillId="11" borderId="261" xfId="0" applyFill="1" applyBorder="1" applyAlignment="1">
      <alignment horizontal="right"/>
    </xf>
    <xf numFmtId="0" fontId="19" fillId="11" borderId="275" xfId="0" applyFont="1" applyFill="1" applyBorder="1" applyAlignment="1">
      <alignment horizontal="center" vertical="center" wrapText="1"/>
    </xf>
    <xf numFmtId="0" fontId="19" fillId="11" borderId="276" xfId="0" applyFont="1" applyFill="1" applyBorder="1" applyAlignment="1">
      <alignment horizontal="center" vertical="center" wrapText="1"/>
    </xf>
    <xf numFmtId="3" fontId="0" fillId="11" borderId="266" xfId="0" applyNumberFormat="1" applyFill="1" applyBorder="1"/>
    <xf numFmtId="3" fontId="17" fillId="11" borderId="278" xfId="0" applyNumberFormat="1" applyFont="1" applyFill="1" applyBorder="1"/>
    <xf numFmtId="0" fontId="17" fillId="11" borderId="279" xfId="0" applyFont="1" applyFill="1" applyBorder="1"/>
    <xf numFmtId="3" fontId="17" fillId="11" borderId="275" xfId="0" applyNumberFormat="1" applyFont="1" applyFill="1" applyBorder="1"/>
    <xf numFmtId="0" fontId="17" fillId="11" borderId="276" xfId="0" applyFont="1" applyFill="1" applyBorder="1"/>
    <xf numFmtId="3" fontId="0" fillId="0" borderId="38" xfId="0" applyNumberFormat="1" applyBorder="1"/>
    <xf numFmtId="0" fontId="0" fillId="11" borderId="271" xfId="0" applyFill="1" applyBorder="1"/>
    <xf numFmtId="0" fontId="17" fillId="11" borderId="271" xfId="0" applyFont="1" applyFill="1" applyBorder="1"/>
    <xf numFmtId="3" fontId="19" fillId="0" borderId="38" xfId="0" applyNumberFormat="1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3" fontId="0" fillId="11" borderId="267" xfId="0" applyNumberFormat="1" applyFill="1" applyBorder="1"/>
    <xf numFmtId="3" fontId="46" fillId="11" borderId="266" xfId="0" applyNumberFormat="1" applyFont="1" applyFill="1" applyBorder="1"/>
    <xf numFmtId="3" fontId="0" fillId="11" borderId="267" xfId="0" applyNumberFormat="1" applyFill="1" applyBorder="1" applyAlignment="1">
      <alignment horizontal="right"/>
    </xf>
    <xf numFmtId="3" fontId="17" fillId="11" borderId="38" xfId="0" applyNumberFormat="1" applyFont="1" applyFill="1" applyBorder="1"/>
    <xf numFmtId="0" fontId="17" fillId="11" borderId="39" xfId="0" applyFont="1" applyFill="1" applyBorder="1"/>
    <xf numFmtId="0" fontId="0" fillId="11" borderId="277" xfId="0" applyFill="1" applyBorder="1"/>
    <xf numFmtId="0" fontId="0" fillId="11" borderId="268" xfId="0" applyFill="1" applyBorder="1"/>
    <xf numFmtId="0" fontId="0" fillId="11" borderId="280" xfId="0" applyFill="1" applyBorder="1"/>
    <xf numFmtId="3" fontId="0" fillId="11" borderId="277" xfId="0" applyNumberFormat="1" applyFill="1" applyBorder="1"/>
    <xf numFmtId="3" fontId="0" fillId="11" borderId="270" xfId="0" applyNumberFormat="1" applyFill="1" applyBorder="1"/>
    <xf numFmtId="0" fontId="0" fillId="11" borderId="270" xfId="0" applyFill="1" applyBorder="1"/>
    <xf numFmtId="0" fontId="19" fillId="11" borderId="263" xfId="0" applyFont="1" applyFill="1" applyBorder="1"/>
    <xf numFmtId="0" fontId="19" fillId="11" borderId="264" xfId="0" applyFont="1" applyFill="1" applyBorder="1"/>
    <xf numFmtId="3" fontId="19" fillId="11" borderId="263" xfId="0" applyNumberFormat="1" applyFont="1" applyFill="1" applyBorder="1"/>
    <xf numFmtId="0" fontId="19" fillId="11" borderId="265" xfId="0" applyFont="1" applyFill="1" applyBorder="1"/>
    <xf numFmtId="3" fontId="19" fillId="11" borderId="272" xfId="0" applyNumberFormat="1" applyFont="1" applyFill="1" applyBorder="1"/>
    <xf numFmtId="3" fontId="19" fillId="11" borderId="281" xfId="0" applyNumberFormat="1" applyFont="1" applyFill="1" applyBorder="1"/>
    <xf numFmtId="0" fontId="19" fillId="11" borderId="282" xfId="0" applyFont="1" applyFill="1" applyBorder="1"/>
    <xf numFmtId="0" fontId="17" fillId="11" borderId="38" xfId="0" applyFont="1" applyFill="1" applyBorder="1"/>
    <xf numFmtId="0" fontId="17" fillId="11" borderId="283" xfId="0" applyFont="1" applyFill="1" applyBorder="1"/>
    <xf numFmtId="0" fontId="17" fillId="11" borderId="76" xfId="0" applyFont="1" applyFill="1" applyBorder="1"/>
    <xf numFmtId="3" fontId="17" fillId="11" borderId="283" xfId="0" applyNumberFormat="1" applyFont="1" applyFill="1" applyBorder="1"/>
    <xf numFmtId="0" fontId="17" fillId="11" borderId="284" xfId="0" applyFont="1" applyFill="1" applyBorder="1"/>
    <xf numFmtId="3" fontId="17" fillId="11" borderId="285" xfId="0" applyNumberFormat="1" applyFont="1" applyFill="1" applyBorder="1"/>
    <xf numFmtId="3" fontId="17" fillId="11" borderId="286" xfId="0" applyNumberFormat="1" applyFont="1" applyFill="1" applyBorder="1"/>
    <xf numFmtId="0" fontId="17" fillId="11" borderId="287" xfId="0" applyFont="1" applyFill="1" applyBorder="1"/>
    <xf numFmtId="0" fontId="0" fillId="11" borderId="268" xfId="0" applyFill="1" applyBorder="1" applyAlignment="1">
      <alignment vertical="center"/>
    </xf>
    <xf numFmtId="0" fontId="0" fillId="11" borderId="270" xfId="0" applyFill="1" applyBorder="1" applyAlignment="1">
      <alignment vertical="center"/>
    </xf>
    <xf numFmtId="3" fontId="0" fillId="11" borderId="277" xfId="0" applyNumberFormat="1" applyFill="1" applyBorder="1" applyAlignment="1">
      <alignment vertical="center"/>
    </xf>
    <xf numFmtId="0" fontId="0" fillId="0" borderId="263" xfId="0" applyBorder="1"/>
    <xf numFmtId="0" fontId="0" fillId="0" borderId="264" xfId="0" applyBorder="1"/>
    <xf numFmtId="0" fontId="0" fillId="0" borderId="265" xfId="0" applyBorder="1"/>
    <xf numFmtId="3" fontId="0" fillId="0" borderId="263" xfId="0" applyNumberFormat="1" applyBorder="1"/>
    <xf numFmtId="0" fontId="0" fillId="0" borderId="283" xfId="0" applyBorder="1"/>
    <xf numFmtId="0" fontId="0" fillId="0" borderId="76" xfId="0" applyBorder="1"/>
    <xf numFmtId="0" fontId="0" fillId="0" borderId="284" xfId="0" applyBorder="1"/>
    <xf numFmtId="3" fontId="0" fillId="0" borderId="283" xfId="0" applyNumberFormat="1" applyBorder="1"/>
    <xf numFmtId="0" fontId="17" fillId="0" borderId="264" xfId="0" applyFont="1" applyBorder="1"/>
    <xf numFmtId="0" fontId="17" fillId="0" borderId="76" xfId="0" applyFont="1" applyBorder="1"/>
    <xf numFmtId="0" fontId="0" fillId="11" borderId="269" xfId="0" applyFill="1" applyBorder="1"/>
    <xf numFmtId="0" fontId="0" fillId="11" borderId="262" xfId="0" applyFill="1" applyBorder="1"/>
    <xf numFmtId="0" fontId="0" fillId="0" borderId="293" xfId="0" applyBorder="1"/>
    <xf numFmtId="0" fontId="0" fillId="0" borderId="294" xfId="0" applyBorder="1"/>
    <xf numFmtId="0" fontId="0" fillId="0" borderId="295" xfId="0" applyBorder="1"/>
    <xf numFmtId="0" fontId="0" fillId="11" borderId="296" xfId="0" applyFill="1" applyBorder="1"/>
    <xf numFmtId="0" fontId="0" fillId="0" borderId="297" xfId="0" applyBorder="1"/>
    <xf numFmtId="0" fontId="0" fillId="0" borderId="298" xfId="0" applyBorder="1"/>
    <xf numFmtId="0" fontId="0" fillId="0" borderId="299" xfId="0" applyBorder="1"/>
    <xf numFmtId="0" fontId="19" fillId="0" borderId="289" xfId="0" applyFont="1" applyBorder="1"/>
    <xf numFmtId="0" fontId="19" fillId="0" borderId="290" xfId="0" applyFont="1" applyBorder="1"/>
    <xf numFmtId="0" fontId="19" fillId="0" borderId="291" xfId="0" applyFont="1" applyBorder="1"/>
    <xf numFmtId="0" fontId="19" fillId="0" borderId="292" xfId="0" applyFont="1" applyBorder="1"/>
    <xf numFmtId="0" fontId="19" fillId="48" borderId="289" xfId="0" applyFont="1" applyFill="1" applyBorder="1"/>
    <xf numFmtId="0" fontId="19" fillId="48" borderId="290" xfId="0" applyFont="1" applyFill="1" applyBorder="1"/>
    <xf numFmtId="0" fontId="0" fillId="11" borderId="300" xfId="0" applyFill="1" applyBorder="1"/>
    <xf numFmtId="0" fontId="0" fillId="11" borderId="301" xfId="0" applyFill="1" applyBorder="1"/>
    <xf numFmtId="0" fontId="19" fillId="48" borderId="288" xfId="0" applyFont="1" applyFill="1" applyBorder="1"/>
    <xf numFmtId="3" fontId="17" fillId="11" borderId="302" xfId="0" applyNumberFormat="1" applyFont="1" applyFill="1" applyBorder="1"/>
    <xf numFmtId="3" fontId="0" fillId="11" borderId="300" xfId="0" applyNumberFormat="1" applyFill="1" applyBorder="1"/>
    <xf numFmtId="3" fontId="0" fillId="11" borderId="301" xfId="0" applyNumberFormat="1" applyFill="1" applyBorder="1"/>
    <xf numFmtId="0" fontId="19" fillId="48" borderId="303" xfId="0" applyFont="1" applyFill="1" applyBorder="1"/>
    <xf numFmtId="0" fontId="19" fillId="48" borderId="305" xfId="0" applyFont="1" applyFill="1" applyBorder="1"/>
    <xf numFmtId="0" fontId="19" fillId="48" borderId="298" xfId="0" applyFont="1" applyFill="1" applyBorder="1"/>
    <xf numFmtId="0" fontId="19" fillId="11" borderId="0" xfId="0" applyFont="1" applyFill="1" applyAlignment="1">
      <alignment horizontal="left"/>
    </xf>
    <xf numFmtId="1" fontId="0" fillId="11" borderId="0" xfId="0" applyNumberFormat="1" applyFill="1"/>
    <xf numFmtId="2" fontId="0" fillId="11" borderId="0" xfId="0" applyNumberFormat="1" applyFill="1"/>
    <xf numFmtId="3" fontId="0" fillId="11" borderId="301" xfId="0" applyNumberFormat="1" applyFill="1" applyBorder="1" applyAlignment="1">
      <alignment vertical="center"/>
    </xf>
    <xf numFmtId="0" fontId="19" fillId="0" borderId="288" xfId="0" applyFont="1" applyBorder="1"/>
    <xf numFmtId="0" fontId="46" fillId="11" borderId="300" xfId="0" applyFont="1" applyFill="1" applyBorder="1"/>
    <xf numFmtId="0" fontId="17" fillId="11" borderId="300" xfId="0" applyFont="1" applyFill="1" applyBorder="1"/>
    <xf numFmtId="0" fontId="0" fillId="11" borderId="301" xfId="0" applyFill="1" applyBorder="1" applyAlignment="1">
      <alignment vertical="center"/>
    </xf>
    <xf numFmtId="3" fontId="19" fillId="0" borderId="288" xfId="0" applyNumberFormat="1" applyFont="1" applyBorder="1"/>
    <xf numFmtId="3" fontId="19" fillId="48" borderId="288" xfId="0" applyNumberFormat="1" applyFont="1" applyFill="1" applyBorder="1"/>
    <xf numFmtId="0" fontId="19" fillId="0" borderId="288" xfId="0" applyFont="1" applyBorder="1" applyAlignment="1">
      <alignment horizontal="right"/>
    </xf>
    <xf numFmtId="2" fontId="19" fillId="0" borderId="288" xfId="0" applyNumberFormat="1" applyFont="1" applyBorder="1" applyAlignment="1">
      <alignment horizontal="right"/>
    </xf>
    <xf numFmtId="3" fontId="0" fillId="11" borderId="307" xfId="0" applyNumberFormat="1" applyFill="1" applyBorder="1"/>
    <xf numFmtId="0" fontId="0" fillId="11" borderId="307" xfId="0" applyFill="1" applyBorder="1"/>
    <xf numFmtId="0" fontId="0" fillId="0" borderId="307" xfId="0" applyBorder="1"/>
    <xf numFmtId="3" fontId="17" fillId="11" borderId="307" xfId="0" applyNumberFormat="1" applyFont="1" applyFill="1" applyBorder="1"/>
    <xf numFmtId="0" fontId="17" fillId="11" borderId="307" xfId="0" applyFont="1" applyFill="1" applyBorder="1"/>
    <xf numFmtId="3" fontId="0" fillId="11" borderId="308" xfId="0" applyNumberFormat="1" applyFill="1" applyBorder="1"/>
    <xf numFmtId="0" fontId="0" fillId="0" borderId="309" xfId="0" applyBorder="1"/>
    <xf numFmtId="3" fontId="17" fillId="11" borderId="308" xfId="0" applyNumberFormat="1" applyFont="1" applyFill="1" applyBorder="1"/>
    <xf numFmtId="0" fontId="0" fillId="11" borderId="310" xfId="0" applyFill="1" applyBorder="1"/>
    <xf numFmtId="0" fontId="0" fillId="11" borderId="311" xfId="0" applyFill="1" applyBorder="1"/>
    <xf numFmtId="0" fontId="17" fillId="11" borderId="312" xfId="0" applyFont="1" applyFill="1" applyBorder="1"/>
    <xf numFmtId="3" fontId="0" fillId="11" borderId="313" xfId="0" applyNumberFormat="1" applyFill="1" applyBorder="1"/>
    <xf numFmtId="0" fontId="0" fillId="0" borderId="304" xfId="0" applyBorder="1"/>
    <xf numFmtId="0" fontId="0" fillId="0" borderId="314" xfId="0" applyBorder="1"/>
    <xf numFmtId="3" fontId="0" fillId="11" borderId="315" xfId="0" applyNumberFormat="1" applyFill="1" applyBorder="1"/>
    <xf numFmtId="0" fontId="0" fillId="0" borderId="305" xfId="0" applyBorder="1"/>
    <xf numFmtId="0" fontId="17" fillId="11" borderId="315" xfId="0" applyFont="1" applyFill="1" applyBorder="1"/>
    <xf numFmtId="0" fontId="19" fillId="48" borderId="316" xfId="0" applyFont="1" applyFill="1" applyBorder="1"/>
    <xf numFmtId="3" fontId="0" fillId="11" borderId="317" xfId="0" applyNumberFormat="1" applyFill="1" applyBorder="1"/>
    <xf numFmtId="0" fontId="0" fillId="11" borderId="317" xfId="0" applyFill="1" applyBorder="1"/>
    <xf numFmtId="0" fontId="0" fillId="11" borderId="318" xfId="0" applyFill="1" applyBorder="1"/>
    <xf numFmtId="3" fontId="0" fillId="11" borderId="319" xfId="0" applyNumberFormat="1" applyFill="1" applyBorder="1"/>
    <xf numFmtId="0" fontId="0" fillId="11" borderId="320" xfId="0" applyFill="1" applyBorder="1"/>
    <xf numFmtId="0" fontId="0" fillId="0" borderId="320" xfId="0" applyBorder="1"/>
    <xf numFmtId="3" fontId="17" fillId="11" borderId="325" xfId="0" applyNumberFormat="1" applyFont="1" applyFill="1" applyBorder="1"/>
    <xf numFmtId="3" fontId="17" fillId="11" borderId="326" xfId="0" applyNumberFormat="1" applyFont="1" applyFill="1" applyBorder="1"/>
    <xf numFmtId="0" fontId="17" fillId="11" borderId="326" xfId="0" applyFont="1" applyFill="1" applyBorder="1"/>
    <xf numFmtId="0" fontId="0" fillId="0" borderId="326" xfId="0" applyBorder="1"/>
    <xf numFmtId="0" fontId="0" fillId="0" borderId="327" xfId="0" applyBorder="1"/>
    <xf numFmtId="3" fontId="19" fillId="48" borderId="306" xfId="0" applyNumberFormat="1" applyFont="1" applyFill="1" applyBorder="1"/>
    <xf numFmtId="0" fontId="19" fillId="48" borderId="306" xfId="0" applyFont="1" applyFill="1" applyBorder="1"/>
    <xf numFmtId="2" fontId="19" fillId="48" borderId="305" xfId="0" applyNumberFormat="1" applyFont="1" applyFill="1" applyBorder="1"/>
    <xf numFmtId="0" fontId="19" fillId="48" borderId="328" xfId="0" applyFont="1" applyFill="1" applyBorder="1"/>
    <xf numFmtId="0" fontId="19" fillId="48" borderId="329" xfId="0" applyFont="1" applyFill="1" applyBorder="1"/>
    <xf numFmtId="0" fontId="19" fillId="48" borderId="322" xfId="0" applyFont="1" applyFill="1" applyBorder="1"/>
    <xf numFmtId="0" fontId="19" fillId="48" borderId="323" xfId="0" applyFont="1" applyFill="1" applyBorder="1"/>
    <xf numFmtId="0" fontId="19" fillId="48" borderId="289" xfId="0" applyFont="1" applyFill="1" applyBorder="1" applyAlignment="1">
      <alignment horizontal="left" vertical="center" wrapText="1"/>
    </xf>
    <xf numFmtId="0" fontId="19" fillId="48" borderId="290" xfId="0" applyFont="1" applyFill="1" applyBorder="1" applyAlignment="1">
      <alignment horizontal="left" vertical="center" wrapText="1"/>
    </xf>
    <xf numFmtId="0" fontId="17" fillId="48" borderId="288" xfId="0" applyFont="1" applyFill="1" applyBorder="1" applyAlignment="1">
      <alignment horizontal="left" vertical="center" wrapText="1"/>
    </xf>
    <xf numFmtId="0" fontId="17" fillId="48" borderId="289" xfId="0" applyFont="1" applyFill="1" applyBorder="1" applyAlignment="1">
      <alignment horizontal="left" vertical="center" wrapText="1"/>
    </xf>
    <xf numFmtId="0" fontId="19" fillId="48" borderId="303" xfId="0" applyFont="1" applyFill="1" applyBorder="1" applyAlignment="1">
      <alignment horizontal="left" vertical="center" wrapText="1"/>
    </xf>
    <xf numFmtId="0" fontId="19" fillId="48" borderId="322" xfId="0" applyFont="1" applyFill="1" applyBorder="1" applyAlignment="1">
      <alignment horizontal="left" vertical="center" wrapText="1"/>
    </xf>
    <xf numFmtId="0" fontId="19" fillId="48" borderId="323" xfId="0" applyFont="1" applyFill="1" applyBorder="1" applyAlignment="1">
      <alignment horizontal="left" vertical="center" wrapText="1"/>
    </xf>
    <xf numFmtId="0" fontId="19" fillId="48" borderId="324" xfId="0" applyFont="1" applyFill="1" applyBorder="1" applyAlignment="1">
      <alignment horizontal="left" vertical="center" wrapText="1"/>
    </xf>
    <xf numFmtId="0" fontId="0" fillId="0" borderId="308" xfId="0" applyBorder="1"/>
    <xf numFmtId="0" fontId="0" fillId="11" borderId="331" xfId="0" applyFill="1" applyBorder="1"/>
    <xf numFmtId="3" fontId="0" fillId="11" borderId="332" xfId="0" applyNumberFormat="1" applyFill="1" applyBorder="1"/>
    <xf numFmtId="0" fontId="19" fillId="48" borderId="333" xfId="0" applyFont="1" applyFill="1" applyBorder="1" applyAlignment="1">
      <alignment horizontal="left" vertical="center" wrapText="1"/>
    </xf>
    <xf numFmtId="0" fontId="0" fillId="11" borderId="334" xfId="0" applyFill="1" applyBorder="1"/>
    <xf numFmtId="0" fontId="0" fillId="0" borderId="335" xfId="0" applyBorder="1"/>
    <xf numFmtId="0" fontId="19" fillId="0" borderId="333" xfId="0" applyFont="1" applyBorder="1"/>
    <xf numFmtId="0" fontId="19" fillId="0" borderId="323" xfId="0" applyFont="1" applyBorder="1"/>
    <xf numFmtId="0" fontId="19" fillId="48" borderId="289" xfId="0" applyFont="1" applyFill="1" applyBorder="1" applyAlignment="1">
      <alignment horizontal="left" vertical="center"/>
    </xf>
    <xf numFmtId="0" fontId="19" fillId="48" borderId="290" xfId="0" applyFont="1" applyFill="1" applyBorder="1" applyAlignment="1">
      <alignment horizontal="left" vertical="center"/>
    </xf>
    <xf numFmtId="0" fontId="17" fillId="48" borderId="288" xfId="0" applyFont="1" applyFill="1" applyBorder="1" applyAlignment="1">
      <alignment horizontal="left" vertical="center"/>
    </xf>
    <xf numFmtId="3" fontId="0" fillId="0" borderId="293" xfId="0" applyNumberFormat="1" applyBorder="1"/>
    <xf numFmtId="0" fontId="0" fillId="0" borderId="336" xfId="0" applyBorder="1"/>
    <xf numFmtId="0" fontId="0" fillId="0" borderId="337" xfId="0" applyBorder="1"/>
    <xf numFmtId="0" fontId="17" fillId="0" borderId="298" xfId="0" applyFont="1" applyBorder="1"/>
    <xf numFmtId="3" fontId="0" fillId="0" borderId="297" xfId="0" applyNumberFormat="1" applyBorder="1"/>
    <xf numFmtId="3" fontId="0" fillId="11" borderId="320" xfId="0" applyNumberFormat="1" applyFill="1" applyBorder="1"/>
    <xf numFmtId="3" fontId="0" fillId="0" borderId="307" xfId="0" applyNumberFormat="1" applyBorder="1"/>
    <xf numFmtId="3" fontId="0" fillId="0" borderId="326" xfId="0" applyNumberFormat="1" applyBorder="1"/>
    <xf numFmtId="3" fontId="19" fillId="0" borderId="323" xfId="0" applyNumberFormat="1" applyFont="1" applyBorder="1"/>
    <xf numFmtId="170" fontId="0" fillId="0" borderId="321" xfId="0" applyNumberFormat="1" applyBorder="1"/>
    <xf numFmtId="170" fontId="0" fillId="0" borderId="309" xfId="0" applyNumberFormat="1" applyBorder="1"/>
    <xf numFmtId="170" fontId="0" fillId="0" borderId="327" xfId="0" applyNumberFormat="1" applyBorder="1"/>
    <xf numFmtId="170" fontId="19" fillId="0" borderId="324" xfId="0" applyNumberFormat="1" applyFont="1" applyBorder="1"/>
    <xf numFmtId="169" fontId="19" fillId="0" borderId="324" xfId="0" applyNumberFormat="1" applyFont="1" applyBorder="1"/>
    <xf numFmtId="0" fontId="17" fillId="11" borderId="320" xfId="0" applyFont="1" applyFill="1" applyBorder="1"/>
    <xf numFmtId="3" fontId="19" fillId="48" borderId="323" xfId="0" applyNumberFormat="1" applyFont="1" applyFill="1" applyBorder="1"/>
    <xf numFmtId="170" fontId="19" fillId="48" borderId="324" xfId="0" applyNumberFormat="1" applyFont="1" applyFill="1" applyBorder="1"/>
    <xf numFmtId="170" fontId="19" fillId="48" borderId="330" xfId="0" applyNumberFormat="1" applyFont="1" applyFill="1" applyBorder="1"/>
    <xf numFmtId="3" fontId="19" fillId="0" borderId="291" xfId="0" applyNumberFormat="1" applyFont="1" applyBorder="1"/>
    <xf numFmtId="3" fontId="19" fillId="0" borderId="292" xfId="0" applyNumberFormat="1" applyFont="1" applyBorder="1"/>
    <xf numFmtId="1" fontId="19" fillId="0" borderId="29" xfId="0" applyNumberFormat="1" applyFont="1" applyBorder="1" applyAlignment="1">
      <alignment horizontal="center" vertical="center" wrapText="1"/>
    </xf>
    <xf numFmtId="1" fontId="0" fillId="0" borderId="29" xfId="0" applyNumberFormat="1" applyBorder="1"/>
    <xf numFmtId="3" fontId="19" fillId="11" borderId="343" xfId="0" applyNumberFormat="1" applyFont="1" applyFill="1" applyBorder="1"/>
    <xf numFmtId="3" fontId="19" fillId="11" borderId="344" xfId="0" applyNumberFormat="1" applyFont="1" applyFill="1" applyBorder="1"/>
    <xf numFmtId="0" fontId="74" fillId="26" borderId="0" xfId="0" applyFont="1" applyFill="1" applyAlignment="1">
      <alignment horizontal="center" vertical="center"/>
    </xf>
    <xf numFmtId="0" fontId="46" fillId="0" borderId="165" xfId="0" applyFont="1" applyBorder="1"/>
    <xf numFmtId="0" fontId="46" fillId="0" borderId="168" xfId="0" applyFont="1" applyBorder="1"/>
    <xf numFmtId="0" fontId="46" fillId="0" borderId="17" xfId="0" applyFont="1" applyBorder="1"/>
    <xf numFmtId="0" fontId="46" fillId="0" borderId="28" xfId="0" applyFont="1" applyBorder="1"/>
    <xf numFmtId="0" fontId="74" fillId="26" borderId="28" xfId="0" applyFont="1" applyFill="1" applyBorder="1" applyAlignment="1">
      <alignment horizontal="center" vertical="center"/>
    </xf>
    <xf numFmtId="0" fontId="59" fillId="0" borderId="28" xfId="0" applyFont="1" applyBorder="1"/>
    <xf numFmtId="0" fontId="46" fillId="0" borderId="347" xfId="0" applyFont="1" applyBorder="1"/>
    <xf numFmtId="0" fontId="46" fillId="0" borderId="345" xfId="0" applyFont="1" applyBorder="1"/>
    <xf numFmtId="3" fontId="0" fillId="11" borderId="28" xfId="0" applyNumberFormat="1" applyFill="1" applyBorder="1"/>
    <xf numFmtId="3" fontId="0" fillId="11" borderId="29" xfId="0" applyNumberFormat="1" applyFill="1" applyBorder="1"/>
    <xf numFmtId="3" fontId="19" fillId="11" borderId="28" xfId="0" applyNumberFormat="1" applyFont="1" applyFill="1" applyBorder="1"/>
    <xf numFmtId="3" fontId="19" fillId="11" borderId="29" xfId="0" applyNumberFormat="1" applyFont="1" applyFill="1" applyBorder="1"/>
    <xf numFmtId="0" fontId="17" fillId="11" borderId="18" xfId="0" applyFont="1" applyFill="1" applyBorder="1"/>
    <xf numFmtId="3" fontId="0" fillId="11" borderId="18" xfId="0" applyNumberFormat="1" applyFill="1" applyBorder="1"/>
    <xf numFmtId="3" fontId="0" fillId="11" borderId="17" xfId="0" applyNumberFormat="1" applyFill="1" applyBorder="1"/>
    <xf numFmtId="3" fontId="19" fillId="11" borderId="18" xfId="0" applyNumberFormat="1" applyFont="1" applyFill="1" applyBorder="1"/>
    <xf numFmtId="0" fontId="19" fillId="11" borderId="342" xfId="0" applyFont="1" applyFill="1" applyBorder="1"/>
    <xf numFmtId="3" fontId="19" fillId="11" borderId="15" xfId="0" applyNumberFormat="1" applyFont="1" applyFill="1" applyBorder="1"/>
    <xf numFmtId="3" fontId="19" fillId="11" borderId="342" xfId="0" applyNumberFormat="1" applyFont="1" applyFill="1" applyBorder="1"/>
    <xf numFmtId="3" fontId="19" fillId="11" borderId="202" xfId="0" applyNumberFormat="1" applyFont="1" applyFill="1" applyBorder="1"/>
    <xf numFmtId="0" fontId="17" fillId="11" borderId="28" xfId="0" applyFont="1" applyFill="1" applyBorder="1"/>
    <xf numFmtId="3" fontId="17" fillId="11" borderId="28" xfId="0" applyNumberFormat="1" applyFont="1" applyFill="1" applyBorder="1"/>
    <xf numFmtId="3" fontId="17" fillId="11" borderId="29" xfId="0" applyNumberFormat="1" applyFont="1" applyFill="1" applyBorder="1"/>
    <xf numFmtId="0" fontId="17" fillId="11" borderId="11" xfId="0" applyFont="1" applyFill="1" applyBorder="1"/>
    <xf numFmtId="3" fontId="17" fillId="11" borderId="11" xfId="0" applyNumberFormat="1" applyFont="1" applyFill="1" applyBorder="1"/>
    <xf numFmtId="3" fontId="17" fillId="11" borderId="31" xfId="0" applyNumberFormat="1" applyFont="1" applyFill="1" applyBorder="1"/>
    <xf numFmtId="3" fontId="17" fillId="11" borderId="32" xfId="0" applyNumberFormat="1" applyFont="1" applyFill="1" applyBorder="1"/>
    <xf numFmtId="0" fontId="19" fillId="11" borderId="28" xfId="0" applyFont="1" applyFill="1" applyBorder="1"/>
    <xf numFmtId="0" fontId="0" fillId="11" borderId="28" xfId="0" applyFill="1" applyBorder="1"/>
    <xf numFmtId="1" fontId="0" fillId="11" borderId="29" xfId="0" applyNumberFormat="1" applyFill="1" applyBorder="1"/>
    <xf numFmtId="0" fontId="0" fillId="38" borderId="0" xfId="0" applyFill="1"/>
    <xf numFmtId="3" fontId="0" fillId="38" borderId="0" xfId="0" applyNumberFormat="1" applyFill="1"/>
    <xf numFmtId="3" fontId="0" fillId="38" borderId="28" xfId="0" applyNumberFormat="1" applyFill="1" applyBorder="1"/>
    <xf numFmtId="3" fontId="68" fillId="38" borderId="241" xfId="0" applyNumberFormat="1" applyFont="1" applyFill="1" applyBorder="1"/>
    <xf numFmtId="3" fontId="68" fillId="38" borderId="243" xfId="0" applyNumberFormat="1" applyFont="1" applyFill="1" applyBorder="1"/>
    <xf numFmtId="3" fontId="0" fillId="38" borderId="241" xfId="0" applyNumberFormat="1" applyFill="1" applyBorder="1"/>
    <xf numFmtId="3" fontId="0" fillId="38" borderId="243" xfId="0" applyNumberFormat="1" applyFill="1" applyBorder="1"/>
    <xf numFmtId="0" fontId="17" fillId="38" borderId="0" xfId="0" applyFont="1" applyFill="1"/>
    <xf numFmtId="0" fontId="17" fillId="11" borderId="17" xfId="0" applyFont="1" applyFill="1" applyBorder="1"/>
    <xf numFmtId="3" fontId="17" fillId="11" borderId="18" xfId="0" applyNumberFormat="1" applyFont="1" applyFill="1" applyBorder="1"/>
    <xf numFmtId="3" fontId="17" fillId="11" borderId="17" xfId="0" applyNumberFormat="1" applyFont="1" applyFill="1" applyBorder="1"/>
    <xf numFmtId="3" fontId="17" fillId="11" borderId="27" xfId="0" applyNumberFormat="1" applyFont="1" applyFill="1" applyBorder="1"/>
    <xf numFmtId="169" fontId="69" fillId="0" borderId="0" xfId="0" applyNumberFormat="1" applyFont="1"/>
    <xf numFmtId="0" fontId="3" fillId="0" borderId="29" xfId="0" applyFont="1" applyBorder="1"/>
    <xf numFmtId="3" fontId="38" fillId="0" borderId="29" xfId="0" applyNumberFormat="1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69" fontId="22" fillId="0" borderId="29" xfId="0" applyNumberFormat="1" applyFont="1" applyBorder="1"/>
    <xf numFmtId="169" fontId="22" fillId="12" borderId="29" xfId="0" applyNumberFormat="1" applyFont="1" applyFill="1" applyBorder="1"/>
    <xf numFmtId="167" fontId="22" fillId="12" borderId="29" xfId="0" applyNumberFormat="1" applyFont="1" applyFill="1" applyBorder="1"/>
    <xf numFmtId="4" fontId="21" fillId="10" borderId="29" xfId="0" applyNumberFormat="1" applyFont="1" applyFill="1" applyBorder="1"/>
    <xf numFmtId="4" fontId="10" fillId="12" borderId="29" xfId="0" applyNumberFormat="1" applyFont="1" applyFill="1" applyBorder="1"/>
    <xf numFmtId="3" fontId="10" fillId="0" borderId="29" xfId="0" applyNumberFormat="1" applyFont="1" applyBorder="1"/>
    <xf numFmtId="3" fontId="3" fillId="0" borderId="29" xfId="0" applyNumberFormat="1" applyFont="1" applyBorder="1"/>
    <xf numFmtId="3" fontId="0" fillId="0" borderId="29" xfId="0" applyNumberFormat="1" applyBorder="1"/>
    <xf numFmtId="3" fontId="12" fillId="5" borderId="29" xfId="0" applyNumberFormat="1" applyFont="1" applyFill="1" applyBorder="1"/>
    <xf numFmtId="4" fontId="12" fillId="5" borderId="29" xfId="0" applyNumberFormat="1" applyFont="1" applyFill="1" applyBorder="1"/>
    <xf numFmtId="3" fontId="12" fillId="14" borderId="29" xfId="0" applyNumberFormat="1" applyFont="1" applyFill="1" applyBorder="1"/>
    <xf numFmtId="3" fontId="19" fillId="12" borderId="29" xfId="0" applyNumberFormat="1" applyFont="1" applyFill="1" applyBorder="1" applyAlignment="1">
      <alignment horizontal="right" wrapText="1"/>
    </xf>
    <xf numFmtId="3" fontId="3" fillId="12" borderId="29" xfId="0" applyNumberFormat="1" applyFont="1" applyFill="1" applyBorder="1"/>
    <xf numFmtId="0" fontId="0" fillId="0" borderId="29" xfId="0" applyBorder="1"/>
    <xf numFmtId="3" fontId="3" fillId="11" borderId="29" xfId="0" applyNumberFormat="1" applyFont="1" applyFill="1" applyBorder="1"/>
    <xf numFmtId="3" fontId="5" fillId="10" borderId="29" xfId="0" applyNumberFormat="1" applyFont="1" applyFill="1" applyBorder="1" applyAlignment="1">
      <alignment horizontal="right"/>
    </xf>
    <xf numFmtId="10" fontId="54" fillId="0" borderId="29" xfId="0" applyNumberFormat="1" applyFont="1" applyBorder="1"/>
    <xf numFmtId="0" fontId="10" fillId="0" borderId="29" xfId="0" applyFont="1" applyBorder="1"/>
    <xf numFmtId="3" fontId="11" fillId="12" borderId="29" xfId="0" applyNumberFormat="1" applyFont="1" applyFill="1" applyBorder="1"/>
    <xf numFmtId="3" fontId="10" fillId="12" borderId="29" xfId="0" applyNumberFormat="1" applyFont="1" applyFill="1" applyBorder="1"/>
    <xf numFmtId="3" fontId="56" fillId="0" borderId="29" xfId="0" applyNumberFormat="1" applyFont="1" applyBorder="1"/>
    <xf numFmtId="10" fontId="6" fillId="0" borderId="29" xfId="0" applyNumberFormat="1" applyFont="1" applyBorder="1"/>
    <xf numFmtId="3" fontId="6" fillId="0" borderId="29" xfId="0" applyNumberFormat="1" applyFont="1" applyBorder="1"/>
    <xf numFmtId="3" fontId="26" fillId="12" borderId="29" xfId="0" applyNumberFormat="1" applyFont="1" applyFill="1" applyBorder="1" applyAlignment="1">
      <alignment horizontal="right"/>
    </xf>
    <xf numFmtId="0" fontId="21" fillId="0" borderId="29" xfId="0" applyFont="1" applyBorder="1"/>
    <xf numFmtId="4" fontId="14" fillId="19" borderId="29" xfId="0" applyNumberFormat="1" applyFont="1" applyFill="1" applyBorder="1" applyAlignment="1">
      <alignment wrapText="1"/>
    </xf>
    <xf numFmtId="4" fontId="3" fillId="0" borderId="29" xfId="0" applyNumberFormat="1" applyFont="1" applyBorder="1" applyAlignment="1">
      <alignment vertical="top" wrapText="1"/>
    </xf>
    <xf numFmtId="3" fontId="3" fillId="0" borderId="29" xfId="0" applyNumberFormat="1" applyFont="1" applyBorder="1" applyAlignment="1">
      <alignment vertical="top" wrapText="1"/>
    </xf>
    <xf numFmtId="0" fontId="4" fillId="0" borderId="29" xfId="0" applyFont="1" applyBorder="1" applyAlignment="1">
      <alignment vertical="top" wrapText="1"/>
    </xf>
    <xf numFmtId="3" fontId="4" fillId="0" borderId="29" xfId="0" applyNumberFormat="1" applyFont="1" applyBorder="1" applyAlignment="1">
      <alignment vertical="top" wrapText="1"/>
    </xf>
    <xf numFmtId="3" fontId="14" fillId="0" borderId="29" xfId="0" applyNumberFormat="1" applyFont="1" applyBorder="1" applyAlignment="1">
      <alignment wrapText="1"/>
    </xf>
    <xf numFmtId="3" fontId="38" fillId="0" borderId="28" xfId="0" applyNumberFormat="1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3" fontId="5" fillId="10" borderId="28" xfId="0" applyNumberFormat="1" applyFont="1" applyFill="1" applyBorder="1" applyAlignment="1">
      <alignment horizontal="right"/>
    </xf>
    <xf numFmtId="169" fontId="69" fillId="0" borderId="28" xfId="0" applyNumberFormat="1" applyFont="1" applyBorder="1"/>
    <xf numFmtId="169" fontId="69" fillId="0" borderId="29" xfId="0" applyNumberFormat="1" applyFont="1" applyBorder="1"/>
    <xf numFmtId="169" fontId="22" fillId="0" borderId="28" xfId="0" applyNumberFormat="1" applyFont="1" applyBorder="1"/>
    <xf numFmtId="169" fontId="22" fillId="12" borderId="28" xfId="0" applyNumberFormat="1" applyFont="1" applyFill="1" applyBorder="1"/>
    <xf numFmtId="167" fontId="22" fillId="12" borderId="28" xfId="0" applyNumberFormat="1" applyFont="1" applyFill="1" applyBorder="1"/>
    <xf numFmtId="4" fontId="21" fillId="10" borderId="28" xfId="0" applyNumberFormat="1" applyFont="1" applyFill="1" applyBorder="1"/>
    <xf numFmtId="4" fontId="10" fillId="12" borderId="28" xfId="0" applyNumberFormat="1" applyFont="1" applyFill="1" applyBorder="1"/>
    <xf numFmtId="3" fontId="10" fillId="0" borderId="28" xfId="0" applyNumberFormat="1" applyFont="1" applyBorder="1"/>
    <xf numFmtId="3" fontId="3" fillId="0" borderId="28" xfId="0" applyNumberFormat="1" applyFont="1" applyBorder="1"/>
    <xf numFmtId="3" fontId="12" fillId="5" borderId="28" xfId="0" applyNumberFormat="1" applyFont="1" applyFill="1" applyBorder="1"/>
    <xf numFmtId="4" fontId="12" fillId="5" borderId="28" xfId="0" applyNumberFormat="1" applyFont="1" applyFill="1" applyBorder="1"/>
    <xf numFmtId="3" fontId="12" fillId="14" borderId="28" xfId="0" applyNumberFormat="1" applyFont="1" applyFill="1" applyBorder="1"/>
    <xf numFmtId="3" fontId="19" fillId="12" borderId="28" xfId="0" applyNumberFormat="1" applyFont="1" applyFill="1" applyBorder="1" applyAlignment="1">
      <alignment horizontal="right" wrapText="1"/>
    </xf>
    <xf numFmtId="3" fontId="3" fillId="12" borderId="28" xfId="0" applyNumberFormat="1" applyFont="1" applyFill="1" applyBorder="1"/>
    <xf numFmtId="3" fontId="3" fillId="11" borderId="28" xfId="0" applyNumberFormat="1" applyFont="1" applyFill="1" applyBorder="1"/>
    <xf numFmtId="10" fontId="54" fillId="0" borderId="28" xfId="0" applyNumberFormat="1" applyFont="1" applyBorder="1"/>
    <xf numFmtId="3" fontId="11" fillId="12" borderId="28" xfId="0" applyNumberFormat="1" applyFont="1" applyFill="1" applyBorder="1"/>
    <xf numFmtId="3" fontId="56" fillId="0" borderId="28" xfId="0" applyNumberFormat="1" applyFont="1" applyBorder="1"/>
    <xf numFmtId="10" fontId="6" fillId="0" borderId="28" xfId="0" applyNumberFormat="1" applyFont="1" applyBorder="1"/>
    <xf numFmtId="3" fontId="6" fillId="0" borderId="28" xfId="0" applyNumberFormat="1" applyFont="1" applyBorder="1"/>
    <xf numFmtId="3" fontId="26" fillId="12" borderId="28" xfId="0" applyNumberFormat="1" applyFont="1" applyFill="1" applyBorder="1" applyAlignment="1">
      <alignment horizontal="right"/>
    </xf>
    <xf numFmtId="0" fontId="21" fillId="0" borderId="28" xfId="0" applyFont="1" applyBorder="1"/>
    <xf numFmtId="4" fontId="14" fillId="19" borderId="28" xfId="0" applyNumberFormat="1" applyFont="1" applyFill="1" applyBorder="1" applyAlignment="1">
      <alignment wrapText="1"/>
    </xf>
    <xf numFmtId="4" fontId="3" fillId="0" borderId="28" xfId="0" applyNumberFormat="1" applyFont="1" applyBorder="1" applyAlignment="1">
      <alignment vertical="top" wrapText="1"/>
    </xf>
    <xf numFmtId="3" fontId="3" fillId="0" borderId="28" xfId="0" applyNumberFormat="1" applyFont="1" applyBorder="1" applyAlignment="1">
      <alignment vertical="top" wrapText="1"/>
    </xf>
    <xf numFmtId="0" fontId="4" fillId="0" borderId="28" xfId="0" applyFont="1" applyBorder="1" applyAlignment="1">
      <alignment vertical="top" wrapText="1"/>
    </xf>
    <xf numFmtId="3" fontId="4" fillId="0" borderId="28" xfId="0" applyNumberFormat="1" applyFont="1" applyBorder="1" applyAlignment="1">
      <alignment vertical="top" wrapText="1"/>
    </xf>
    <xf numFmtId="3" fontId="14" fillId="0" borderId="28" xfId="0" applyNumberFormat="1" applyFont="1" applyBorder="1" applyAlignment="1">
      <alignment wrapText="1"/>
    </xf>
    <xf numFmtId="169" fontId="10" fillId="0" borderId="28" xfId="0" applyNumberFormat="1" applyFont="1" applyBorder="1"/>
    <xf numFmtId="169" fontId="10" fillId="12" borderId="28" xfId="0" applyNumberFormat="1" applyFont="1" applyFill="1" applyBorder="1"/>
    <xf numFmtId="169" fontId="10" fillId="12" borderId="31" xfId="0" applyNumberFormat="1" applyFont="1" applyFill="1" applyBorder="1"/>
    <xf numFmtId="169" fontId="25" fillId="12" borderId="11" xfId="0" applyNumberFormat="1" applyFont="1" applyFill="1" applyBorder="1"/>
    <xf numFmtId="169" fontId="22" fillId="12" borderId="11" xfId="0" applyNumberFormat="1" applyFont="1" applyFill="1" applyBorder="1"/>
    <xf numFmtId="169" fontId="22" fillId="12" borderId="31" xfId="0" applyNumberFormat="1" applyFont="1" applyFill="1" applyBorder="1"/>
    <xf numFmtId="169" fontId="0" fillId="12" borderId="11" xfId="0" applyNumberFormat="1" applyFill="1" applyBorder="1"/>
    <xf numFmtId="169" fontId="21" fillId="10" borderId="17" xfId="0" applyNumberFormat="1" applyFont="1" applyFill="1" applyBorder="1"/>
    <xf numFmtId="169" fontId="37" fillId="10" borderId="18" xfId="0" applyNumberFormat="1" applyFont="1" applyFill="1" applyBorder="1"/>
    <xf numFmtId="169" fontId="21" fillId="10" borderId="18" xfId="0" applyNumberFormat="1" applyFont="1" applyFill="1" applyBorder="1"/>
    <xf numFmtId="169" fontId="19" fillId="10" borderId="18" xfId="0" applyNumberFormat="1" applyFont="1" applyFill="1" applyBorder="1"/>
    <xf numFmtId="167" fontId="10" fillId="12" borderId="28" xfId="0" applyNumberFormat="1" applyFont="1" applyFill="1" applyBorder="1"/>
    <xf numFmtId="0" fontId="0" fillId="12" borderId="11" xfId="0" applyFill="1" applyBorder="1"/>
    <xf numFmtId="169" fontId="21" fillId="10" borderId="27" xfId="0" applyNumberFormat="1" applyFont="1" applyFill="1" applyBorder="1"/>
    <xf numFmtId="169" fontId="22" fillId="12" borderId="32" xfId="0" applyNumberFormat="1" applyFont="1" applyFill="1" applyBorder="1"/>
    <xf numFmtId="0" fontId="21" fillId="10" borderId="17" xfId="0" applyFont="1" applyFill="1" applyBorder="1"/>
    <xf numFmtId="0" fontId="37" fillId="10" borderId="18" xfId="0" applyFont="1" applyFill="1" applyBorder="1"/>
    <xf numFmtId="0" fontId="19" fillId="10" borderId="18" xfId="0" applyFont="1" applyFill="1" applyBorder="1"/>
    <xf numFmtId="0" fontId="21" fillId="10" borderId="28" xfId="0" applyFont="1" applyFill="1" applyBorder="1"/>
    <xf numFmtId="3" fontId="21" fillId="10" borderId="31" xfId="0" applyNumberFormat="1" applyFont="1" applyFill="1" applyBorder="1"/>
    <xf numFmtId="3" fontId="21" fillId="10" borderId="11" xfId="0" applyNumberFormat="1" applyFont="1" applyFill="1" applyBorder="1"/>
    <xf numFmtId="3" fontId="21" fillId="10" borderId="32" xfId="0" applyNumberFormat="1" applyFont="1" applyFill="1" applyBorder="1"/>
    <xf numFmtId="3" fontId="19" fillId="10" borderId="11" xfId="0" applyNumberFormat="1" applyFont="1" applyFill="1" applyBorder="1"/>
    <xf numFmtId="3" fontId="74" fillId="0" borderId="27" xfId="0" applyNumberFormat="1" applyFont="1" applyBorder="1"/>
    <xf numFmtId="3" fontId="74" fillId="0" borderId="29" xfId="0" applyNumberFormat="1" applyFont="1" applyBorder="1"/>
    <xf numFmtId="3" fontId="74" fillId="26" borderId="29" xfId="0" applyNumberFormat="1" applyFont="1" applyFill="1" applyBorder="1" applyAlignment="1">
      <alignment horizontal="center" vertical="center" wrapText="1"/>
    </xf>
    <xf numFmtId="3" fontId="74" fillId="0" borderId="346" xfId="0" applyNumberFormat="1" applyFont="1" applyBorder="1" applyAlignment="1">
      <alignment vertical="center"/>
    </xf>
    <xf numFmtId="3" fontId="74" fillId="0" borderId="29" xfId="0" applyNumberFormat="1" applyFont="1" applyBorder="1" applyAlignment="1">
      <alignment vertical="center"/>
    </xf>
    <xf numFmtId="3" fontId="74" fillId="0" borderId="348" xfId="0" applyNumberFormat="1" applyFont="1" applyBorder="1" applyAlignment="1">
      <alignment vertical="center"/>
    </xf>
    <xf numFmtId="3" fontId="5" fillId="24" borderId="351" xfId="0" applyNumberFormat="1" applyFont="1" applyFill="1" applyBorder="1"/>
    <xf numFmtId="3" fontId="5" fillId="12" borderId="352" xfId="0" applyNumberFormat="1" applyFont="1" applyFill="1" applyBorder="1"/>
    <xf numFmtId="3" fontId="26" fillId="12" borderId="352" xfId="0" applyNumberFormat="1" applyFont="1" applyFill="1" applyBorder="1" applyAlignment="1">
      <alignment horizontal="right"/>
    </xf>
    <xf numFmtId="3" fontId="26" fillId="12" borderId="354" xfId="0" applyNumberFormat="1" applyFont="1" applyFill="1" applyBorder="1" applyAlignment="1">
      <alignment horizontal="right"/>
    </xf>
    <xf numFmtId="0" fontId="0" fillId="12" borderId="353" xfId="0" applyFill="1" applyBorder="1"/>
    <xf numFmtId="0" fontId="0" fillId="12" borderId="355" xfId="0" applyFill="1" applyBorder="1"/>
    <xf numFmtId="3" fontId="72" fillId="24" borderId="356" xfId="0" applyNumberFormat="1" applyFont="1" applyFill="1" applyBorder="1"/>
    <xf numFmtId="10" fontId="5" fillId="24" borderId="356" xfId="0" applyNumberFormat="1" applyFont="1" applyFill="1" applyBorder="1"/>
    <xf numFmtId="10" fontId="5" fillId="24" borderId="357" xfId="0" applyNumberFormat="1" applyFont="1" applyFill="1" applyBorder="1"/>
    <xf numFmtId="10" fontId="5" fillId="12" borderId="358" xfId="0" applyNumberFormat="1" applyFont="1" applyFill="1" applyBorder="1"/>
    <xf numFmtId="10" fontId="26" fillId="12" borderId="358" xfId="0" applyNumberFormat="1" applyFont="1" applyFill="1" applyBorder="1" applyAlignment="1">
      <alignment horizontal="right"/>
    </xf>
    <xf numFmtId="10" fontId="26" fillId="12" borderId="360" xfId="0" applyNumberFormat="1" applyFont="1" applyFill="1" applyBorder="1" applyAlignment="1">
      <alignment horizontal="right"/>
    </xf>
    <xf numFmtId="10" fontId="0" fillId="12" borderId="359" xfId="0" applyNumberFormat="1" applyFill="1" applyBorder="1"/>
    <xf numFmtId="10" fontId="0" fillId="12" borderId="361" xfId="0" applyNumberFormat="1" applyFill="1" applyBorder="1"/>
    <xf numFmtId="3" fontId="68" fillId="11" borderId="241" xfId="0" applyNumberFormat="1" applyFont="1" applyFill="1" applyBorder="1" applyAlignment="1">
      <alignment horizontal="right" vertical="center"/>
    </xf>
    <xf numFmtId="0" fontId="0" fillId="11" borderId="0" xfId="0" applyFill="1" applyAlignment="1">
      <alignment horizontal="right" vertical="center"/>
    </xf>
    <xf numFmtId="4" fontId="19" fillId="26" borderId="166" xfId="0" applyNumberFormat="1" applyFont="1" applyFill="1" applyBorder="1" applyAlignment="1">
      <alignment vertical="top"/>
    </xf>
    <xf numFmtId="3" fontId="26" fillId="12" borderId="362" xfId="0" applyNumberFormat="1" applyFont="1" applyFill="1" applyBorder="1" applyAlignment="1">
      <alignment horizontal="right"/>
    </xf>
    <xf numFmtId="3" fontId="17" fillId="11" borderId="29" xfId="6" applyNumberFormat="1" applyFill="1" applyBorder="1" applyAlignment="1">
      <alignment horizontal="right"/>
    </xf>
    <xf numFmtId="3" fontId="17" fillId="11" borderId="29" xfId="6" applyNumberFormat="1" applyFill="1" applyBorder="1"/>
    <xf numFmtId="3" fontId="17" fillId="38" borderId="29" xfId="6" applyNumberFormat="1" applyFill="1" applyBorder="1"/>
    <xf numFmtId="0" fontId="76" fillId="0" borderId="0" xfId="0" applyFont="1" applyAlignment="1">
      <alignment wrapText="1"/>
    </xf>
    <xf numFmtId="3" fontId="17" fillId="11" borderId="32" xfId="6" applyNumberFormat="1" applyFill="1" applyBorder="1"/>
    <xf numFmtId="3" fontId="17" fillId="11" borderId="27" xfId="6" applyNumberFormat="1" applyFill="1" applyBorder="1"/>
    <xf numFmtId="3" fontId="73" fillId="12" borderId="363" xfId="0" applyNumberFormat="1" applyFont="1" applyFill="1" applyBorder="1" applyAlignment="1">
      <alignment horizontal="right"/>
    </xf>
    <xf numFmtId="10" fontId="26" fillId="12" borderId="363" xfId="0" applyNumberFormat="1" applyFont="1" applyFill="1" applyBorder="1" applyAlignment="1">
      <alignment horizontal="right"/>
    </xf>
    <xf numFmtId="10" fontId="26" fillId="12" borderId="364" xfId="0" applyNumberFormat="1" applyFont="1" applyFill="1" applyBorder="1" applyAlignment="1">
      <alignment horizontal="right"/>
    </xf>
    <xf numFmtId="3" fontId="0" fillId="38" borderId="29" xfId="0" applyNumberFormat="1" applyFill="1" applyBorder="1"/>
    <xf numFmtId="3" fontId="0" fillId="11" borderId="245" xfId="0" applyNumberFormat="1" applyFill="1" applyBorder="1"/>
    <xf numFmtId="0" fontId="76" fillId="0" borderId="11" xfId="0" applyFont="1" applyBorder="1" applyAlignment="1">
      <alignment wrapText="1"/>
    </xf>
    <xf numFmtId="0" fontId="46" fillId="38" borderId="345" xfId="0" applyFont="1" applyFill="1" applyBorder="1"/>
    <xf numFmtId="3" fontId="73" fillId="12" borderId="28" xfId="0" applyNumberFormat="1" applyFont="1" applyFill="1" applyBorder="1" applyAlignment="1">
      <alignment horizontal="right"/>
    </xf>
    <xf numFmtId="10" fontId="26" fillId="12" borderId="28" xfId="0" applyNumberFormat="1" applyFont="1" applyFill="1" applyBorder="1" applyAlignment="1">
      <alignment horizontal="right"/>
    </xf>
    <xf numFmtId="3" fontId="5" fillId="15" borderId="28" xfId="0" applyNumberFormat="1" applyFont="1" applyFill="1" applyBorder="1"/>
    <xf numFmtId="0" fontId="54" fillId="0" borderId="28" xfId="0" applyFont="1" applyBorder="1"/>
    <xf numFmtId="0" fontId="11" fillId="16" borderId="28" xfId="0" applyFont="1" applyFill="1" applyBorder="1"/>
    <xf numFmtId="3" fontId="56" fillId="11" borderId="28" xfId="0" applyNumberFormat="1" applyFont="1" applyFill="1" applyBorder="1"/>
    <xf numFmtId="0" fontId="11" fillId="17" borderId="28" xfId="0" applyFont="1" applyFill="1" applyBorder="1"/>
    <xf numFmtId="0" fontId="6" fillId="0" borderId="28" xfId="0" applyFont="1" applyBorder="1"/>
    <xf numFmtId="3" fontId="5" fillId="18" borderId="28" xfId="0" applyNumberFormat="1" applyFont="1" applyFill="1" applyBorder="1"/>
    <xf numFmtId="3" fontId="5" fillId="24" borderId="28" xfId="0" applyNumberFormat="1" applyFont="1" applyFill="1" applyBorder="1"/>
    <xf numFmtId="3" fontId="5" fillId="24" borderId="31" xfId="0" applyNumberFormat="1" applyFont="1" applyFill="1" applyBorder="1"/>
    <xf numFmtId="3" fontId="5" fillId="12" borderId="11" xfId="0" applyNumberFormat="1" applyFont="1" applyFill="1" applyBorder="1"/>
    <xf numFmtId="3" fontId="26" fillId="12" borderId="11" xfId="0" applyNumberFormat="1" applyFont="1" applyFill="1" applyBorder="1" applyAlignment="1">
      <alignment horizontal="right"/>
    </xf>
    <xf numFmtId="3" fontId="26" fillId="12" borderId="31" xfId="0" applyNumberFormat="1" applyFont="1" applyFill="1" applyBorder="1" applyAlignment="1">
      <alignment horizontal="right"/>
    </xf>
    <xf numFmtId="3" fontId="26" fillId="12" borderId="32" xfId="0" applyNumberFormat="1" applyFont="1" applyFill="1" applyBorder="1" applyAlignment="1">
      <alignment horizontal="right"/>
    </xf>
    <xf numFmtId="3" fontId="26" fillId="12" borderId="17" xfId="0" applyNumberFormat="1" applyFont="1" applyFill="1" applyBorder="1" applyAlignment="1">
      <alignment horizontal="right"/>
    </xf>
    <xf numFmtId="10" fontId="26" fillId="12" borderId="31" xfId="0" applyNumberFormat="1" applyFont="1" applyFill="1" applyBorder="1" applyAlignment="1">
      <alignment horizontal="right"/>
    </xf>
    <xf numFmtId="3" fontId="22" fillId="0" borderId="28" xfId="0" applyNumberFormat="1" applyFont="1" applyBorder="1"/>
    <xf numFmtId="3" fontId="22" fillId="0" borderId="29" xfId="0" applyNumberFormat="1" applyFont="1" applyBorder="1"/>
    <xf numFmtId="3" fontId="19" fillId="11" borderId="27" xfId="0" applyNumberFormat="1" applyFont="1" applyFill="1" applyBorder="1"/>
    <xf numFmtId="3" fontId="19" fillId="11" borderId="32" xfId="0" applyNumberFormat="1" applyFont="1" applyFill="1" applyBorder="1"/>
    <xf numFmtId="3" fontId="17" fillId="11" borderId="0" xfId="0" applyNumberFormat="1" applyFont="1" applyFill="1"/>
    <xf numFmtId="0" fontId="19" fillId="11" borderId="17" xfId="0" applyFont="1" applyFill="1" applyBorder="1"/>
    <xf numFmtId="0" fontId="19" fillId="11" borderId="18" xfId="0" applyFont="1" applyFill="1" applyBorder="1"/>
    <xf numFmtId="3" fontId="19" fillId="11" borderId="17" xfId="0" applyNumberFormat="1" applyFont="1" applyFill="1" applyBorder="1"/>
    <xf numFmtId="3" fontId="19" fillId="11" borderId="340" xfId="0" applyNumberFormat="1" applyFont="1" applyFill="1" applyBorder="1"/>
    <xf numFmtId="3" fontId="59" fillId="11" borderId="0" xfId="0" applyNumberFormat="1" applyFont="1" applyFill="1"/>
    <xf numFmtId="3" fontId="19" fillId="11" borderId="0" xfId="0" applyNumberFormat="1" applyFont="1" applyFill="1"/>
    <xf numFmtId="1" fontId="19" fillId="0" borderId="0" xfId="0" applyNumberFormat="1" applyFont="1" applyAlignment="1">
      <alignment horizontal="center" vertical="center" wrapText="1"/>
    </xf>
    <xf numFmtId="3" fontId="19" fillId="11" borderId="31" xfId="0" applyNumberFormat="1" applyFont="1" applyFill="1" applyBorder="1"/>
    <xf numFmtId="0" fontId="0" fillId="11" borderId="29" xfId="0" applyFill="1" applyBorder="1"/>
    <xf numFmtId="3" fontId="0" fillId="11" borderId="29" xfId="0" applyNumberFormat="1" applyFill="1" applyBorder="1" applyAlignment="1">
      <alignment horizontal="right" vertical="center"/>
    </xf>
    <xf numFmtId="2" fontId="19" fillId="11" borderId="349" xfId="0" applyNumberFormat="1" applyFont="1" applyFill="1" applyBorder="1" applyAlignment="1">
      <alignment horizontal="center" wrapText="1"/>
    </xf>
    <xf numFmtId="2" fontId="19" fillId="11" borderId="350" xfId="0" applyNumberFormat="1" applyFont="1" applyFill="1" applyBorder="1" applyAlignment="1">
      <alignment horizontal="center" wrapText="1"/>
    </xf>
    <xf numFmtId="2" fontId="19" fillId="11" borderId="366" xfId="0" applyNumberFormat="1" applyFont="1" applyFill="1" applyBorder="1" applyAlignment="1">
      <alignment wrapText="1"/>
    </xf>
    <xf numFmtId="0" fontId="19" fillId="11" borderId="367" xfId="0" applyFont="1" applyFill="1" applyBorder="1" applyAlignment="1">
      <alignment horizontal="center" vertical="center" wrapText="1"/>
    </xf>
    <xf numFmtId="0" fontId="19" fillId="11" borderId="368" xfId="0" applyFont="1" applyFill="1" applyBorder="1" applyAlignment="1">
      <alignment horizontal="center" vertical="center" wrapText="1"/>
    </xf>
    <xf numFmtId="3" fontId="0" fillId="11" borderId="369" xfId="0" applyNumberFormat="1" applyFill="1" applyBorder="1"/>
    <xf numFmtId="0" fontId="0" fillId="11" borderId="370" xfId="0" applyFill="1" applyBorder="1"/>
    <xf numFmtId="3" fontId="0" fillId="11" borderId="371" xfId="0" applyNumberFormat="1" applyFill="1" applyBorder="1"/>
    <xf numFmtId="0" fontId="0" fillId="11" borderId="372" xfId="0" applyFill="1" applyBorder="1"/>
    <xf numFmtId="3" fontId="0" fillId="38" borderId="371" xfId="0" applyNumberFormat="1" applyFill="1" applyBorder="1"/>
    <xf numFmtId="0" fontId="0" fillId="38" borderId="372" xfId="0" applyFill="1" applyBorder="1"/>
    <xf numFmtId="3" fontId="68" fillId="11" borderId="371" xfId="0" applyNumberFormat="1" applyFont="1" applyFill="1" applyBorder="1"/>
    <xf numFmtId="3" fontId="68" fillId="38" borderId="371" xfId="0" applyNumberFormat="1" applyFont="1" applyFill="1" applyBorder="1"/>
    <xf numFmtId="0" fontId="17" fillId="11" borderId="372" xfId="0" applyFont="1" applyFill="1" applyBorder="1"/>
    <xf numFmtId="3" fontId="68" fillId="11" borderId="371" xfId="0" applyNumberFormat="1" applyFont="1" applyFill="1" applyBorder="1" applyAlignment="1">
      <alignment horizontal="center" vertical="center"/>
    </xf>
    <xf numFmtId="0" fontId="0" fillId="11" borderId="372" xfId="0" applyFill="1" applyBorder="1" applyAlignment="1">
      <alignment horizontal="right" vertical="center"/>
    </xf>
    <xf numFmtId="3" fontId="0" fillId="11" borderId="367" xfId="0" applyNumberFormat="1" applyFill="1" applyBorder="1"/>
    <xf numFmtId="0" fontId="0" fillId="11" borderId="368" xfId="0" applyFill="1" applyBorder="1"/>
    <xf numFmtId="3" fontId="0" fillId="11" borderId="373" xfId="0" applyNumberFormat="1" applyFill="1" applyBorder="1"/>
    <xf numFmtId="0" fontId="0" fillId="11" borderId="374" xfId="0" applyFill="1" applyBorder="1"/>
    <xf numFmtId="3" fontId="19" fillId="11" borderId="375" xfId="0" applyNumberFormat="1" applyFont="1" applyFill="1" applyBorder="1"/>
    <xf numFmtId="0" fontId="19" fillId="11" borderId="376" xfId="0" applyFont="1" applyFill="1" applyBorder="1"/>
    <xf numFmtId="0" fontId="17" fillId="11" borderId="27" xfId="0" applyFont="1" applyFill="1" applyBorder="1"/>
    <xf numFmtId="0" fontId="17" fillId="11" borderId="29" xfId="0" applyFont="1" applyFill="1" applyBorder="1"/>
    <xf numFmtId="0" fontId="17" fillId="11" borderId="32" xfId="0" applyFont="1" applyFill="1" applyBorder="1"/>
    <xf numFmtId="3" fontId="19" fillId="11" borderId="377" xfId="0" applyNumberFormat="1" applyFont="1" applyFill="1" applyBorder="1"/>
    <xf numFmtId="0" fontId="19" fillId="11" borderId="378" xfId="0" applyFont="1" applyFill="1" applyBorder="1"/>
    <xf numFmtId="3" fontId="19" fillId="11" borderId="373" xfId="0" applyNumberFormat="1" applyFont="1" applyFill="1" applyBorder="1"/>
    <xf numFmtId="0" fontId="19" fillId="11" borderId="374" xfId="0" applyFont="1" applyFill="1" applyBorder="1"/>
    <xf numFmtId="0" fontId="0" fillId="11" borderId="371" xfId="0" applyFill="1" applyBorder="1"/>
    <xf numFmtId="2" fontId="19" fillId="0" borderId="27" xfId="0" applyNumberFormat="1" applyFont="1" applyBorder="1" applyAlignment="1">
      <alignment wrapText="1"/>
    </xf>
    <xf numFmtId="3" fontId="19" fillId="0" borderId="0" xfId="0" applyNumberFormat="1" applyFont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3" fontId="46" fillId="11" borderId="0" xfId="0" applyNumberFormat="1" applyFont="1" applyFill="1"/>
    <xf numFmtId="0" fontId="19" fillId="11" borderId="27" xfId="0" applyFont="1" applyFill="1" applyBorder="1"/>
    <xf numFmtId="0" fontId="19" fillId="11" borderId="29" xfId="0" applyFont="1" applyFill="1" applyBorder="1"/>
    <xf numFmtId="3" fontId="59" fillId="38" borderId="0" xfId="0" applyNumberFormat="1" applyFont="1" applyFill="1"/>
    <xf numFmtId="0" fontId="19" fillId="11" borderId="202" xfId="0" applyFont="1" applyFill="1" applyBorder="1"/>
    <xf numFmtId="0" fontId="0" fillId="11" borderId="342" xfId="0" applyFill="1" applyBorder="1"/>
    <xf numFmtId="3" fontId="0" fillId="11" borderId="15" xfId="0" applyNumberFormat="1" applyFill="1" applyBorder="1"/>
    <xf numFmtId="3" fontId="0" fillId="11" borderId="342" xfId="0" applyNumberFormat="1" applyFill="1" applyBorder="1"/>
    <xf numFmtId="3" fontId="0" fillId="11" borderId="202" xfId="0" applyNumberFormat="1" applyFill="1" applyBorder="1"/>
    <xf numFmtId="3" fontId="0" fillId="11" borderId="377" xfId="0" applyNumberFormat="1" applyFill="1" applyBorder="1"/>
    <xf numFmtId="3" fontId="0" fillId="11" borderId="343" xfId="0" applyNumberFormat="1" applyFill="1" applyBorder="1"/>
    <xf numFmtId="0" fontId="0" fillId="11" borderId="378" xfId="0" applyFill="1" applyBorder="1"/>
    <xf numFmtId="0" fontId="19" fillId="11" borderId="0" xfId="0" applyFont="1" applyFill="1"/>
    <xf numFmtId="3" fontId="19" fillId="11" borderId="250" xfId="0" applyNumberFormat="1" applyFont="1" applyFill="1" applyBorder="1"/>
    <xf numFmtId="3" fontId="19" fillId="11" borderId="349" xfId="0" applyNumberFormat="1" applyFont="1" applyFill="1" applyBorder="1"/>
    <xf numFmtId="3" fontId="19" fillId="11" borderId="350" xfId="0" applyNumberFormat="1" applyFont="1" applyFill="1" applyBorder="1"/>
    <xf numFmtId="0" fontId="19" fillId="11" borderId="366" xfId="0" applyFont="1" applyFill="1" applyBorder="1"/>
    <xf numFmtId="0" fontId="19" fillId="11" borderId="31" xfId="0" applyFont="1" applyFill="1" applyBorder="1"/>
    <xf numFmtId="0" fontId="19" fillId="11" borderId="11" xfId="0" applyFont="1" applyFill="1" applyBorder="1"/>
    <xf numFmtId="3" fontId="19" fillId="11" borderId="338" xfId="0" applyNumberFormat="1" applyFont="1" applyFill="1" applyBorder="1"/>
    <xf numFmtId="3" fontId="19" fillId="11" borderId="339" xfId="0" applyNumberFormat="1" applyFont="1" applyFill="1" applyBorder="1"/>
    <xf numFmtId="0" fontId="19" fillId="11" borderId="379" xfId="0" applyFont="1" applyFill="1" applyBorder="1"/>
    <xf numFmtId="0" fontId="0" fillId="11" borderId="202" xfId="0" applyFill="1" applyBorder="1"/>
    <xf numFmtId="3" fontId="17" fillId="11" borderId="341" xfId="0" applyNumberFormat="1" applyFont="1" applyFill="1" applyBorder="1"/>
    <xf numFmtId="0" fontId="19" fillId="11" borderId="32" xfId="0" applyFont="1" applyFill="1" applyBorder="1"/>
    <xf numFmtId="3" fontId="19" fillId="11" borderId="380" xfId="0" applyNumberFormat="1" applyFont="1" applyFill="1" applyBorder="1"/>
    <xf numFmtId="3" fontId="19" fillId="11" borderId="381" xfId="0" applyNumberFormat="1" applyFont="1" applyFill="1" applyBorder="1"/>
    <xf numFmtId="3" fontId="17" fillId="11" borderId="382" xfId="0" applyNumberFormat="1" applyFont="1" applyFill="1" applyBorder="1"/>
    <xf numFmtId="0" fontId="19" fillId="11" borderId="383" xfId="0" applyFont="1" applyFill="1" applyBorder="1"/>
    <xf numFmtId="0" fontId="17" fillId="11" borderId="15" xfId="0" applyFont="1" applyFill="1" applyBorder="1"/>
    <xf numFmtId="3" fontId="0" fillId="11" borderId="344" xfId="0" applyNumberFormat="1" applyFill="1" applyBorder="1"/>
    <xf numFmtId="3" fontId="46" fillId="38" borderId="0" xfId="0" applyNumberFormat="1" applyFont="1" applyFill="1"/>
    <xf numFmtId="0" fontId="19" fillId="0" borderId="342" xfId="0" applyFont="1" applyBorder="1" applyAlignment="1">
      <alignment wrapText="1"/>
    </xf>
    <xf numFmtId="0" fontId="19" fillId="0" borderId="15" xfId="0" applyFont="1" applyBorder="1" applyAlignment="1">
      <alignment wrapText="1"/>
    </xf>
    <xf numFmtId="0" fontId="19" fillId="0" borderId="202" xfId="0" applyFont="1" applyBorder="1" applyAlignment="1">
      <alignment wrapText="1"/>
    </xf>
    <xf numFmtId="0" fontId="19" fillId="11" borderId="343" xfId="0" applyFont="1" applyFill="1" applyBorder="1" applyAlignment="1">
      <alignment horizontal="center" wrapText="1"/>
    </xf>
    <xf numFmtId="0" fontId="19" fillId="11" borderId="344" xfId="0" applyFont="1" applyFill="1" applyBorder="1" applyAlignment="1">
      <alignment horizontal="center" wrapText="1"/>
    </xf>
    <xf numFmtId="0" fontId="19" fillId="11" borderId="378" xfId="0" applyFont="1" applyFill="1" applyBorder="1" applyAlignment="1">
      <alignment wrapText="1"/>
    </xf>
    <xf numFmtId="0" fontId="19" fillId="11" borderId="15" xfId="0" applyFont="1" applyFill="1" applyBorder="1" applyAlignment="1">
      <alignment wrapText="1"/>
    </xf>
    <xf numFmtId="3" fontId="19" fillId="11" borderId="202" xfId="0" applyNumberFormat="1" applyFont="1" applyFill="1" applyBorder="1" applyAlignment="1">
      <alignment horizontal="center"/>
    </xf>
    <xf numFmtId="3" fontId="59" fillId="11" borderId="11" xfId="0" applyNumberFormat="1" applyFont="1" applyFill="1" applyBorder="1"/>
    <xf numFmtId="3" fontId="17" fillId="13" borderId="11" xfId="0" applyNumberFormat="1" applyFont="1" applyFill="1" applyBorder="1"/>
    <xf numFmtId="0" fontId="19" fillId="11" borderId="18" xfId="0" applyFont="1" applyFill="1" applyBorder="1" applyAlignment="1">
      <alignment wrapText="1"/>
    </xf>
    <xf numFmtId="3" fontId="19" fillId="11" borderId="365" xfId="0" applyNumberFormat="1" applyFont="1" applyFill="1" applyBorder="1"/>
    <xf numFmtId="0" fontId="0" fillId="11" borderId="31" xfId="0" applyFill="1" applyBorder="1"/>
    <xf numFmtId="3" fontId="0" fillId="11" borderId="11" xfId="0" applyNumberFormat="1" applyFill="1" applyBorder="1"/>
    <xf numFmtId="3" fontId="0" fillId="11" borderId="31" xfId="0" applyNumberFormat="1" applyFill="1" applyBorder="1"/>
    <xf numFmtId="3" fontId="0" fillId="11" borderId="32" xfId="0" applyNumberFormat="1" applyFill="1" applyBorder="1"/>
    <xf numFmtId="3" fontId="0" fillId="11" borderId="380" xfId="0" applyNumberFormat="1" applyFill="1" applyBorder="1"/>
    <xf numFmtId="3" fontId="0" fillId="11" borderId="381" xfId="0" applyNumberFormat="1" applyFill="1" applyBorder="1"/>
    <xf numFmtId="3" fontId="0" fillId="11" borderId="382" xfId="0" applyNumberFormat="1" applyFill="1" applyBorder="1"/>
    <xf numFmtId="0" fontId="0" fillId="11" borderId="383" xfId="0" applyFill="1" applyBorder="1"/>
    <xf numFmtId="0" fontId="17" fillId="11" borderId="11" xfId="0" applyFont="1" applyFill="1" applyBorder="1" applyAlignment="1">
      <alignment vertical="top" wrapText="1"/>
    </xf>
    <xf numFmtId="0" fontId="0" fillId="11" borderId="11" xfId="0" applyFill="1" applyBorder="1" applyAlignment="1">
      <alignment vertical="top"/>
    </xf>
    <xf numFmtId="3" fontId="0" fillId="11" borderId="11" xfId="0" applyNumberFormat="1" applyFill="1" applyBorder="1" applyAlignment="1">
      <alignment vertical="top"/>
    </xf>
    <xf numFmtId="3" fontId="0" fillId="11" borderId="31" xfId="0" applyNumberFormat="1" applyFill="1" applyBorder="1" applyAlignment="1">
      <alignment vertical="top"/>
    </xf>
    <xf numFmtId="0" fontId="0" fillId="11" borderId="32" xfId="0" applyFill="1" applyBorder="1" applyAlignment="1">
      <alignment vertical="top"/>
    </xf>
    <xf numFmtId="3" fontId="0" fillId="11" borderId="384" xfId="0" applyNumberFormat="1" applyFill="1" applyBorder="1" applyAlignment="1">
      <alignment vertical="top"/>
    </xf>
    <xf numFmtId="3" fontId="0" fillId="11" borderId="338" xfId="0" applyNumberFormat="1" applyFill="1" applyBorder="1" applyAlignment="1">
      <alignment vertical="top"/>
    </xf>
    <xf numFmtId="3" fontId="0" fillId="11" borderId="339" xfId="0" applyNumberFormat="1" applyFill="1" applyBorder="1" applyAlignment="1">
      <alignment vertical="top"/>
    </xf>
    <xf numFmtId="0" fontId="0" fillId="11" borderId="379" xfId="0" applyFill="1" applyBorder="1" applyAlignment="1">
      <alignment vertical="top"/>
    </xf>
    <xf numFmtId="3" fontId="0" fillId="11" borderId="32" xfId="0" applyNumberFormat="1" applyFill="1" applyBorder="1" applyAlignment="1">
      <alignment vertical="top"/>
    </xf>
    <xf numFmtId="1" fontId="0" fillId="11" borderId="202" xfId="0" applyNumberFormat="1" applyFill="1" applyBorder="1"/>
    <xf numFmtId="1" fontId="0" fillId="11" borderId="15" xfId="0" applyNumberFormat="1" applyFill="1" applyBorder="1"/>
    <xf numFmtId="4" fontId="19" fillId="0" borderId="27" xfId="0" applyNumberFormat="1" applyFont="1" applyBorder="1" applyAlignment="1">
      <alignment wrapText="1"/>
    </xf>
    <xf numFmtId="4" fontId="19" fillId="0" borderId="29" xfId="0" applyNumberFormat="1" applyFont="1" applyBorder="1" applyAlignment="1">
      <alignment wrapText="1"/>
    </xf>
    <xf numFmtId="4" fontId="19" fillId="0" borderId="202" xfId="0" applyNumberFormat="1" applyFont="1" applyBorder="1" applyAlignment="1">
      <alignment wrapText="1"/>
    </xf>
    <xf numFmtId="4" fontId="59" fillId="11" borderId="29" xfId="0" applyNumberFormat="1" applyFont="1" applyFill="1" applyBorder="1"/>
    <xf numFmtId="4" fontId="0" fillId="11" borderId="29" xfId="0" applyNumberFormat="1" applyFill="1" applyBorder="1"/>
    <xf numFmtId="4" fontId="0" fillId="11" borderId="202" xfId="0" applyNumberFormat="1" applyFill="1" applyBorder="1"/>
    <xf numFmtId="4" fontId="0" fillId="11" borderId="27" xfId="0" applyNumberFormat="1" applyFill="1" applyBorder="1"/>
    <xf numFmtId="4" fontId="0" fillId="11" borderId="32" xfId="0" applyNumberFormat="1" applyFill="1" applyBorder="1"/>
    <xf numFmtId="4" fontId="59" fillId="11" borderId="32" xfId="0" applyNumberFormat="1" applyFont="1" applyFill="1" applyBorder="1"/>
    <xf numFmtId="4" fontId="19" fillId="11" borderId="202" xfId="0" applyNumberFormat="1" applyFont="1" applyFill="1" applyBorder="1"/>
    <xf numFmtId="4" fontId="0" fillId="0" borderId="29" xfId="0" applyNumberFormat="1" applyBorder="1"/>
    <xf numFmtId="3" fontId="5" fillId="44" borderId="17" xfId="0" applyNumberFormat="1" applyFont="1" applyFill="1" applyBorder="1"/>
    <xf numFmtId="3" fontId="5" fillId="12" borderId="18" xfId="0" applyNumberFormat="1" applyFont="1" applyFill="1" applyBorder="1"/>
    <xf numFmtId="3" fontId="5" fillId="12" borderId="18" xfId="0" applyNumberFormat="1" applyFont="1" applyFill="1" applyBorder="1" applyAlignment="1">
      <alignment horizontal="right"/>
    </xf>
    <xf numFmtId="0" fontId="0" fillId="12" borderId="18" xfId="0" applyFill="1" applyBorder="1"/>
    <xf numFmtId="3" fontId="5" fillId="44" borderId="31" xfId="0" applyNumberFormat="1" applyFont="1" applyFill="1" applyBorder="1"/>
    <xf numFmtId="3" fontId="5" fillId="12" borderId="11" xfId="0" applyNumberFormat="1" applyFont="1" applyFill="1" applyBorder="1" applyAlignment="1">
      <alignment horizontal="right"/>
    </xf>
    <xf numFmtId="3" fontId="0" fillId="12" borderId="11" xfId="0" applyNumberFormat="1" applyFill="1" applyBorder="1"/>
    <xf numFmtId="0" fontId="3" fillId="0" borderId="144" xfId="0" applyFont="1" applyBorder="1"/>
    <xf numFmtId="3" fontId="5" fillId="0" borderId="37" xfId="0" applyNumberFormat="1" applyFont="1" applyBorder="1" applyAlignment="1">
      <alignment horizontal="right"/>
    </xf>
    <xf numFmtId="166" fontId="5" fillId="0" borderId="37" xfId="0" applyNumberFormat="1" applyFont="1" applyBorder="1" applyAlignment="1">
      <alignment horizontal="right"/>
    </xf>
    <xf numFmtId="0" fontId="4" fillId="0" borderId="37" xfId="0" applyFont="1" applyBorder="1"/>
    <xf numFmtId="0" fontId="4" fillId="12" borderId="144" xfId="0" applyFont="1" applyFill="1" applyBorder="1"/>
    <xf numFmtId="0" fontId="4" fillId="12" borderId="40" xfId="0" applyFont="1" applyFill="1" applyBorder="1"/>
    <xf numFmtId="169" fontId="70" fillId="0" borderId="37" xfId="0" applyNumberFormat="1" applyFont="1" applyBorder="1"/>
    <xf numFmtId="169" fontId="21" fillId="10" borderId="144" xfId="0" applyNumberFormat="1" applyFont="1" applyFill="1" applyBorder="1"/>
    <xf numFmtId="169" fontId="11" fillId="0" borderId="37" xfId="0" applyNumberFormat="1" applyFont="1" applyBorder="1"/>
    <xf numFmtId="169" fontId="11" fillId="12" borderId="37" xfId="0" applyNumberFormat="1" applyFont="1" applyFill="1" applyBorder="1" applyAlignment="1">
      <alignment horizontal="right"/>
    </xf>
    <xf numFmtId="169" fontId="11" fillId="12" borderId="40" xfId="0" applyNumberFormat="1" applyFont="1" applyFill="1" applyBorder="1" applyAlignment="1">
      <alignment horizontal="right"/>
    </xf>
    <xf numFmtId="3" fontId="11" fillId="12" borderId="37" xfId="0" applyNumberFormat="1" applyFont="1" applyFill="1" applyBorder="1" applyAlignment="1">
      <alignment horizontal="right"/>
    </xf>
    <xf numFmtId="3" fontId="21" fillId="10" borderId="144" xfId="0" applyNumberFormat="1" applyFont="1" applyFill="1" applyBorder="1"/>
    <xf numFmtId="3" fontId="11" fillId="0" borderId="37" xfId="0" applyNumberFormat="1" applyFont="1" applyBorder="1"/>
    <xf numFmtId="0" fontId="11" fillId="12" borderId="37" xfId="0" applyFont="1" applyFill="1" applyBorder="1" applyAlignment="1">
      <alignment horizontal="right"/>
    </xf>
    <xf numFmtId="4" fontId="21" fillId="10" borderId="37" xfId="0" applyNumberFormat="1" applyFont="1" applyFill="1" applyBorder="1"/>
    <xf numFmtId="4" fontId="11" fillId="12" borderId="37" xfId="0" applyNumberFormat="1" applyFont="1" applyFill="1" applyBorder="1"/>
    <xf numFmtId="3" fontId="0" fillId="0" borderId="37" xfId="0" applyNumberFormat="1" applyBorder="1"/>
    <xf numFmtId="3" fontId="21" fillId="10" borderId="40" xfId="0" applyNumberFormat="1" applyFont="1" applyFill="1" applyBorder="1"/>
    <xf numFmtId="0" fontId="11" fillId="0" borderId="37" xfId="0" applyFont="1" applyBorder="1"/>
    <xf numFmtId="0" fontId="11" fillId="12" borderId="37" xfId="0" applyFont="1" applyFill="1" applyBorder="1"/>
    <xf numFmtId="9" fontId="4" fillId="13" borderId="37" xfId="0" applyNumberFormat="1" applyFont="1" applyFill="1" applyBorder="1" applyAlignment="1">
      <alignment horizontal="right"/>
    </xf>
    <xf numFmtId="9" fontId="4" fillId="13" borderId="37" xfId="0" applyNumberFormat="1" applyFont="1" applyFill="1" applyBorder="1"/>
    <xf numFmtId="49" fontId="4" fillId="13" borderId="37" xfId="0" applyNumberFormat="1" applyFont="1" applyFill="1" applyBorder="1" applyAlignment="1">
      <alignment horizontal="right"/>
    </xf>
    <xf numFmtId="9" fontId="4" fillId="11" borderId="37" xfId="0" applyNumberFormat="1" applyFont="1" applyFill="1" applyBorder="1"/>
    <xf numFmtId="49" fontId="4" fillId="12" borderId="37" xfId="0" applyNumberFormat="1" applyFont="1" applyFill="1" applyBorder="1" applyAlignment="1">
      <alignment wrapText="1"/>
    </xf>
    <xf numFmtId="0" fontId="4" fillId="12" borderId="37" xfId="0" applyFont="1" applyFill="1" applyBorder="1"/>
    <xf numFmtId="3" fontId="11" fillId="12" borderId="37" xfId="0" applyNumberFormat="1" applyFont="1" applyFill="1" applyBorder="1"/>
    <xf numFmtId="3" fontId="4" fillId="4" borderId="37" xfId="0" applyNumberFormat="1" applyFont="1" applyFill="1" applyBorder="1"/>
    <xf numFmtId="0" fontId="4" fillId="10" borderId="37" xfId="0" applyFont="1" applyFill="1" applyBorder="1"/>
    <xf numFmtId="0" fontId="54" fillId="0" borderId="37" xfId="0" applyFont="1" applyBorder="1"/>
    <xf numFmtId="3" fontId="4" fillId="12" borderId="37" xfId="0" applyNumberFormat="1" applyFont="1" applyFill="1" applyBorder="1"/>
    <xf numFmtId="166" fontId="4" fillId="4" borderId="37" xfId="0" applyNumberFormat="1" applyFont="1" applyFill="1" applyBorder="1"/>
    <xf numFmtId="1" fontId="4" fillId="4" borderId="37" xfId="0" applyNumberFormat="1" applyFont="1" applyFill="1" applyBorder="1"/>
    <xf numFmtId="3" fontId="4" fillId="21" borderId="37" xfId="0" applyNumberFormat="1" applyFont="1" applyFill="1" applyBorder="1"/>
    <xf numFmtId="9" fontId="4" fillId="4" borderId="37" xfId="0" applyNumberFormat="1" applyFont="1" applyFill="1" applyBorder="1"/>
    <xf numFmtId="10" fontId="4" fillId="4" borderId="37" xfId="0" applyNumberFormat="1" applyFont="1" applyFill="1" applyBorder="1"/>
    <xf numFmtId="3" fontId="21" fillId="4" borderId="37" xfId="0" applyNumberFormat="1" applyFont="1" applyFill="1" applyBorder="1"/>
    <xf numFmtId="3" fontId="4" fillId="13" borderId="37" xfId="0" applyNumberFormat="1" applyFont="1" applyFill="1" applyBorder="1"/>
    <xf numFmtId="166" fontId="74" fillId="13" borderId="37" xfId="0" applyNumberFormat="1" applyFont="1" applyFill="1" applyBorder="1"/>
    <xf numFmtId="3" fontId="11" fillId="13" borderId="37" xfId="0" applyNumberFormat="1" applyFont="1" applyFill="1" applyBorder="1"/>
    <xf numFmtId="0" fontId="13" fillId="0" borderId="37" xfId="0" applyFont="1" applyBorder="1"/>
    <xf numFmtId="166" fontId="27" fillId="4" borderId="37" xfId="0" applyNumberFormat="1" applyFont="1" applyFill="1" applyBorder="1"/>
    <xf numFmtId="9" fontId="4" fillId="12" borderId="37" xfId="0" applyNumberFormat="1" applyFont="1" applyFill="1" applyBorder="1"/>
    <xf numFmtId="9" fontId="4" fillId="12" borderId="40" xfId="0" applyNumberFormat="1" applyFont="1" applyFill="1" applyBorder="1"/>
    <xf numFmtId="9" fontId="4" fillId="12" borderId="385" xfId="0" applyNumberFormat="1" applyFont="1" applyFill="1" applyBorder="1"/>
    <xf numFmtId="9" fontId="22" fillId="12" borderId="386" xfId="0" applyNumberFormat="1" applyFont="1" applyFill="1" applyBorder="1"/>
    <xf numFmtId="10" fontId="4" fillId="12" borderId="386" xfId="0" applyNumberFormat="1" applyFont="1" applyFill="1" applyBorder="1"/>
    <xf numFmtId="10" fontId="4" fillId="12" borderId="387" xfId="0" applyNumberFormat="1" applyFont="1" applyFill="1" applyBorder="1"/>
    <xf numFmtId="0" fontId="21" fillId="0" borderId="37" xfId="0" applyFont="1" applyBorder="1"/>
    <xf numFmtId="0" fontId="0" fillId="20" borderId="37" xfId="0" applyFill="1" applyBorder="1"/>
    <xf numFmtId="3" fontId="3" fillId="0" borderId="37" xfId="0" applyNumberFormat="1" applyFont="1" applyBorder="1" applyAlignment="1">
      <alignment vertical="top" wrapText="1"/>
    </xf>
    <xf numFmtId="0" fontId="10" fillId="0" borderId="37" xfId="0" applyFont="1" applyBorder="1"/>
    <xf numFmtId="3" fontId="26" fillId="12" borderId="388" xfId="0" applyNumberFormat="1" applyFont="1" applyFill="1" applyBorder="1" applyAlignment="1">
      <alignment horizontal="right"/>
    </xf>
    <xf numFmtId="3" fontId="73" fillId="12" borderId="389" xfId="0" applyNumberFormat="1" applyFont="1" applyFill="1" applyBorder="1" applyAlignment="1">
      <alignment horizontal="right"/>
    </xf>
    <xf numFmtId="10" fontId="26" fillId="12" borderId="389" xfId="0" applyNumberFormat="1" applyFont="1" applyFill="1" applyBorder="1" applyAlignment="1">
      <alignment horizontal="right"/>
    </xf>
    <xf numFmtId="10" fontId="26" fillId="12" borderId="390" xfId="0" applyNumberFormat="1" applyFont="1" applyFill="1" applyBorder="1" applyAlignment="1">
      <alignment horizontal="right"/>
    </xf>
    <xf numFmtId="3" fontId="26" fillId="12" borderId="18" xfId="0" applyNumberFormat="1" applyFont="1" applyFill="1" applyBorder="1" applyAlignment="1">
      <alignment horizontal="right"/>
    </xf>
    <xf numFmtId="10" fontId="26" fillId="12" borderId="11" xfId="0" applyNumberFormat="1" applyFont="1" applyFill="1" applyBorder="1" applyAlignment="1">
      <alignment horizontal="right"/>
    </xf>
    <xf numFmtId="3" fontId="5" fillId="12" borderId="17" xfId="0" applyNumberFormat="1" applyFont="1" applyFill="1" applyBorder="1" applyAlignment="1">
      <alignment horizontal="right"/>
    </xf>
    <xf numFmtId="3" fontId="5" fillId="12" borderId="27" xfId="0" applyNumberFormat="1" applyFont="1" applyFill="1" applyBorder="1" applyAlignment="1">
      <alignment horizontal="right"/>
    </xf>
    <xf numFmtId="3" fontId="5" fillId="12" borderId="31" xfId="0" applyNumberFormat="1" applyFont="1" applyFill="1" applyBorder="1" applyAlignment="1">
      <alignment horizontal="right"/>
    </xf>
    <xf numFmtId="3" fontId="5" fillId="12" borderId="32" xfId="0" applyNumberFormat="1" applyFont="1" applyFill="1" applyBorder="1" applyAlignment="1">
      <alignment horizontal="right"/>
    </xf>
    <xf numFmtId="3" fontId="26" fillId="12" borderId="391" xfId="0" applyNumberFormat="1" applyFont="1" applyFill="1" applyBorder="1" applyAlignment="1">
      <alignment horizontal="right"/>
    </xf>
    <xf numFmtId="3" fontId="26" fillId="12" borderId="392" xfId="0" applyNumberFormat="1" applyFont="1" applyFill="1" applyBorder="1" applyAlignment="1">
      <alignment horizontal="right"/>
    </xf>
    <xf numFmtId="3" fontId="73" fillId="12" borderId="393" xfId="0" applyNumberFormat="1" applyFont="1" applyFill="1" applyBorder="1" applyAlignment="1">
      <alignment horizontal="right"/>
    </xf>
    <xf numFmtId="3" fontId="73" fillId="12" borderId="394" xfId="0" applyNumberFormat="1" applyFont="1" applyFill="1" applyBorder="1" applyAlignment="1">
      <alignment horizontal="right"/>
    </xf>
    <xf numFmtId="10" fontId="26" fillId="12" borderId="393" xfId="0" applyNumberFormat="1" applyFont="1" applyFill="1" applyBorder="1" applyAlignment="1">
      <alignment horizontal="right"/>
    </xf>
    <xf numFmtId="10" fontId="26" fillId="12" borderId="394" xfId="0" applyNumberFormat="1" applyFont="1" applyFill="1" applyBorder="1" applyAlignment="1">
      <alignment horizontal="right"/>
    </xf>
    <xf numFmtId="10" fontId="26" fillId="12" borderId="395" xfId="0" applyNumberFormat="1" applyFont="1" applyFill="1" applyBorder="1" applyAlignment="1">
      <alignment horizontal="right"/>
    </xf>
    <xf numFmtId="10" fontId="26" fillId="12" borderId="396" xfId="0" applyNumberFormat="1" applyFont="1" applyFill="1" applyBorder="1" applyAlignment="1">
      <alignment horizontal="right"/>
    </xf>
    <xf numFmtId="0" fontId="3" fillId="0" borderId="37" xfId="0" applyFont="1" applyBorder="1"/>
    <xf numFmtId="0" fontId="3" fillId="0" borderId="37" xfId="0" applyFont="1" applyBorder="1" applyAlignment="1">
      <alignment horizontal="center"/>
    </xf>
    <xf numFmtId="3" fontId="5" fillId="12" borderId="144" xfId="0" applyNumberFormat="1" applyFont="1" applyFill="1" applyBorder="1" applyAlignment="1">
      <alignment horizontal="right"/>
    </xf>
    <xf numFmtId="3" fontId="5" fillId="12" borderId="40" xfId="0" applyNumberFormat="1" applyFont="1" applyFill="1" applyBorder="1" applyAlignment="1">
      <alignment horizontal="right"/>
    </xf>
    <xf numFmtId="169" fontId="69" fillId="0" borderId="37" xfId="0" applyNumberFormat="1" applyFont="1" applyBorder="1"/>
    <xf numFmtId="169" fontId="22" fillId="0" borderId="37" xfId="0" applyNumberFormat="1" applyFont="1" applyBorder="1"/>
    <xf numFmtId="169" fontId="22" fillId="12" borderId="37" xfId="0" applyNumberFormat="1" applyFont="1" applyFill="1" applyBorder="1"/>
    <xf numFmtId="169" fontId="22" fillId="12" borderId="40" xfId="0" applyNumberFormat="1" applyFont="1" applyFill="1" applyBorder="1"/>
    <xf numFmtId="167" fontId="22" fillId="12" borderId="37" xfId="0" applyNumberFormat="1" applyFont="1" applyFill="1" applyBorder="1"/>
    <xf numFmtId="4" fontId="10" fillId="12" borderId="37" xfId="0" applyNumberFormat="1" applyFont="1" applyFill="1" applyBorder="1"/>
    <xf numFmtId="3" fontId="10" fillId="0" borderId="37" xfId="0" applyNumberFormat="1" applyFont="1" applyBorder="1"/>
    <xf numFmtId="3" fontId="3" fillId="0" borderId="37" xfId="0" applyNumberFormat="1" applyFont="1" applyBorder="1"/>
    <xf numFmtId="3" fontId="12" fillId="5" borderId="37" xfId="0" applyNumberFormat="1" applyFont="1" applyFill="1" applyBorder="1"/>
    <xf numFmtId="4" fontId="12" fillId="5" borderId="37" xfId="0" applyNumberFormat="1" applyFont="1" applyFill="1" applyBorder="1"/>
    <xf numFmtId="3" fontId="12" fillId="14" borderId="37" xfId="0" applyNumberFormat="1" applyFont="1" applyFill="1" applyBorder="1"/>
    <xf numFmtId="3" fontId="19" fillId="12" borderId="37" xfId="0" applyNumberFormat="1" applyFont="1" applyFill="1" applyBorder="1" applyAlignment="1">
      <alignment horizontal="right" wrapText="1"/>
    </xf>
    <xf numFmtId="3" fontId="3" fillId="12" borderId="37" xfId="0" applyNumberFormat="1" applyFont="1" applyFill="1" applyBorder="1"/>
    <xf numFmtId="3" fontId="3" fillId="11" borderId="37" xfId="0" applyNumberFormat="1" applyFont="1" applyFill="1" applyBorder="1"/>
    <xf numFmtId="3" fontId="5" fillId="10" borderId="37" xfId="0" applyNumberFormat="1" applyFont="1" applyFill="1" applyBorder="1" applyAlignment="1">
      <alignment horizontal="right"/>
    </xf>
    <xf numFmtId="10" fontId="54" fillId="0" borderId="37" xfId="0" applyNumberFormat="1" applyFont="1" applyBorder="1"/>
    <xf numFmtId="3" fontId="10" fillId="12" borderId="37" xfId="0" applyNumberFormat="1" applyFont="1" applyFill="1" applyBorder="1"/>
    <xf numFmtId="3" fontId="56" fillId="0" borderId="37" xfId="0" applyNumberFormat="1" applyFont="1" applyBorder="1"/>
    <xf numFmtId="3" fontId="22" fillId="0" borderId="37" xfId="0" applyNumberFormat="1" applyFont="1" applyBorder="1"/>
    <xf numFmtId="3" fontId="6" fillId="0" borderId="37" xfId="0" applyNumberFormat="1" applyFont="1" applyBorder="1"/>
    <xf numFmtId="3" fontId="26" fillId="12" borderId="37" xfId="0" applyNumberFormat="1" applyFont="1" applyFill="1" applyBorder="1" applyAlignment="1">
      <alignment horizontal="right"/>
    </xf>
    <xf numFmtId="3" fontId="26" fillId="12" borderId="40" xfId="0" applyNumberFormat="1" applyFont="1" applyFill="1" applyBorder="1" applyAlignment="1">
      <alignment horizontal="right"/>
    </xf>
    <xf numFmtId="3" fontId="26" fillId="12" borderId="385" xfId="0" applyNumberFormat="1" applyFont="1" applyFill="1" applyBorder="1" applyAlignment="1">
      <alignment horizontal="right"/>
    </xf>
    <xf numFmtId="3" fontId="73" fillId="12" borderId="386" xfId="0" applyNumberFormat="1" applyFont="1" applyFill="1" applyBorder="1" applyAlignment="1">
      <alignment horizontal="right"/>
    </xf>
    <xf numFmtId="10" fontId="26" fillId="12" borderId="386" xfId="0" applyNumberFormat="1" applyFont="1" applyFill="1" applyBorder="1" applyAlignment="1">
      <alignment horizontal="right"/>
    </xf>
    <xf numFmtId="10" fontId="26" fillId="12" borderId="387" xfId="0" applyNumberFormat="1" applyFont="1" applyFill="1" applyBorder="1" applyAlignment="1">
      <alignment horizontal="right"/>
    </xf>
    <xf numFmtId="4" fontId="14" fillId="19" borderId="37" xfId="0" applyNumberFormat="1" applyFont="1" applyFill="1" applyBorder="1" applyAlignment="1">
      <alignment wrapText="1"/>
    </xf>
    <xf numFmtId="4" fontId="3" fillId="0" borderId="37" xfId="0" applyNumberFormat="1" applyFont="1" applyBorder="1" applyAlignment="1">
      <alignment vertical="top" wrapText="1"/>
    </xf>
    <xf numFmtId="0" fontId="4" fillId="0" borderId="37" xfId="0" applyFont="1" applyBorder="1" applyAlignment="1">
      <alignment vertical="top" wrapText="1"/>
    </xf>
    <xf numFmtId="3" fontId="4" fillId="0" borderId="37" xfId="0" applyNumberFormat="1" applyFont="1" applyBorder="1" applyAlignment="1">
      <alignment vertical="top" wrapText="1"/>
    </xf>
    <xf numFmtId="3" fontId="14" fillId="0" borderId="37" xfId="0" applyNumberFormat="1" applyFont="1" applyBorder="1" applyAlignment="1">
      <alignment wrapText="1"/>
    </xf>
    <xf numFmtId="0" fontId="19" fillId="0" borderId="37" xfId="0" applyFont="1" applyBorder="1"/>
    <xf numFmtId="169" fontId="19" fillId="10" borderId="144" xfId="0" applyNumberFormat="1" applyFont="1" applyFill="1" applyBorder="1"/>
    <xf numFmtId="169" fontId="0" fillId="0" borderId="37" xfId="0" applyNumberFormat="1" applyBorder="1"/>
    <xf numFmtId="0" fontId="0" fillId="12" borderId="37" xfId="0" applyFill="1" applyBorder="1"/>
    <xf numFmtId="3" fontId="19" fillId="10" borderId="40" xfId="0" applyNumberFormat="1" applyFont="1" applyFill="1" applyBorder="1"/>
    <xf numFmtId="3" fontId="21" fillId="0" borderId="0" xfId="0" applyNumberFormat="1" applyFont="1"/>
    <xf numFmtId="4" fontId="3" fillId="0" borderId="28" xfId="0" applyNumberFormat="1" applyFont="1" applyBorder="1"/>
    <xf numFmtId="0" fontId="3" fillId="12" borderId="28" xfId="0" applyFont="1" applyFill="1" applyBorder="1"/>
    <xf numFmtId="3" fontId="26" fillId="12" borderId="351" xfId="0" applyNumberFormat="1" applyFont="1" applyFill="1" applyBorder="1" applyAlignment="1">
      <alignment horizontal="right"/>
    </xf>
    <xf numFmtId="3" fontId="73" fillId="12" borderId="356" xfId="0" applyNumberFormat="1" applyFont="1" applyFill="1" applyBorder="1" applyAlignment="1">
      <alignment horizontal="right"/>
    </xf>
    <xf numFmtId="10" fontId="26" fillId="12" borderId="356" xfId="0" applyNumberFormat="1" applyFont="1" applyFill="1" applyBorder="1" applyAlignment="1">
      <alignment horizontal="right"/>
    </xf>
    <xf numFmtId="10" fontId="26" fillId="12" borderId="357" xfId="0" applyNumberFormat="1" applyFont="1" applyFill="1" applyBorder="1" applyAlignment="1">
      <alignment horizontal="right"/>
    </xf>
    <xf numFmtId="4" fontId="3" fillId="0" borderId="0" xfId="0" applyNumberFormat="1" applyFont="1"/>
    <xf numFmtId="3" fontId="21" fillId="0" borderId="28" xfId="0" applyNumberFormat="1" applyFont="1" applyBorder="1"/>
    <xf numFmtId="10" fontId="10" fillId="0" borderId="28" xfId="0" applyNumberFormat="1" applyFont="1" applyBorder="1"/>
    <xf numFmtId="10" fontId="10" fillId="0" borderId="0" xfId="0" applyNumberFormat="1" applyFont="1"/>
    <xf numFmtId="4" fontId="59" fillId="11" borderId="0" xfId="0" applyNumberFormat="1" applyFont="1" applyFill="1"/>
    <xf numFmtId="4" fontId="19" fillId="0" borderId="18" xfId="0" applyNumberFormat="1" applyFont="1" applyBorder="1" applyAlignment="1">
      <alignment wrapText="1"/>
    </xf>
    <xf numFmtId="4" fontId="19" fillId="0" borderId="0" xfId="0" applyNumberFormat="1" applyFont="1" applyAlignment="1">
      <alignment wrapText="1"/>
    </xf>
    <xf numFmtId="4" fontId="19" fillId="0" borderId="15" xfId="0" applyNumberFormat="1" applyFont="1" applyBorder="1" applyAlignment="1">
      <alignment wrapText="1"/>
    </xf>
    <xf numFmtId="4" fontId="0" fillId="11" borderId="0" xfId="0" applyNumberFormat="1" applyFill="1"/>
    <xf numFmtId="4" fontId="0" fillId="11" borderId="15" xfId="0" applyNumberFormat="1" applyFill="1" applyBorder="1"/>
    <xf numFmtId="4" fontId="0" fillId="11" borderId="18" xfId="0" applyNumberFormat="1" applyFill="1" applyBorder="1"/>
    <xf numFmtId="4" fontId="0" fillId="11" borderId="11" xfId="0" applyNumberFormat="1" applyFill="1" applyBorder="1"/>
    <xf numFmtId="4" fontId="59" fillId="11" borderId="11" xfId="0" applyNumberFormat="1" applyFont="1" applyFill="1" applyBorder="1"/>
    <xf numFmtId="4" fontId="19" fillId="11" borderId="15" xfId="0" applyNumberFormat="1" applyFont="1" applyFill="1" applyBorder="1"/>
    <xf numFmtId="3" fontId="68" fillId="11" borderId="15" xfId="0" applyNumberFormat="1" applyFont="1" applyFill="1" applyBorder="1"/>
    <xf numFmtId="4" fontId="0" fillId="38" borderId="0" xfId="0" applyNumberFormat="1" applyFill="1"/>
    <xf numFmtId="4" fontId="0" fillId="38" borderId="29" xfId="0" applyNumberFormat="1" applyFill="1" applyBorder="1"/>
    <xf numFmtId="4" fontId="59" fillId="38" borderId="0" xfId="0" applyNumberFormat="1" applyFont="1" applyFill="1"/>
    <xf numFmtId="4" fontId="59" fillId="38" borderId="29" xfId="0" applyNumberFormat="1" applyFont="1" applyFill="1" applyBorder="1"/>
    <xf numFmtId="0" fontId="59" fillId="0" borderId="347" xfId="0" applyFont="1" applyBorder="1"/>
    <xf numFmtId="0" fontId="59" fillId="38" borderId="345" xfId="0" applyFont="1" applyFill="1" applyBorder="1"/>
    <xf numFmtId="0" fontId="59" fillId="0" borderId="345" xfId="0" applyFont="1" applyBorder="1"/>
    <xf numFmtId="3" fontId="0" fillId="38" borderId="29" xfId="0" applyNumberFormat="1" applyFill="1" applyBorder="1" applyAlignment="1">
      <alignment horizontal="right" vertical="center"/>
    </xf>
    <xf numFmtId="3" fontId="0" fillId="38" borderId="244" xfId="0" applyNumberFormat="1" applyFill="1" applyBorder="1" applyAlignment="1">
      <alignment horizontal="right" vertical="center"/>
    </xf>
    <xf numFmtId="0" fontId="3" fillId="0" borderId="397" xfId="0" applyFont="1" applyBorder="1"/>
    <xf numFmtId="3" fontId="38" fillId="0" borderId="397" xfId="0" applyNumberFormat="1" applyFont="1" applyBorder="1" applyAlignment="1">
      <alignment horizontal="center"/>
    </xf>
    <xf numFmtId="0" fontId="3" fillId="0" borderId="397" xfId="0" applyFont="1" applyBorder="1" applyAlignment="1">
      <alignment horizontal="center"/>
    </xf>
    <xf numFmtId="3" fontId="5" fillId="12" borderId="398" xfId="0" applyNumberFormat="1" applyFont="1" applyFill="1" applyBorder="1" applyAlignment="1">
      <alignment horizontal="right"/>
    </xf>
    <xf numFmtId="3" fontId="5" fillId="12" borderId="399" xfId="0" applyNumberFormat="1" applyFont="1" applyFill="1" applyBorder="1" applyAlignment="1">
      <alignment horizontal="right"/>
    </xf>
    <xf numFmtId="169" fontId="69" fillId="0" borderId="397" xfId="0" applyNumberFormat="1" applyFont="1" applyBorder="1"/>
    <xf numFmtId="169" fontId="21" fillId="10" borderId="398" xfId="0" applyNumberFormat="1" applyFont="1" applyFill="1" applyBorder="1"/>
    <xf numFmtId="169" fontId="22" fillId="0" borderId="397" xfId="0" applyNumberFormat="1" applyFont="1" applyBorder="1"/>
    <xf numFmtId="169" fontId="22" fillId="12" borderId="397" xfId="0" applyNumberFormat="1" applyFont="1" applyFill="1" applyBorder="1"/>
    <xf numFmtId="169" fontId="22" fillId="12" borderId="399" xfId="0" applyNumberFormat="1" applyFont="1" applyFill="1" applyBorder="1"/>
    <xf numFmtId="167" fontId="22" fillId="12" borderId="397" xfId="0" applyNumberFormat="1" applyFont="1" applyFill="1" applyBorder="1"/>
    <xf numFmtId="4" fontId="21" fillId="10" borderId="397" xfId="0" applyNumberFormat="1" applyFont="1" applyFill="1" applyBorder="1"/>
    <xf numFmtId="4" fontId="10" fillId="12" borderId="397" xfId="0" applyNumberFormat="1" applyFont="1" applyFill="1" applyBorder="1"/>
    <xf numFmtId="3" fontId="10" fillId="0" borderId="397" xfId="0" applyNumberFormat="1" applyFont="1" applyBorder="1"/>
    <xf numFmtId="3" fontId="3" fillId="0" borderId="397" xfId="0" applyNumberFormat="1" applyFont="1" applyBorder="1"/>
    <xf numFmtId="3" fontId="0" fillId="0" borderId="397" xfId="0" applyNumberFormat="1" applyBorder="1"/>
    <xf numFmtId="3" fontId="21" fillId="10" borderId="399" xfId="0" applyNumberFormat="1" applyFont="1" applyFill="1" applyBorder="1"/>
    <xf numFmtId="3" fontId="12" fillId="5" borderId="397" xfId="0" applyNumberFormat="1" applyFont="1" applyFill="1" applyBorder="1"/>
    <xf numFmtId="4" fontId="12" fillId="5" borderId="397" xfId="0" applyNumberFormat="1" applyFont="1" applyFill="1" applyBorder="1"/>
    <xf numFmtId="3" fontId="12" fillId="14" borderId="397" xfId="0" applyNumberFormat="1" applyFont="1" applyFill="1" applyBorder="1"/>
    <xf numFmtId="3" fontId="19" fillId="12" borderId="397" xfId="0" applyNumberFormat="1" applyFont="1" applyFill="1" applyBorder="1" applyAlignment="1">
      <alignment horizontal="right" wrapText="1"/>
    </xf>
    <xf numFmtId="3" fontId="3" fillId="12" borderId="397" xfId="0" applyNumberFormat="1" applyFont="1" applyFill="1" applyBorder="1"/>
    <xf numFmtId="0" fontId="0" fillId="0" borderId="397" xfId="0" applyBorder="1"/>
    <xf numFmtId="3" fontId="3" fillId="11" borderId="397" xfId="0" applyNumberFormat="1" applyFont="1" applyFill="1" applyBorder="1"/>
    <xf numFmtId="3" fontId="5" fillId="10" borderId="397" xfId="0" applyNumberFormat="1" applyFont="1" applyFill="1" applyBorder="1" applyAlignment="1">
      <alignment horizontal="right"/>
    </xf>
    <xf numFmtId="10" fontId="54" fillId="0" borderId="397" xfId="0" applyNumberFormat="1" applyFont="1" applyBorder="1"/>
    <xf numFmtId="0" fontId="10" fillId="0" borderId="397" xfId="0" applyFont="1" applyBorder="1"/>
    <xf numFmtId="3" fontId="11" fillId="12" borderId="397" xfId="0" applyNumberFormat="1" applyFont="1" applyFill="1" applyBorder="1"/>
    <xf numFmtId="3" fontId="10" fillId="12" borderId="397" xfId="0" applyNumberFormat="1" applyFont="1" applyFill="1" applyBorder="1"/>
    <xf numFmtId="3" fontId="56" fillId="0" borderId="397" xfId="0" applyNumberFormat="1" applyFont="1" applyBorder="1"/>
    <xf numFmtId="3" fontId="22" fillId="0" borderId="397" xfId="0" applyNumberFormat="1" applyFont="1" applyBorder="1"/>
    <xf numFmtId="10" fontId="6" fillId="0" borderId="397" xfId="0" applyNumberFormat="1" applyFont="1" applyBorder="1"/>
    <xf numFmtId="3" fontId="6" fillId="0" borderId="397" xfId="0" applyNumberFormat="1" applyFont="1" applyBorder="1"/>
    <xf numFmtId="3" fontId="26" fillId="12" borderId="397" xfId="0" applyNumberFormat="1" applyFont="1" applyFill="1" applyBorder="1" applyAlignment="1">
      <alignment horizontal="right"/>
    </xf>
    <xf numFmtId="3" fontId="26" fillId="12" borderId="399" xfId="0" applyNumberFormat="1" applyFont="1" applyFill="1" applyBorder="1" applyAlignment="1">
      <alignment horizontal="right"/>
    </xf>
    <xf numFmtId="3" fontId="26" fillId="12" borderId="400" xfId="0" applyNumberFormat="1" applyFont="1" applyFill="1" applyBorder="1" applyAlignment="1">
      <alignment horizontal="right"/>
    </xf>
    <xf numFmtId="3" fontId="73" fillId="12" borderId="401" xfId="0" applyNumberFormat="1" applyFont="1" applyFill="1" applyBorder="1" applyAlignment="1">
      <alignment horizontal="right"/>
    </xf>
    <xf numFmtId="10" fontId="26" fillId="12" borderId="401" xfId="0" applyNumberFormat="1" applyFont="1" applyFill="1" applyBorder="1" applyAlignment="1">
      <alignment horizontal="right"/>
    </xf>
    <xf numFmtId="10" fontId="26" fillId="12" borderId="402" xfId="0" applyNumberFormat="1" applyFont="1" applyFill="1" applyBorder="1" applyAlignment="1">
      <alignment horizontal="right"/>
    </xf>
    <xf numFmtId="0" fontId="21" fillId="0" borderId="397" xfId="0" applyFont="1" applyBorder="1"/>
    <xf numFmtId="4" fontId="14" fillId="19" borderId="397" xfId="0" applyNumberFormat="1" applyFont="1" applyFill="1" applyBorder="1" applyAlignment="1">
      <alignment wrapText="1"/>
    </xf>
    <xf numFmtId="4" fontId="3" fillId="0" borderId="397" xfId="0" applyNumberFormat="1" applyFont="1" applyBorder="1" applyAlignment="1">
      <alignment vertical="top" wrapText="1"/>
    </xf>
    <xf numFmtId="3" fontId="3" fillId="0" borderId="397" xfId="0" applyNumberFormat="1" applyFont="1" applyBorder="1" applyAlignment="1">
      <alignment vertical="top" wrapText="1"/>
    </xf>
    <xf numFmtId="0" fontId="4" fillId="0" borderId="397" xfId="0" applyFont="1" applyBorder="1" applyAlignment="1">
      <alignment vertical="top" wrapText="1"/>
    </xf>
    <xf numFmtId="3" fontId="4" fillId="0" borderId="397" xfId="0" applyNumberFormat="1" applyFont="1" applyBorder="1" applyAlignment="1">
      <alignment vertical="top" wrapText="1"/>
    </xf>
    <xf numFmtId="3" fontId="14" fillId="0" borderId="397" xfId="0" applyNumberFormat="1" applyFont="1" applyBorder="1" applyAlignment="1">
      <alignment wrapText="1"/>
    </xf>
    <xf numFmtId="3" fontId="59" fillId="11" borderId="11" xfId="0" applyNumberFormat="1" applyFont="1" applyFill="1" applyBorder="1" applyAlignment="1">
      <alignment vertical="top"/>
    </xf>
    <xf numFmtId="3" fontId="59" fillId="11" borderId="29" xfId="0" applyNumberFormat="1" applyFont="1" applyFill="1" applyBorder="1"/>
    <xf numFmtId="3" fontId="59" fillId="38" borderId="29" xfId="0" applyNumberFormat="1" applyFont="1" applyFill="1" applyBorder="1"/>
    <xf numFmtId="3" fontId="59" fillId="11" borderId="32" xfId="0" applyNumberFormat="1" applyFont="1" applyFill="1" applyBorder="1" applyAlignment="1">
      <alignment vertical="top"/>
    </xf>
    <xf numFmtId="3" fontId="68" fillId="11" borderId="202" xfId="0" applyNumberFormat="1" applyFont="1" applyFill="1" applyBorder="1"/>
    <xf numFmtId="3" fontId="3" fillId="11" borderId="0" xfId="0" applyNumberFormat="1" applyFont="1" applyFill="1"/>
    <xf numFmtId="10" fontId="54" fillId="0" borderId="0" xfId="0" applyNumberFormat="1" applyFont="1"/>
    <xf numFmtId="3" fontId="11" fillId="12" borderId="0" xfId="0" applyNumberFormat="1" applyFont="1" applyFill="1"/>
    <xf numFmtId="3" fontId="56" fillId="0" borderId="0" xfId="0" applyNumberFormat="1" applyFont="1"/>
    <xf numFmtId="3" fontId="22" fillId="0" borderId="0" xfId="0" applyNumberFormat="1" applyFont="1"/>
    <xf numFmtId="3" fontId="6" fillId="0" borderId="0" xfId="0" applyNumberFormat="1" applyFont="1"/>
    <xf numFmtId="3" fontId="26" fillId="12" borderId="0" xfId="0" applyNumberFormat="1" applyFont="1" applyFill="1" applyAlignment="1">
      <alignment horizontal="right"/>
    </xf>
    <xf numFmtId="3" fontId="73" fillId="12" borderId="0" xfId="0" applyNumberFormat="1" applyFont="1" applyFill="1" applyAlignment="1">
      <alignment horizontal="right"/>
    </xf>
    <xf numFmtId="10" fontId="26" fillId="12" borderId="0" xfId="0" applyNumberFormat="1" applyFont="1" applyFill="1" applyAlignment="1">
      <alignment horizontal="right"/>
    </xf>
    <xf numFmtId="3" fontId="5" fillId="15" borderId="342" xfId="0" applyNumberFormat="1" applyFont="1" applyFill="1" applyBorder="1"/>
    <xf numFmtId="3" fontId="5" fillId="10" borderId="15" xfId="0" applyNumberFormat="1" applyFont="1" applyFill="1" applyBorder="1"/>
    <xf numFmtId="0" fontId="4" fillId="10" borderId="34" xfId="0" applyFont="1" applyFill="1" applyBorder="1"/>
    <xf numFmtId="3" fontId="5" fillId="10" borderId="342" xfId="0" applyNumberFormat="1" applyFont="1" applyFill="1" applyBorder="1" applyAlignment="1">
      <alignment horizontal="right"/>
    </xf>
    <xf numFmtId="3" fontId="5" fillId="10" borderId="15" xfId="0" applyNumberFormat="1" applyFont="1" applyFill="1" applyBorder="1" applyAlignment="1">
      <alignment horizontal="right"/>
    </xf>
    <xf numFmtId="3" fontId="5" fillId="10" borderId="202" xfId="0" applyNumberFormat="1" applyFont="1" applyFill="1" applyBorder="1" applyAlignment="1">
      <alignment horizontal="right"/>
    </xf>
    <xf numFmtId="3" fontId="5" fillId="10" borderId="239" xfId="0" applyNumberFormat="1" applyFont="1" applyFill="1" applyBorder="1" applyAlignment="1">
      <alignment horizontal="right"/>
    </xf>
    <xf numFmtId="3" fontId="5" fillId="10" borderId="34" xfId="0" applyNumberFormat="1" applyFont="1" applyFill="1" applyBorder="1" applyAlignment="1">
      <alignment horizontal="right"/>
    </xf>
    <xf numFmtId="0" fontId="0" fillId="10" borderId="15" xfId="0" applyFill="1" applyBorder="1"/>
    <xf numFmtId="169" fontId="21" fillId="10" borderId="37" xfId="0" applyNumberFormat="1" applyFont="1" applyFill="1" applyBorder="1"/>
    <xf numFmtId="0" fontId="0" fillId="10" borderId="0" xfId="0" applyFill="1"/>
    <xf numFmtId="0" fontId="8" fillId="3" borderId="17" xfId="0" applyFont="1" applyFill="1" applyBorder="1"/>
    <xf numFmtId="0" fontId="21" fillId="0" borderId="18" xfId="0" applyFont="1" applyBorder="1"/>
    <xf numFmtId="0" fontId="9" fillId="0" borderId="144" xfId="0" applyFont="1" applyBorder="1"/>
    <xf numFmtId="0" fontId="8" fillId="0" borderId="17" xfId="0" applyFont="1" applyBorder="1"/>
    <xf numFmtId="0" fontId="8" fillId="0" borderId="18" xfId="0" applyFont="1" applyBorder="1"/>
    <xf numFmtId="0" fontId="8" fillId="0" borderId="27" xfId="0" applyFont="1" applyBorder="1"/>
    <xf numFmtId="0" fontId="8" fillId="0" borderId="398" xfId="0" applyFont="1" applyBorder="1"/>
    <xf numFmtId="0" fontId="8" fillId="0" borderId="144" xfId="0" applyFont="1" applyBorder="1"/>
    <xf numFmtId="0" fontId="21" fillId="12" borderId="0" xfId="0" applyFont="1" applyFill="1"/>
    <xf numFmtId="3" fontId="10" fillId="12" borderId="31" xfId="0" applyNumberFormat="1" applyFont="1" applyFill="1" applyBorder="1"/>
    <xf numFmtId="3" fontId="21" fillId="12" borderId="11" xfId="0" applyNumberFormat="1" applyFont="1" applyFill="1" applyBorder="1"/>
    <xf numFmtId="3" fontId="11" fillId="12" borderId="40" xfId="0" applyNumberFormat="1" applyFont="1" applyFill="1" applyBorder="1"/>
    <xf numFmtId="3" fontId="3" fillId="12" borderId="31" xfId="0" applyNumberFormat="1" applyFont="1" applyFill="1" applyBorder="1"/>
    <xf numFmtId="3" fontId="3" fillId="12" borderId="11" xfId="0" applyNumberFormat="1" applyFont="1" applyFill="1" applyBorder="1"/>
    <xf numFmtId="3" fontId="3" fillId="12" borderId="32" xfId="0" applyNumberFormat="1" applyFont="1" applyFill="1" applyBorder="1"/>
    <xf numFmtId="3" fontId="3" fillId="12" borderId="399" xfId="0" applyNumberFormat="1" applyFont="1" applyFill="1" applyBorder="1"/>
    <xf numFmtId="3" fontId="3" fillId="12" borderId="40" xfId="0" applyNumberFormat="1" applyFont="1" applyFill="1" applyBorder="1"/>
    <xf numFmtId="0" fontId="3" fillId="0" borderId="0" xfId="0" applyFont="1" applyAlignment="1">
      <alignment wrapText="1"/>
    </xf>
    <xf numFmtId="3" fontId="17" fillId="11" borderId="0" xfId="0" applyNumberFormat="1" applyFont="1" applyFill="1" applyAlignment="1">
      <alignment horizontal="left" vertical="center"/>
    </xf>
    <xf numFmtId="3" fontId="17" fillId="0" borderId="0" xfId="0" applyNumberFormat="1" applyFont="1" applyAlignment="1">
      <alignment horizontal="left" vertical="center"/>
    </xf>
    <xf numFmtId="0" fontId="54" fillId="0" borderId="0" xfId="0" applyFont="1"/>
    <xf numFmtId="0" fontId="55" fillId="0" borderId="0" xfId="0" applyFont="1"/>
    <xf numFmtId="0" fontId="4" fillId="1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21" fillId="12" borderId="0" xfId="0" applyFont="1" applyFill="1" applyAlignment="1">
      <alignment vertical="center" wrapText="1"/>
    </xf>
    <xf numFmtId="3" fontId="75" fillId="0" borderId="0" xfId="0" applyNumberFormat="1" applyFont="1" applyAlignment="1">
      <alignment horizontal="right"/>
    </xf>
    <xf numFmtId="0" fontId="46" fillId="0" borderId="0" xfId="0" applyFont="1" applyAlignment="1">
      <alignment vertical="center"/>
    </xf>
    <xf numFmtId="3" fontId="26" fillId="12" borderId="403" xfId="0" applyNumberFormat="1" applyFont="1" applyFill="1" applyBorder="1" applyAlignment="1">
      <alignment horizontal="right"/>
    </xf>
    <xf numFmtId="3" fontId="73" fillId="12" borderId="404" xfId="0" applyNumberFormat="1" applyFont="1" applyFill="1" applyBorder="1" applyAlignment="1">
      <alignment horizontal="right"/>
    </xf>
    <xf numFmtId="10" fontId="26" fillId="12" borderId="404" xfId="0" applyNumberFormat="1" applyFont="1" applyFill="1" applyBorder="1" applyAlignment="1">
      <alignment horizontal="right"/>
    </xf>
    <xf numFmtId="10" fontId="26" fillId="12" borderId="405" xfId="0" applyNumberFormat="1" applyFont="1" applyFill="1" applyBorder="1" applyAlignment="1">
      <alignment horizontal="right"/>
    </xf>
    <xf numFmtId="1" fontId="78" fillId="0" borderId="29" xfId="0" applyNumberFormat="1" applyFont="1" applyBorder="1" applyAlignment="1">
      <alignment horizontal="center" vertical="center" wrapText="1"/>
    </xf>
    <xf numFmtId="3" fontId="77" fillId="11" borderId="29" xfId="0" applyNumberFormat="1" applyFont="1" applyFill="1" applyBorder="1"/>
    <xf numFmtId="3" fontId="77" fillId="38" borderId="29" xfId="0" applyNumberFormat="1" applyFont="1" applyFill="1" applyBorder="1"/>
    <xf numFmtId="3" fontId="78" fillId="11" borderId="202" xfId="0" applyNumberFormat="1" applyFont="1" applyFill="1" applyBorder="1"/>
    <xf numFmtId="3" fontId="78" fillId="11" borderId="27" xfId="0" applyNumberFormat="1" applyFont="1" applyFill="1" applyBorder="1"/>
    <xf numFmtId="3" fontId="78" fillId="11" borderId="32" xfId="0" applyNumberFormat="1" applyFont="1" applyFill="1" applyBorder="1"/>
    <xf numFmtId="3" fontId="77" fillId="11" borderId="202" xfId="0" applyNumberFormat="1" applyFont="1" applyFill="1" applyBorder="1"/>
    <xf numFmtId="3" fontId="77" fillId="11" borderId="27" xfId="0" applyNumberFormat="1" applyFont="1" applyFill="1" applyBorder="1"/>
    <xf numFmtId="3" fontId="77" fillId="11" borderId="32" xfId="0" applyNumberFormat="1" applyFont="1" applyFill="1" applyBorder="1" applyAlignment="1">
      <alignment vertical="top"/>
    </xf>
    <xf numFmtId="3" fontId="77" fillId="11" borderId="32" xfId="0" applyNumberFormat="1" applyFont="1" applyFill="1" applyBorder="1"/>
    <xf numFmtId="1" fontId="77" fillId="11" borderId="29" xfId="0" applyNumberFormat="1" applyFont="1" applyFill="1" applyBorder="1"/>
    <xf numFmtId="1" fontId="77" fillId="0" borderId="29" xfId="0" applyNumberFormat="1" applyFont="1" applyBorder="1"/>
    <xf numFmtId="3" fontId="0" fillId="11" borderId="250" xfId="0" applyNumberFormat="1" applyFill="1" applyBorder="1"/>
    <xf numFmtId="0" fontId="19" fillId="11" borderId="0" xfId="0" applyFont="1" applyFill="1" applyAlignment="1">
      <alignment wrapText="1"/>
    </xf>
    <xf numFmtId="3" fontId="19" fillId="11" borderId="369" xfId="0" applyNumberFormat="1" applyFont="1" applyFill="1" applyBorder="1"/>
    <xf numFmtId="3" fontId="19" fillId="11" borderId="243" xfId="0" applyNumberFormat="1" applyFont="1" applyFill="1" applyBorder="1"/>
    <xf numFmtId="3" fontId="19" fillId="11" borderId="246" xfId="0" applyNumberFormat="1" applyFont="1" applyFill="1" applyBorder="1"/>
    <xf numFmtId="0" fontId="19" fillId="11" borderId="370" xfId="0" applyFont="1" applyFill="1" applyBorder="1"/>
    <xf numFmtId="3" fontId="59" fillId="11" borderId="32" xfId="0" applyNumberFormat="1" applyFont="1" applyFill="1" applyBorder="1"/>
    <xf numFmtId="2" fontId="59" fillId="0" borderId="345" xfId="0" applyNumberFormat="1" applyFont="1" applyBorder="1"/>
    <xf numFmtId="0" fontId="68" fillId="38" borderId="0" xfId="0" applyFont="1" applyFill="1"/>
    <xf numFmtId="3" fontId="68" fillId="38" borderId="0" xfId="0" applyNumberFormat="1" applyFont="1" applyFill="1"/>
    <xf numFmtId="3" fontId="68" fillId="38" borderId="28" xfId="0" applyNumberFormat="1" applyFont="1" applyFill="1" applyBorder="1"/>
    <xf numFmtId="0" fontId="68" fillId="38" borderId="29" xfId="0" applyFont="1" applyFill="1" applyBorder="1"/>
    <xf numFmtId="3" fontId="68" fillId="38" borderId="369" xfId="0" applyNumberFormat="1" applyFont="1" applyFill="1" applyBorder="1"/>
    <xf numFmtId="3" fontId="68" fillId="38" borderId="246" xfId="0" applyNumberFormat="1" applyFont="1" applyFill="1" applyBorder="1"/>
    <xf numFmtId="0" fontId="68" fillId="38" borderId="370" xfId="0" applyFont="1" applyFill="1" applyBorder="1"/>
    <xf numFmtId="1" fontId="68" fillId="38" borderId="29" xfId="0" applyNumberFormat="1" applyFont="1" applyFill="1" applyBorder="1"/>
    <xf numFmtId="1" fontId="68" fillId="38" borderId="0" xfId="0" applyNumberFormat="1" applyFont="1" applyFill="1"/>
    <xf numFmtId="0" fontId="68" fillId="38" borderId="28" xfId="0" applyFont="1" applyFill="1" applyBorder="1"/>
    <xf numFmtId="4" fontId="68" fillId="38" borderId="0" xfId="0" applyNumberFormat="1" applyFont="1" applyFill="1"/>
    <xf numFmtId="4" fontId="68" fillId="38" borderId="29" xfId="0" applyNumberFormat="1" applyFont="1" applyFill="1" applyBorder="1"/>
    <xf numFmtId="3" fontId="59" fillId="38" borderId="29" xfId="6" applyNumberFormat="1" applyFont="1" applyFill="1" applyBorder="1"/>
    <xf numFmtId="0" fontId="4" fillId="0" borderId="18" xfId="0" applyFont="1" applyBorder="1" applyAlignment="1">
      <alignment wrapText="1"/>
    </xf>
    <xf numFmtId="0" fontId="0" fillId="0" borderId="18" xfId="0" applyBorder="1"/>
    <xf numFmtId="3" fontId="4" fillId="4" borderId="37" xfId="0" applyNumberFormat="1" applyFont="1" applyFill="1" applyBorder="1" applyAlignment="1">
      <alignment horizontal="center" wrapText="1"/>
    </xf>
    <xf numFmtId="3" fontId="0" fillId="0" borderId="0" xfId="0" applyNumberFormat="1" applyAlignment="1">
      <alignment horizontal="right"/>
    </xf>
    <xf numFmtId="0" fontId="19" fillId="0" borderId="290" xfId="0" applyFont="1" applyBorder="1" applyAlignment="1">
      <alignment horizontal="left"/>
    </xf>
    <xf numFmtId="0" fontId="19" fillId="48" borderId="290" xfId="0" applyFont="1" applyFill="1" applyBorder="1" applyAlignment="1">
      <alignment horizontal="left"/>
    </xf>
    <xf numFmtId="0" fontId="19" fillId="48" borderId="298" xfId="0" applyFont="1" applyFill="1" applyBorder="1" applyAlignment="1">
      <alignment horizontal="left"/>
    </xf>
    <xf numFmtId="2" fontId="19" fillId="11" borderId="272" xfId="0" applyNumberFormat="1" applyFont="1" applyFill="1" applyBorder="1" applyAlignment="1">
      <alignment horizontal="center" wrapText="1"/>
    </xf>
    <xf numFmtId="2" fontId="19" fillId="11" borderId="273" xfId="0" applyNumberFormat="1" applyFont="1" applyFill="1" applyBorder="1" applyAlignment="1">
      <alignment horizontal="center" wrapText="1"/>
    </xf>
    <xf numFmtId="2" fontId="19" fillId="11" borderId="274" xfId="0" applyNumberFormat="1" applyFont="1" applyFill="1" applyBorder="1" applyAlignment="1">
      <alignment horizontal="center" wrapText="1"/>
    </xf>
    <xf numFmtId="2" fontId="19" fillId="0" borderId="263" xfId="0" applyNumberFormat="1" applyFont="1" applyBorder="1" applyAlignment="1">
      <alignment horizontal="center" wrapText="1"/>
    </xf>
    <xf numFmtId="2" fontId="19" fillId="0" borderId="264" xfId="0" applyNumberFormat="1" applyFont="1" applyBorder="1" applyAlignment="1">
      <alignment horizontal="center" wrapText="1"/>
    </xf>
    <xf numFmtId="2" fontId="19" fillId="0" borderId="265" xfId="0" applyNumberFormat="1" applyFont="1" applyBorder="1" applyAlignment="1">
      <alignment horizontal="center" wrapText="1"/>
    </xf>
    <xf numFmtId="3" fontId="68" fillId="11" borderId="241" xfId="0" applyNumberFormat="1" applyFont="1" applyFill="1" applyBorder="1" applyAlignment="1">
      <alignment horizontal="right" vertical="center"/>
    </xf>
    <xf numFmtId="0" fontId="0" fillId="11" borderId="0" xfId="0" applyFill="1" applyAlignment="1">
      <alignment horizontal="right" vertical="center"/>
    </xf>
    <xf numFmtId="0" fontId="19" fillId="0" borderId="342" xfId="0" applyFont="1" applyBorder="1" applyAlignment="1">
      <alignment horizontal="center" wrapText="1"/>
    </xf>
    <xf numFmtId="0" fontId="19" fillId="0" borderId="15" xfId="0" applyFont="1" applyBorder="1" applyAlignment="1">
      <alignment horizontal="center" wrapText="1"/>
    </xf>
    <xf numFmtId="0" fontId="19" fillId="11" borderId="377" xfId="0" applyFont="1" applyFill="1" applyBorder="1" applyAlignment="1">
      <alignment horizontal="center" wrapText="1"/>
    </xf>
    <xf numFmtId="0" fontId="19" fillId="11" borderId="343" xfId="0" applyFont="1" applyFill="1" applyBorder="1" applyAlignment="1">
      <alignment horizontal="center" wrapText="1"/>
    </xf>
    <xf numFmtId="2" fontId="19" fillId="0" borderId="17" xfId="0" applyNumberFormat="1" applyFont="1" applyBorder="1" applyAlignment="1">
      <alignment horizontal="center" wrapText="1"/>
    </xf>
    <xf numFmtId="2" fontId="19" fillId="0" borderId="18" xfId="0" applyNumberFormat="1" applyFont="1" applyBorder="1" applyAlignment="1">
      <alignment horizontal="center" wrapText="1"/>
    </xf>
    <xf numFmtId="2" fontId="19" fillId="11" borderId="365" xfId="0" applyNumberFormat="1" applyFont="1" applyFill="1" applyBorder="1" applyAlignment="1">
      <alignment horizontal="center" wrapText="1"/>
    </xf>
    <xf numFmtId="2" fontId="19" fillId="11" borderId="349" xfId="0" applyNumberFormat="1" applyFont="1" applyFill="1" applyBorder="1" applyAlignment="1">
      <alignment horizontal="center" wrapText="1"/>
    </xf>
    <xf numFmtId="3" fontId="68" fillId="11" borderId="371" xfId="0" applyNumberFormat="1" applyFont="1" applyFill="1" applyBorder="1" applyAlignment="1">
      <alignment horizontal="center" vertical="center"/>
    </xf>
    <xf numFmtId="2" fontId="19" fillId="0" borderId="27" xfId="0" applyNumberFormat="1" applyFont="1" applyBorder="1" applyAlignment="1">
      <alignment horizontal="center" wrapText="1"/>
    </xf>
    <xf numFmtId="0" fontId="19" fillId="0" borderId="202" xfId="0" applyFont="1" applyBorder="1" applyAlignment="1">
      <alignment horizontal="center" wrapText="1"/>
    </xf>
    <xf numFmtId="0" fontId="0" fillId="11" borderId="372" xfId="0" applyFill="1" applyBorder="1" applyAlignment="1">
      <alignment horizontal="right" vertical="center"/>
    </xf>
    <xf numFmtId="3" fontId="17" fillId="11" borderId="29" xfId="6" applyNumberFormat="1" applyFill="1" applyBorder="1" applyAlignment="1">
      <alignment horizontal="right"/>
    </xf>
    <xf numFmtId="0" fontId="19" fillId="41" borderId="170" xfId="0" applyFont="1" applyFill="1" applyBorder="1" applyAlignment="1">
      <alignment horizontal="center" vertical="center" wrapText="1"/>
    </xf>
    <xf numFmtId="0" fontId="46" fillId="11" borderId="151" xfId="0" applyFont="1" applyFill="1" applyBorder="1" applyAlignment="1">
      <alignment wrapText="1"/>
    </xf>
    <xf numFmtId="0" fontId="46" fillId="11" borderId="171" xfId="0" applyFont="1" applyFill="1" applyBorder="1" applyAlignment="1">
      <alignment wrapText="1"/>
    </xf>
    <xf numFmtId="0" fontId="19" fillId="11" borderId="170" xfId="0" applyFont="1" applyFill="1" applyBorder="1" applyAlignment="1">
      <alignment horizontal="center" vertical="center" wrapText="1"/>
    </xf>
    <xf numFmtId="0" fontId="19" fillId="28" borderId="19" xfId="0" applyFont="1" applyFill="1" applyBorder="1" applyAlignment="1">
      <alignment horizontal="center" wrapText="1"/>
    </xf>
    <xf numFmtId="0" fontId="19" fillId="28" borderId="20" xfId="0" applyFont="1" applyFill="1" applyBorder="1" applyAlignment="1">
      <alignment horizontal="center" wrapText="1"/>
    </xf>
    <xf numFmtId="0" fontId="19" fillId="41" borderId="151" xfId="0" applyFont="1" applyFill="1" applyBorder="1" applyAlignment="1">
      <alignment horizontal="center" vertical="center" wrapText="1"/>
    </xf>
    <xf numFmtId="0" fontId="19" fillId="41" borderId="171" xfId="0" applyFont="1" applyFill="1" applyBorder="1" applyAlignment="1">
      <alignment horizontal="center" vertical="center" wrapText="1"/>
    </xf>
    <xf numFmtId="0" fontId="19" fillId="11" borderId="151" xfId="0" applyFont="1" applyFill="1" applyBorder="1" applyAlignment="1">
      <alignment horizontal="center" vertical="center" wrapText="1"/>
    </xf>
    <xf numFmtId="0" fontId="19" fillId="41" borderId="170" xfId="0" applyFont="1" applyFill="1" applyBorder="1" applyAlignment="1">
      <alignment horizontal="center" vertical="center"/>
    </xf>
    <xf numFmtId="0" fontId="46" fillId="11" borderId="151" xfId="0" applyFont="1" applyFill="1" applyBorder="1"/>
    <xf numFmtId="0" fontId="46" fillId="11" borderId="171" xfId="0" applyFont="1" applyFill="1" applyBorder="1"/>
    <xf numFmtId="0" fontId="19" fillId="11" borderId="170" xfId="0" applyFont="1" applyFill="1" applyBorder="1" applyAlignment="1">
      <alignment horizontal="center" vertical="center"/>
    </xf>
    <xf numFmtId="1" fontId="46" fillId="11" borderId="22" xfId="0" applyNumberFormat="1" applyFont="1" applyFill="1" applyBorder="1" applyAlignment="1">
      <alignment horizontal="right" vertical="center"/>
    </xf>
    <xf numFmtId="1" fontId="46" fillId="11" borderId="23" xfId="0" applyNumberFormat="1" applyFont="1" applyFill="1" applyBorder="1" applyAlignment="1">
      <alignment horizontal="right" vertical="center"/>
    </xf>
    <xf numFmtId="1" fontId="46" fillId="11" borderId="24" xfId="0" applyNumberFormat="1" applyFont="1" applyFill="1" applyBorder="1" applyAlignment="1">
      <alignment horizontal="right" vertical="center"/>
    </xf>
    <xf numFmtId="1" fontId="46" fillId="11" borderId="22" xfId="0" applyNumberFormat="1" applyFont="1" applyFill="1" applyBorder="1" applyAlignment="1">
      <alignment horizontal="right" vertical="top"/>
    </xf>
    <xf numFmtId="1" fontId="46" fillId="11" borderId="23" xfId="0" applyNumberFormat="1" applyFont="1" applyFill="1" applyBorder="1" applyAlignment="1">
      <alignment horizontal="right" vertical="top"/>
    </xf>
    <xf numFmtId="1" fontId="46" fillId="11" borderId="24" xfId="0" applyNumberFormat="1" applyFont="1" applyFill="1" applyBorder="1" applyAlignment="1">
      <alignment horizontal="right" vertical="top"/>
    </xf>
    <xf numFmtId="1" fontId="46" fillId="11" borderId="22" xfId="0" applyNumberFormat="1" applyFont="1" applyFill="1" applyBorder="1" applyAlignment="1">
      <alignment horizontal="center" vertical="top"/>
    </xf>
    <xf numFmtId="1" fontId="46" fillId="11" borderId="23" xfId="0" applyNumberFormat="1" applyFont="1" applyFill="1" applyBorder="1" applyAlignment="1">
      <alignment horizontal="center" vertical="top"/>
    </xf>
    <xf numFmtId="1" fontId="46" fillId="11" borderId="24" xfId="0" applyNumberFormat="1" applyFont="1" applyFill="1" applyBorder="1" applyAlignment="1">
      <alignment horizontal="center" vertical="top"/>
    </xf>
    <xf numFmtId="1" fontId="46" fillId="11" borderId="22" xfId="0" applyNumberFormat="1" applyFont="1" applyFill="1" applyBorder="1" applyAlignment="1">
      <alignment horizontal="center" vertical="center"/>
    </xf>
    <xf numFmtId="1" fontId="46" fillId="11" borderId="23" xfId="0" applyNumberFormat="1" applyFont="1" applyFill="1" applyBorder="1" applyAlignment="1">
      <alignment horizontal="center" vertical="center"/>
    </xf>
    <xf numFmtId="1" fontId="46" fillId="11" borderId="24" xfId="0" applyNumberFormat="1" applyFont="1" applyFill="1" applyBorder="1" applyAlignment="1">
      <alignment horizontal="center" vertical="center"/>
    </xf>
    <xf numFmtId="0" fontId="63" fillId="37" borderId="25" xfId="0" applyFont="1" applyFill="1" applyBorder="1" applyAlignment="1">
      <alignment horizontal="center" vertical="center" wrapText="1"/>
    </xf>
    <xf numFmtId="0" fontId="63" fillId="37" borderId="30" xfId="0" applyFont="1" applyFill="1" applyBorder="1" applyAlignment="1">
      <alignment horizontal="center" vertical="center" wrapText="1"/>
    </xf>
    <xf numFmtId="0" fontId="63" fillId="37" borderId="26" xfId="0" applyFont="1" applyFill="1" applyBorder="1" applyAlignment="1">
      <alignment horizontal="center" vertical="center" wrapText="1"/>
    </xf>
    <xf numFmtId="0" fontId="63" fillId="37" borderId="77" xfId="0" applyFont="1" applyFill="1" applyBorder="1" applyAlignment="1">
      <alignment horizontal="center" vertical="center" wrapText="1"/>
    </xf>
    <xf numFmtId="0" fontId="63" fillId="37" borderId="78" xfId="0" applyFont="1" applyFill="1" applyBorder="1" applyAlignment="1">
      <alignment horizontal="center" vertical="center" wrapText="1"/>
    </xf>
    <xf numFmtId="0" fontId="63" fillId="37" borderId="89" xfId="0" applyFont="1" applyFill="1" applyBorder="1" applyAlignment="1">
      <alignment horizontal="center" vertical="center" wrapText="1"/>
    </xf>
    <xf numFmtId="3" fontId="62" fillId="37" borderId="148" xfId="0" applyNumberFormat="1" applyFont="1" applyFill="1" applyBorder="1" applyAlignment="1">
      <alignment horizontal="center" vertical="center" wrapText="1"/>
    </xf>
    <xf numFmtId="3" fontId="62" fillId="37" borderId="151" xfId="0" applyNumberFormat="1" applyFont="1" applyFill="1" applyBorder="1" applyAlignment="1">
      <alignment horizontal="center" vertical="center" wrapText="1"/>
    </xf>
    <xf numFmtId="3" fontId="62" fillId="37" borderId="152" xfId="0" applyNumberFormat="1" applyFont="1" applyFill="1" applyBorder="1" applyAlignment="1">
      <alignment horizontal="center" vertical="center" wrapText="1"/>
    </xf>
    <xf numFmtId="3" fontId="62" fillId="37" borderId="81" xfId="0" applyNumberFormat="1" applyFont="1" applyFill="1" applyBorder="1" applyAlignment="1">
      <alignment horizontal="center" vertical="center" wrapText="1"/>
    </xf>
    <xf numFmtId="3" fontId="62" fillId="37" borderId="86" xfId="0" applyNumberFormat="1" applyFont="1" applyFill="1" applyBorder="1" applyAlignment="1">
      <alignment horizontal="center" vertical="center" wrapText="1"/>
    </xf>
    <xf numFmtId="3" fontId="62" fillId="37" borderId="83" xfId="0" applyNumberFormat="1" applyFont="1" applyFill="1" applyBorder="1" applyAlignment="1">
      <alignment horizontal="center" vertical="center" wrapText="1"/>
    </xf>
    <xf numFmtId="0" fontId="63" fillId="37" borderId="175" xfId="0" applyFont="1" applyFill="1" applyBorder="1" applyAlignment="1">
      <alignment horizontal="center" vertical="center" wrapText="1"/>
    </xf>
    <xf numFmtId="3" fontId="62" fillId="37" borderId="182" xfId="0" applyNumberFormat="1" applyFont="1" applyFill="1" applyBorder="1" applyAlignment="1">
      <alignment horizontal="center" vertical="center" wrapText="1"/>
    </xf>
    <xf numFmtId="0" fontId="63" fillId="37" borderId="183" xfId="0" applyFont="1" applyFill="1" applyBorder="1" applyAlignment="1">
      <alignment horizontal="center" vertical="center" wrapText="1"/>
    </xf>
    <xf numFmtId="3" fontId="62" fillId="37" borderId="190" xfId="0" applyNumberFormat="1" applyFont="1" applyFill="1" applyBorder="1" applyAlignment="1">
      <alignment horizontal="center" vertical="center" wrapText="1"/>
    </xf>
    <xf numFmtId="3" fontId="62" fillId="37" borderId="77" xfId="0" applyNumberFormat="1" applyFont="1" applyFill="1" applyBorder="1" applyAlignment="1">
      <alignment horizontal="center" vertical="center" wrapText="1"/>
    </xf>
    <xf numFmtId="3" fontId="62" fillId="37" borderId="78" xfId="0" applyNumberFormat="1" applyFont="1" applyFill="1" applyBorder="1" applyAlignment="1">
      <alignment horizontal="center" vertical="center" wrapText="1"/>
    </xf>
    <xf numFmtId="3" fontId="62" fillId="37" borderId="183" xfId="0" applyNumberFormat="1" applyFont="1" applyFill="1" applyBorder="1" applyAlignment="1">
      <alignment horizontal="center" vertical="center" wrapText="1"/>
    </xf>
    <xf numFmtId="3" fontId="62" fillId="37" borderId="232" xfId="0" applyNumberFormat="1" applyFont="1" applyFill="1" applyBorder="1" applyAlignment="1">
      <alignment horizontal="center" vertical="center" wrapText="1"/>
    </xf>
    <xf numFmtId="3" fontId="62" fillId="37" borderId="233" xfId="0" applyNumberFormat="1" applyFont="1" applyFill="1" applyBorder="1" applyAlignment="1">
      <alignment horizontal="center" vertical="center" wrapText="1"/>
    </xf>
    <xf numFmtId="3" fontId="62" fillId="37" borderId="234" xfId="0" applyNumberFormat="1" applyFont="1" applyFill="1" applyBorder="1" applyAlignment="1">
      <alignment horizontal="center" vertical="center" wrapText="1"/>
    </xf>
    <xf numFmtId="3" fontId="62" fillId="37" borderId="116" xfId="0" applyNumberFormat="1" applyFont="1" applyFill="1" applyBorder="1" applyAlignment="1">
      <alignment horizontal="center" vertical="center" wrapText="1"/>
    </xf>
    <xf numFmtId="3" fontId="62" fillId="37" borderId="125" xfId="0" applyNumberFormat="1" applyFont="1" applyFill="1" applyBorder="1" applyAlignment="1">
      <alignment horizontal="center" vertical="center" wrapText="1"/>
    </xf>
    <xf numFmtId="3" fontId="62" fillId="37" borderId="235" xfId="0" applyNumberFormat="1" applyFont="1" applyFill="1" applyBorder="1" applyAlignment="1">
      <alignment horizontal="center" vertical="center" wrapText="1"/>
    </xf>
    <xf numFmtId="3" fontId="62" fillId="37" borderId="236" xfId="0" applyNumberFormat="1" applyFont="1" applyFill="1" applyBorder="1" applyAlignment="1">
      <alignment horizontal="center" vertical="center" wrapText="1"/>
    </xf>
    <xf numFmtId="3" fontId="62" fillId="37" borderId="237" xfId="0" applyNumberFormat="1" applyFont="1" applyFill="1" applyBorder="1" applyAlignment="1">
      <alignment horizontal="center" vertical="center" wrapText="1"/>
    </xf>
    <xf numFmtId="3" fontId="62" fillId="37" borderId="238" xfId="0" applyNumberFormat="1" applyFont="1" applyFill="1" applyBorder="1" applyAlignment="1">
      <alignment horizontal="center" vertical="center" wrapText="1"/>
    </xf>
    <xf numFmtId="3" fontId="63" fillId="0" borderId="131" xfId="0" applyNumberFormat="1" applyFont="1" applyBorder="1" applyAlignment="1">
      <alignment horizontal="center" wrapText="1"/>
    </xf>
    <xf numFmtId="3" fontId="63" fillId="0" borderId="11" xfId="0" applyNumberFormat="1" applyFont="1" applyBorder="1" applyAlignment="1">
      <alignment horizontal="center" wrapText="1"/>
    </xf>
    <xf numFmtId="3" fontId="63" fillId="0" borderId="0" xfId="0" applyNumberFormat="1" applyFont="1" applyAlignment="1">
      <alignment horizontal="center" wrapText="1"/>
    </xf>
    <xf numFmtId="3" fontId="63" fillId="0" borderId="198" xfId="0" applyNumberFormat="1" applyFont="1" applyBorder="1" applyAlignment="1">
      <alignment horizontal="center" wrapText="1"/>
    </xf>
    <xf numFmtId="1" fontId="62" fillId="37" borderId="112" xfId="0" applyNumberFormat="1" applyFont="1" applyFill="1" applyBorder="1" applyAlignment="1">
      <alignment horizontal="center" vertical="center" wrapText="1"/>
    </xf>
    <xf numFmtId="0" fontId="62" fillId="37" borderId="0" xfId="0" applyFont="1" applyFill="1" applyAlignment="1">
      <alignment horizontal="center" vertical="center" wrapText="1"/>
    </xf>
    <xf numFmtId="0" fontId="62" fillId="37" borderId="126" xfId="0" applyFont="1" applyFill="1" applyBorder="1" applyAlignment="1">
      <alignment horizontal="center" vertical="center" wrapText="1"/>
    </xf>
    <xf numFmtId="1" fontId="62" fillId="37" borderId="113" xfId="0" applyNumberFormat="1" applyFont="1" applyFill="1" applyBorder="1" applyAlignment="1">
      <alignment horizontal="center" vertical="center" wrapText="1"/>
    </xf>
    <xf numFmtId="0" fontId="62" fillId="37" borderId="86" xfId="0" applyFont="1" applyFill="1" applyBorder="1" applyAlignment="1">
      <alignment horizontal="center" vertical="center" wrapText="1"/>
    </xf>
    <xf numFmtId="0" fontId="62" fillId="37" borderId="127" xfId="0" applyFont="1" applyFill="1" applyBorder="1" applyAlignment="1">
      <alignment horizontal="center" vertical="center" wrapText="1"/>
    </xf>
    <xf numFmtId="3" fontId="62" fillId="37" borderId="113" xfId="0" applyNumberFormat="1" applyFont="1" applyFill="1" applyBorder="1" applyAlignment="1">
      <alignment horizontal="center" vertical="center" wrapText="1"/>
    </xf>
    <xf numFmtId="3" fontId="62" fillId="37" borderId="127" xfId="0" applyNumberFormat="1" applyFont="1" applyFill="1" applyBorder="1" applyAlignment="1">
      <alignment horizontal="center" vertical="center" wrapText="1"/>
    </xf>
    <xf numFmtId="0" fontId="62" fillId="37" borderId="11" xfId="0" applyFont="1" applyFill="1" applyBorder="1" applyAlignment="1">
      <alignment horizontal="center" vertical="center" wrapText="1"/>
    </xf>
    <xf numFmtId="3" fontId="62" fillId="37" borderId="204" xfId="0" applyNumberFormat="1" applyFont="1" applyFill="1" applyBorder="1" applyAlignment="1">
      <alignment horizontal="center" vertical="center" wrapText="1"/>
    </xf>
    <xf numFmtId="3" fontId="62" fillId="37" borderId="166" xfId="0" applyNumberFormat="1" applyFont="1" applyFill="1" applyBorder="1" applyAlignment="1">
      <alignment horizontal="center" vertical="center" wrapText="1"/>
    </xf>
    <xf numFmtId="3" fontId="62" fillId="37" borderId="205" xfId="0" applyNumberFormat="1" applyFont="1" applyFill="1" applyBorder="1" applyAlignment="1">
      <alignment horizontal="center" vertical="center" wrapText="1"/>
    </xf>
    <xf numFmtId="3" fontId="62" fillId="12" borderId="164" xfId="0" applyNumberFormat="1" applyFont="1" applyFill="1" applyBorder="1" applyAlignment="1">
      <alignment horizontal="center" vertical="center" wrapText="1"/>
    </xf>
    <xf numFmtId="3" fontId="62" fillId="12" borderId="166" xfId="0" applyNumberFormat="1" applyFont="1" applyFill="1" applyBorder="1" applyAlignment="1">
      <alignment horizontal="center" vertical="center" wrapText="1"/>
    </xf>
    <xf numFmtId="3" fontId="62" fillId="12" borderId="167" xfId="0" applyNumberFormat="1" applyFont="1" applyFill="1" applyBorder="1" applyAlignment="1">
      <alignment horizontal="center" vertical="center" wrapText="1"/>
    </xf>
    <xf numFmtId="0" fontId="19" fillId="12" borderId="192" xfId="0" applyFont="1" applyFill="1" applyBorder="1" applyAlignment="1">
      <alignment horizontal="center" vertical="center"/>
    </xf>
    <xf numFmtId="0" fontId="19" fillId="12" borderId="194" xfId="0" applyFont="1" applyFill="1" applyBorder="1" applyAlignment="1">
      <alignment horizontal="center" vertical="center"/>
    </xf>
    <xf numFmtId="0" fontId="19" fillId="12" borderId="195" xfId="0" applyFont="1" applyFill="1" applyBorder="1" applyAlignment="1">
      <alignment horizontal="center" vertical="center"/>
    </xf>
    <xf numFmtId="3" fontId="0" fillId="12" borderId="170" xfId="0" applyNumberFormat="1" applyFill="1" applyBorder="1" applyAlignment="1">
      <alignment horizontal="center" vertical="center"/>
    </xf>
    <xf numFmtId="0" fontId="0" fillId="12" borderId="151" xfId="0" applyFill="1" applyBorder="1" applyAlignment="1">
      <alignment horizontal="center" vertical="center"/>
    </xf>
    <xf numFmtId="0" fontId="0" fillId="12" borderId="171" xfId="0" applyFill="1" applyBorder="1" applyAlignment="1">
      <alignment horizontal="center" vertical="center"/>
    </xf>
    <xf numFmtId="0" fontId="0" fillId="12" borderId="193" xfId="0" applyFill="1" applyBorder="1" applyAlignment="1">
      <alignment horizontal="center" vertical="center"/>
    </xf>
    <xf numFmtId="0" fontId="0" fillId="12" borderId="141" xfId="0" applyFill="1" applyBorder="1" applyAlignment="1">
      <alignment horizontal="center" vertical="center"/>
    </xf>
    <xf numFmtId="0" fontId="0" fillId="12" borderId="196" xfId="0" applyFill="1" applyBorder="1" applyAlignment="1">
      <alignment horizontal="center" vertical="center"/>
    </xf>
    <xf numFmtId="3" fontId="62" fillId="37" borderId="132" xfId="0" applyNumberFormat="1" applyFont="1" applyFill="1" applyBorder="1" applyAlignment="1">
      <alignment horizontal="center" vertical="center" wrapText="1"/>
    </xf>
    <xf numFmtId="0" fontId="62" fillId="37" borderId="132" xfId="0" applyFont="1" applyFill="1" applyBorder="1" applyAlignment="1">
      <alignment horizontal="center" vertical="center" wrapText="1"/>
    </xf>
    <xf numFmtId="0" fontId="63" fillId="12" borderId="175" xfId="0" applyFont="1" applyFill="1" applyBorder="1" applyAlignment="1">
      <alignment horizontal="center" vertical="center" wrapText="1"/>
    </xf>
    <xf numFmtId="0" fontId="63" fillId="12" borderId="78" xfId="0" applyFont="1" applyFill="1" applyBorder="1" applyAlignment="1">
      <alignment horizontal="center" vertical="center" wrapText="1"/>
    </xf>
    <xf numFmtId="0" fontId="63" fillId="12" borderId="183" xfId="0" applyFont="1" applyFill="1" applyBorder="1" applyAlignment="1">
      <alignment horizontal="center" vertical="center" wrapText="1"/>
    </xf>
    <xf numFmtId="3" fontId="62" fillId="12" borderId="182" xfId="0" applyNumberFormat="1" applyFont="1" applyFill="1" applyBorder="1" applyAlignment="1">
      <alignment horizontal="center" vertical="center" wrapText="1"/>
    </xf>
    <xf numFmtId="3" fontId="62" fillId="12" borderId="86" xfId="0" applyNumberFormat="1" applyFont="1" applyFill="1" applyBorder="1" applyAlignment="1">
      <alignment horizontal="center" vertical="center" wrapText="1"/>
    </xf>
    <xf numFmtId="3" fontId="62" fillId="12" borderId="190" xfId="0" applyNumberFormat="1" applyFont="1" applyFill="1" applyBorder="1" applyAlignment="1">
      <alignment horizontal="center" vertical="center" wrapText="1"/>
    </xf>
    <xf numFmtId="0" fontId="63" fillId="37" borderId="131" xfId="0" applyFont="1" applyFill="1" applyBorder="1" applyAlignment="1">
      <alignment horizontal="center" vertical="center" wrapText="1"/>
    </xf>
    <xf numFmtId="3" fontId="62" fillId="37" borderId="197" xfId="0" applyNumberFormat="1" applyFont="1" applyFill="1" applyBorder="1" applyAlignment="1">
      <alignment horizontal="center" vertical="center" wrapText="1"/>
    </xf>
    <xf numFmtId="0" fontId="19" fillId="26" borderId="15" xfId="0" applyFont="1" applyFill="1" applyBorder="1" applyAlignment="1">
      <alignment horizontal="center"/>
    </xf>
    <xf numFmtId="0" fontId="19" fillId="26" borderId="11" xfId="0" applyFont="1" applyFill="1" applyBorder="1" applyAlignment="1">
      <alignment horizontal="center"/>
    </xf>
    <xf numFmtId="0" fontId="19" fillId="26" borderId="208" xfId="0" applyFont="1" applyFill="1" applyBorder="1" applyAlignment="1">
      <alignment horizontal="center"/>
    </xf>
    <xf numFmtId="0" fontId="0" fillId="12" borderId="164" xfId="0" applyFill="1" applyBorder="1" applyAlignment="1">
      <alignment horizontal="center" vertical="center"/>
    </xf>
    <xf numFmtId="0" fontId="0" fillId="12" borderId="166" xfId="0" applyFill="1" applyBorder="1" applyAlignment="1">
      <alignment horizontal="center" vertical="center"/>
    </xf>
    <xf numFmtId="0" fontId="0" fillId="12" borderId="167" xfId="0" applyFill="1" applyBorder="1" applyAlignment="1">
      <alignment horizontal="center" vertical="center"/>
    </xf>
    <xf numFmtId="0" fontId="63" fillId="37" borderId="134" xfId="0" applyFont="1" applyFill="1" applyBorder="1" applyAlignment="1">
      <alignment horizontal="center" vertical="center" wrapText="1"/>
    </xf>
    <xf numFmtId="0" fontId="63" fillId="37" borderId="136" xfId="0" applyFont="1" applyFill="1" applyBorder="1" applyAlignment="1">
      <alignment horizontal="center" vertical="center" wrapText="1"/>
    </xf>
    <xf numFmtId="0" fontId="63" fillId="37" borderId="137" xfId="0" applyFont="1" applyFill="1" applyBorder="1" applyAlignment="1">
      <alignment horizontal="center" vertical="center" wrapText="1"/>
    </xf>
    <xf numFmtId="3" fontId="62" fillId="37" borderId="79" xfId="0" applyNumberFormat="1" applyFont="1" applyFill="1" applyBorder="1" applyAlignment="1">
      <alignment horizontal="center" vertical="center" wrapText="1"/>
    </xf>
    <xf numFmtId="3" fontId="62" fillId="37" borderId="80" xfId="0" applyNumberFormat="1" applyFont="1" applyFill="1" applyBorder="1" applyAlignment="1">
      <alignment horizontal="center" vertical="center" wrapText="1"/>
    </xf>
    <xf numFmtId="3" fontId="19" fillId="11" borderId="15" xfId="0" applyNumberFormat="1" applyFont="1" applyFill="1" applyBorder="1" applyAlignment="1">
      <alignment horizontal="center" vertical="center"/>
    </xf>
    <xf numFmtId="3" fontId="19" fillId="11" borderId="202" xfId="0" applyNumberFormat="1" applyFont="1" applyFill="1" applyBorder="1" applyAlignment="1">
      <alignment horizontal="center" vertical="center"/>
    </xf>
    <xf numFmtId="3" fontId="19" fillId="11" borderId="139" xfId="0" applyNumberFormat="1" applyFont="1" applyFill="1" applyBorder="1" applyAlignment="1">
      <alignment horizontal="center" vertical="center"/>
    </xf>
    <xf numFmtId="0" fontId="19" fillId="43" borderId="209" xfId="0" applyFont="1" applyFill="1" applyBorder="1" applyAlignment="1">
      <alignment horizontal="center" vertical="center" wrapText="1"/>
    </xf>
    <xf numFmtId="0" fontId="19" fillId="43" borderId="210" xfId="0" applyFont="1" applyFill="1" applyBorder="1" applyAlignment="1">
      <alignment horizontal="center" vertical="center" wrapText="1"/>
    </xf>
    <xf numFmtId="0" fontId="19" fillId="43" borderId="213" xfId="0" applyFont="1" applyFill="1" applyBorder="1" applyAlignment="1">
      <alignment horizontal="center" wrapText="1"/>
    </xf>
    <xf numFmtId="0" fontId="19" fillId="43" borderId="211" xfId="0" applyFont="1" applyFill="1" applyBorder="1" applyAlignment="1">
      <alignment horizontal="center" wrapText="1"/>
    </xf>
    <xf numFmtId="0" fontId="19" fillId="43" borderId="144" xfId="0" applyFont="1" applyFill="1" applyBorder="1" applyAlignment="1">
      <alignment horizontal="center" vertical="center" wrapText="1"/>
    </xf>
    <xf numFmtId="0" fontId="19" fillId="43" borderId="228" xfId="0" applyFont="1" applyFill="1" applyBorder="1" applyAlignment="1">
      <alignment horizontal="center" vertical="center" wrapText="1"/>
    </xf>
    <xf numFmtId="38" fontId="52" fillId="32" borderId="18" xfId="0" applyNumberFormat="1" applyFont="1" applyFill="1" applyBorder="1" applyAlignment="1">
      <alignment horizontal="center" vertical="center"/>
    </xf>
    <xf numFmtId="38" fontId="52" fillId="32" borderId="0" xfId="0" applyNumberFormat="1" applyFont="1" applyFill="1" applyAlignment="1">
      <alignment horizontal="center" vertical="center"/>
    </xf>
    <xf numFmtId="10" fontId="52" fillId="32" borderId="27" xfId="0" applyNumberFormat="1" applyFont="1" applyFill="1" applyBorder="1" applyAlignment="1">
      <alignment horizontal="center" vertical="center"/>
    </xf>
    <xf numFmtId="10" fontId="52" fillId="32" borderId="29" xfId="0" applyNumberFormat="1" applyFont="1" applyFill="1" applyBorder="1" applyAlignment="1">
      <alignment horizontal="center" vertical="center"/>
    </xf>
    <xf numFmtId="38" fontId="52" fillId="32" borderId="11" xfId="0" applyNumberFormat="1" applyFont="1" applyFill="1" applyBorder="1" applyAlignment="1">
      <alignment horizontal="center" vertical="center"/>
    </xf>
    <xf numFmtId="10" fontId="52" fillId="32" borderId="32" xfId="0" applyNumberFormat="1" applyFont="1" applyFill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/>
    </xf>
    <xf numFmtId="0" fontId="17" fillId="0" borderId="75" xfId="0" applyFont="1" applyBorder="1" applyAlignment="1">
      <alignment horizontal="center" vertical="center"/>
    </xf>
    <xf numFmtId="0" fontId="57" fillId="22" borderId="47" xfId="0" applyFont="1" applyFill="1" applyBorder="1" applyAlignment="1">
      <alignment horizontal="center"/>
    </xf>
    <xf numFmtId="0" fontId="57" fillId="22" borderId="48" xfId="0" applyFont="1" applyFill="1" applyBorder="1" applyAlignment="1">
      <alignment horizontal="center"/>
    </xf>
    <xf numFmtId="0" fontId="57" fillId="22" borderId="47" xfId="0" applyFont="1" applyFill="1" applyBorder="1" applyAlignment="1">
      <alignment horizontal="center" vertical="center"/>
    </xf>
    <xf numFmtId="0" fontId="57" fillId="22" borderId="48" xfId="0" applyFont="1" applyFill="1" applyBorder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0" fontId="17" fillId="0" borderId="57" xfId="0" applyFont="1" applyBorder="1" applyAlignment="1">
      <alignment horizontal="center" vertical="center"/>
    </xf>
    <xf numFmtId="0" fontId="17" fillId="0" borderId="65" xfId="0" applyFont="1" applyBorder="1" applyAlignment="1">
      <alignment horizontal="center" vertical="center"/>
    </xf>
    <xf numFmtId="3" fontId="19" fillId="23" borderId="10" xfId="0" applyNumberFormat="1" applyFont="1" applyFill="1" applyBorder="1" applyAlignment="1">
      <alignment horizontal="center" shrinkToFit="1"/>
    </xf>
    <xf numFmtId="3" fontId="19" fillId="11" borderId="10" xfId="0" applyNumberFormat="1" applyFont="1" applyFill="1" applyBorder="1" applyAlignment="1">
      <alignment horizontal="center" shrinkToFit="1"/>
    </xf>
    <xf numFmtId="3" fontId="19" fillId="23" borderId="12" xfId="0" applyNumberFormat="1" applyFont="1" applyFill="1" applyBorder="1" applyAlignment="1">
      <alignment horizontal="center" shrinkToFit="1"/>
    </xf>
    <xf numFmtId="3" fontId="19" fillId="23" borderId="13" xfId="0" applyNumberFormat="1" applyFont="1" applyFill="1" applyBorder="1" applyAlignment="1">
      <alignment horizontal="center" shrinkToFit="1"/>
    </xf>
    <xf numFmtId="3" fontId="19" fillId="23" borderId="14" xfId="0" applyNumberFormat="1" applyFont="1" applyFill="1" applyBorder="1" applyAlignment="1">
      <alignment horizontal="center" shrinkToFit="1"/>
    </xf>
    <xf numFmtId="0" fontId="19" fillId="23" borderId="12" xfId="0" applyFont="1" applyFill="1" applyBorder="1" applyAlignment="1">
      <alignment horizontal="center"/>
    </xf>
    <xf numFmtId="0" fontId="19" fillId="23" borderId="13" xfId="0" applyFont="1" applyFill="1" applyBorder="1" applyAlignment="1">
      <alignment horizontal="center"/>
    </xf>
    <xf numFmtId="0" fontId="19" fillId="23" borderId="14" xfId="0" applyFont="1" applyFill="1" applyBorder="1" applyAlignment="1">
      <alignment horizontal="center"/>
    </xf>
    <xf numFmtId="0" fontId="28" fillId="22" borderId="214" xfId="0" applyFont="1" applyFill="1" applyBorder="1" applyAlignment="1">
      <alignment horizontal="left"/>
    </xf>
    <xf numFmtId="0" fontId="28" fillId="22" borderId="215" xfId="0" applyFont="1" applyFill="1" applyBorder="1" applyAlignment="1">
      <alignment horizontal="left"/>
    </xf>
    <xf numFmtId="0" fontId="28" fillId="22" borderId="216" xfId="0" applyFont="1" applyFill="1" applyBorder="1" applyAlignment="1">
      <alignment horizontal="left"/>
    </xf>
    <xf numFmtId="0" fontId="19" fillId="23" borderId="10" xfId="0" applyFont="1" applyFill="1" applyBorder="1" applyAlignment="1">
      <alignment horizontal="center"/>
    </xf>
    <xf numFmtId="0" fontId="16" fillId="9" borderId="7" xfId="0" applyFont="1" applyFill="1" applyBorder="1" applyAlignment="1">
      <alignment horizontal="center" vertical="center" wrapText="1"/>
    </xf>
    <xf numFmtId="0" fontId="16" fillId="9" borderId="8" xfId="0" applyFont="1" applyFill="1" applyBorder="1" applyAlignment="1">
      <alignment horizontal="center" vertical="center" wrapText="1"/>
    </xf>
    <xf numFmtId="2" fontId="16" fillId="9" borderId="9" xfId="0" applyNumberFormat="1" applyFont="1" applyFill="1" applyBorder="1" applyAlignment="1">
      <alignment horizontal="center" vertical="center" wrapText="1"/>
    </xf>
    <xf numFmtId="2" fontId="16" fillId="9" borderId="5" xfId="0" applyNumberFormat="1" applyFont="1" applyFill="1" applyBorder="1" applyAlignment="1">
      <alignment horizontal="center" vertical="center" wrapText="1"/>
    </xf>
    <xf numFmtId="2" fontId="16" fillId="9" borderId="6" xfId="0" applyNumberFormat="1" applyFont="1" applyFill="1" applyBorder="1" applyAlignment="1">
      <alignment horizontal="center" vertical="center" wrapText="1"/>
    </xf>
    <xf numFmtId="0" fontId="16" fillId="9" borderId="3" xfId="0" applyFont="1" applyFill="1" applyBorder="1" applyAlignment="1">
      <alignment horizontal="center" vertical="center" wrapText="1"/>
    </xf>
    <xf numFmtId="0" fontId="16" fillId="9" borderId="4" xfId="0" applyFont="1" applyFill="1" applyBorder="1" applyAlignment="1">
      <alignment horizontal="center" vertical="center" wrapText="1"/>
    </xf>
    <xf numFmtId="0" fontId="0" fillId="0" borderId="0" xfId="0" applyBorder="1"/>
    <xf numFmtId="0" fontId="3" fillId="0" borderId="0" xfId="0" applyFont="1" applyBorder="1"/>
    <xf numFmtId="169" fontId="22" fillId="0" borderId="0" xfId="0" applyNumberFormat="1" applyFont="1" applyBorder="1"/>
    <xf numFmtId="169" fontId="22" fillId="12" borderId="0" xfId="0" applyNumberFormat="1" applyFont="1" applyFill="1" applyBorder="1"/>
    <xf numFmtId="167" fontId="22" fillId="12" borderId="0" xfId="0" applyNumberFormat="1" applyFont="1" applyFill="1" applyBorder="1"/>
    <xf numFmtId="4" fontId="21" fillId="10" borderId="0" xfId="0" applyNumberFormat="1" applyFont="1" applyFill="1" applyBorder="1"/>
    <xf numFmtId="4" fontId="10" fillId="12" borderId="0" xfId="0" applyNumberFormat="1" applyFont="1" applyFill="1" applyBorder="1"/>
    <xf numFmtId="3" fontId="10" fillId="0" borderId="0" xfId="0" applyNumberFormat="1" applyFont="1" applyBorder="1"/>
    <xf numFmtId="3" fontId="3" fillId="0" borderId="0" xfId="0" applyNumberFormat="1" applyFont="1" applyBorder="1"/>
    <xf numFmtId="3" fontId="0" fillId="0" borderId="0" xfId="0" applyNumberFormat="1" applyBorder="1"/>
    <xf numFmtId="3" fontId="12" fillId="5" borderId="0" xfId="0" applyNumberFormat="1" applyFont="1" applyFill="1" applyBorder="1"/>
    <xf numFmtId="4" fontId="12" fillId="5" borderId="0" xfId="0" applyNumberFormat="1" applyFont="1" applyFill="1" applyBorder="1"/>
    <xf numFmtId="3" fontId="12" fillId="14" borderId="0" xfId="0" applyNumberFormat="1" applyFont="1" applyFill="1" applyBorder="1"/>
    <xf numFmtId="3" fontId="19" fillId="12" borderId="0" xfId="0" applyNumberFormat="1" applyFont="1" applyFill="1" applyBorder="1" applyAlignment="1">
      <alignment horizontal="right" wrapText="1"/>
    </xf>
    <xf numFmtId="3" fontId="3" fillId="12" borderId="0" xfId="0" applyNumberFormat="1" applyFont="1" applyFill="1" applyBorder="1"/>
    <xf numFmtId="3" fontId="5" fillId="10" borderId="0" xfId="0" applyNumberFormat="1" applyFont="1" applyFill="1" applyBorder="1" applyAlignment="1">
      <alignment horizontal="right"/>
    </xf>
    <xf numFmtId="0" fontId="10" fillId="0" borderId="0" xfId="0" applyFont="1" applyBorder="1"/>
    <xf numFmtId="0" fontId="17" fillId="11" borderId="0" xfId="0" applyFont="1" applyFill="1" applyBorder="1"/>
    <xf numFmtId="3" fontId="17" fillId="11" borderId="0" xfId="0" applyNumberFormat="1" applyFont="1" applyFill="1" applyBorder="1"/>
    <xf numFmtId="4" fontId="0" fillId="11" borderId="0" xfId="0" applyNumberFormat="1" applyFill="1" applyBorder="1"/>
    <xf numFmtId="3" fontId="17" fillId="11" borderId="0" xfId="6" applyNumberFormat="1" applyFill="1" applyBorder="1"/>
    <xf numFmtId="3" fontId="59" fillId="11" borderId="0" xfId="0" applyNumberFormat="1" applyFont="1" applyFill="1" applyBorder="1"/>
    <xf numFmtId="3" fontId="46" fillId="11" borderId="0" xfId="0" applyNumberFormat="1" applyFont="1" applyFill="1" applyBorder="1"/>
    <xf numFmtId="4" fontId="59" fillId="11" borderId="0" xfId="0" applyNumberFormat="1" applyFont="1" applyFill="1" applyBorder="1"/>
    <xf numFmtId="0" fontId="17" fillId="11" borderId="0" xfId="0" applyFont="1" applyFill="1" applyBorder="1" applyAlignment="1">
      <alignment wrapText="1"/>
    </xf>
    <xf numFmtId="0" fontId="76" fillId="0" borderId="0" xfId="0" applyFont="1" applyBorder="1" applyAlignment="1">
      <alignment wrapText="1"/>
    </xf>
    <xf numFmtId="3" fontId="17" fillId="13" borderId="0" xfId="0" applyNumberFormat="1" applyFont="1" applyFill="1" applyBorder="1"/>
    <xf numFmtId="2" fontId="46" fillId="0" borderId="345" xfId="0" applyNumberFormat="1" applyFont="1" applyBorder="1"/>
    <xf numFmtId="169" fontId="19" fillId="0" borderId="37" xfId="0" applyNumberFormat="1" applyFont="1" applyBorder="1"/>
    <xf numFmtId="169" fontId="25" fillId="0" borderId="0" xfId="0" applyNumberFormat="1" applyFont="1" applyBorder="1"/>
    <xf numFmtId="169" fontId="0" fillId="0" borderId="0" xfId="0" applyNumberFormat="1" applyBorder="1"/>
    <xf numFmtId="169" fontId="25" fillId="12" borderId="0" xfId="0" applyNumberFormat="1" applyFont="1" applyFill="1" applyBorder="1"/>
    <xf numFmtId="169" fontId="0" fillId="12" borderId="0" xfId="0" applyNumberFormat="1" applyFill="1" applyBorder="1"/>
    <xf numFmtId="3" fontId="21" fillId="10" borderId="37" xfId="0" applyNumberFormat="1" applyFont="1" applyFill="1" applyBorder="1"/>
    <xf numFmtId="0" fontId="19" fillId="10" borderId="0" xfId="0" applyFont="1" applyFill="1" applyBorder="1"/>
    <xf numFmtId="167" fontId="25" fillId="12" borderId="0" xfId="0" applyNumberFormat="1" applyFont="1" applyFill="1" applyBorder="1"/>
    <xf numFmtId="167" fontId="0" fillId="12" borderId="0" xfId="0" applyNumberFormat="1" applyFill="1" applyBorder="1"/>
    <xf numFmtId="0" fontId="10" fillId="12" borderId="31" xfId="0" applyFont="1" applyFill="1" applyBorder="1"/>
    <xf numFmtId="0" fontId="25" fillId="12" borderId="11" xfId="0" applyFont="1" applyFill="1" applyBorder="1"/>
    <xf numFmtId="0" fontId="11" fillId="12" borderId="40" xfId="0" applyFont="1" applyFill="1" applyBorder="1" applyAlignment="1">
      <alignment horizontal="right"/>
    </xf>
    <xf numFmtId="167" fontId="22" fillId="12" borderId="31" xfId="0" applyNumberFormat="1" applyFont="1" applyFill="1" applyBorder="1"/>
    <xf numFmtId="167" fontId="22" fillId="12" borderId="11" xfId="0" applyNumberFormat="1" applyFont="1" applyFill="1" applyBorder="1"/>
    <xf numFmtId="167" fontId="22" fillId="12" borderId="32" xfId="0" applyNumberFormat="1" applyFont="1" applyFill="1" applyBorder="1"/>
    <xf numFmtId="167" fontId="22" fillId="12" borderId="399" xfId="0" applyNumberFormat="1" applyFont="1" applyFill="1" applyBorder="1"/>
    <xf numFmtId="167" fontId="22" fillId="12" borderId="40" xfId="0" applyNumberFormat="1" applyFont="1" applyFill="1" applyBorder="1"/>
    <xf numFmtId="0" fontId="0" fillId="12" borderId="0" xfId="0" applyFill="1" applyBorder="1"/>
    <xf numFmtId="0" fontId="0" fillId="10" borderId="0" xfId="0" applyFill="1" applyBorder="1"/>
    <xf numFmtId="0" fontId="46" fillId="0" borderId="0" xfId="0" applyFont="1" applyBorder="1"/>
    <xf numFmtId="3" fontId="0" fillId="12" borderId="37" xfId="0" applyNumberFormat="1" applyFill="1" applyBorder="1"/>
    <xf numFmtId="0" fontId="25" fillId="0" borderId="0" xfId="0" applyFont="1" applyBorder="1"/>
    <xf numFmtId="0" fontId="25" fillId="12" borderId="0" xfId="0" applyFont="1" applyFill="1" applyBorder="1"/>
    <xf numFmtId="0" fontId="21" fillId="10" borderId="0" xfId="0" applyFont="1" applyFill="1" applyBorder="1"/>
    <xf numFmtId="0" fontId="3" fillId="12" borderId="0" xfId="0" applyFont="1" applyFill="1" applyBorder="1"/>
    <xf numFmtId="3" fontId="46" fillId="0" borderId="0" xfId="0" applyNumberFormat="1" applyFont="1" applyBorder="1"/>
    <xf numFmtId="3" fontId="21" fillId="11" borderId="37" xfId="0" applyNumberFormat="1" applyFont="1" applyFill="1" applyBorder="1"/>
    <xf numFmtId="3" fontId="21" fillId="12" borderId="37" xfId="0" applyNumberFormat="1" applyFont="1" applyFill="1" applyBorder="1"/>
    <xf numFmtId="3" fontId="5" fillId="10" borderId="0" xfId="0" applyNumberFormat="1" applyFont="1" applyFill="1" applyBorder="1"/>
    <xf numFmtId="0" fontId="21" fillId="0" borderId="0" xfId="0" applyFont="1" applyBorder="1" applyAlignment="1">
      <alignment wrapText="1"/>
    </xf>
    <xf numFmtId="0" fontId="22" fillId="0" borderId="0" xfId="0" applyFont="1" applyBorder="1" applyAlignment="1">
      <alignment horizontal="right" wrapText="1"/>
    </xf>
    <xf numFmtId="0" fontId="3" fillId="0" borderId="0" xfId="0" applyFont="1" applyBorder="1" applyAlignment="1">
      <alignment horizontal="right" wrapText="1"/>
    </xf>
    <xf numFmtId="0" fontId="3" fillId="12" borderId="0" xfId="0" applyFont="1" applyFill="1" applyBorder="1" applyAlignment="1">
      <alignment horizontal="right" wrapText="1"/>
    </xf>
    <xf numFmtId="0" fontId="21" fillId="0" borderId="0" xfId="0" applyFont="1" applyBorder="1" applyAlignment="1">
      <alignment horizontal="right" wrapText="1"/>
    </xf>
    <xf numFmtId="3" fontId="22" fillId="5" borderId="0" xfId="0" applyNumberFormat="1" applyFont="1" applyFill="1" applyBorder="1"/>
    <xf numFmtId="0" fontId="21" fillId="12" borderId="0" xfId="0" applyFont="1" applyFill="1" applyBorder="1" applyAlignment="1">
      <alignment horizontal="right" wrapText="1"/>
    </xf>
    <xf numFmtId="3" fontId="22" fillId="14" borderId="0" xfId="0" applyNumberFormat="1" applyFont="1" applyFill="1" applyBorder="1"/>
    <xf numFmtId="0" fontId="21" fillId="12" borderId="0" xfId="0" applyFont="1" applyFill="1" applyBorder="1"/>
    <xf numFmtId="3" fontId="21" fillId="12" borderId="40" xfId="0" applyNumberFormat="1" applyFont="1" applyFill="1" applyBorder="1"/>
    <xf numFmtId="0" fontId="7" fillId="0" borderId="37" xfId="0" applyFont="1" applyBorder="1"/>
    <xf numFmtId="169" fontId="22" fillId="11" borderId="37" xfId="0" applyNumberFormat="1" applyFont="1" applyFill="1" applyBorder="1"/>
    <xf numFmtId="3" fontId="19" fillId="0" borderId="37" xfId="0" applyNumberFormat="1" applyFont="1" applyBorder="1"/>
    <xf numFmtId="3" fontId="22" fillId="11" borderId="37" xfId="0" applyNumberFormat="1" applyFont="1" applyFill="1" applyBorder="1"/>
    <xf numFmtId="3" fontId="38" fillId="10" borderId="37" xfId="0" applyNumberFormat="1" applyFont="1" applyFill="1" applyBorder="1"/>
    <xf numFmtId="10" fontId="54" fillId="11" borderId="28" xfId="0" applyNumberFormat="1" applyFont="1" applyFill="1" applyBorder="1"/>
    <xf numFmtId="3" fontId="38" fillId="11" borderId="37" xfId="0" applyNumberFormat="1" applyFont="1" applyFill="1" applyBorder="1"/>
    <xf numFmtId="3" fontId="22" fillId="12" borderId="37" xfId="0" applyNumberFormat="1" applyFont="1" applyFill="1" applyBorder="1"/>
    <xf numFmtId="3" fontId="22" fillId="11" borderId="28" xfId="0" applyNumberFormat="1" applyFont="1" applyFill="1" applyBorder="1" applyAlignment="1">
      <alignment horizontal="right"/>
    </xf>
    <xf numFmtId="3" fontId="22" fillId="11" borderId="37" xfId="0" applyNumberFormat="1" applyFont="1" applyFill="1" applyBorder="1" applyAlignment="1">
      <alignment horizontal="right"/>
    </xf>
    <xf numFmtId="3" fontId="0" fillId="12" borderId="409" xfId="0" applyNumberFormat="1" applyFill="1" applyBorder="1"/>
    <xf numFmtId="3" fontId="0" fillId="12" borderId="410" xfId="0" applyNumberFormat="1" applyFill="1" applyBorder="1"/>
    <xf numFmtId="10" fontId="26" fillId="12" borderId="410" xfId="0" applyNumberFormat="1" applyFont="1" applyFill="1" applyBorder="1" applyAlignment="1">
      <alignment horizontal="right"/>
    </xf>
    <xf numFmtId="10" fontId="26" fillId="12" borderId="411" xfId="0" applyNumberFormat="1" applyFont="1" applyFill="1" applyBorder="1" applyAlignment="1">
      <alignment horizontal="right"/>
    </xf>
    <xf numFmtId="0" fontId="56" fillId="0" borderId="144" xfId="0" applyFont="1" applyBorder="1"/>
    <xf numFmtId="0" fontId="56" fillId="0" borderId="27" xfId="0" applyFont="1" applyBorder="1"/>
    <xf numFmtId="0" fontId="56" fillId="0" borderId="37" xfId="0" applyFont="1" applyBorder="1"/>
    <xf numFmtId="0" fontId="56" fillId="0" borderId="29" xfId="0" applyFont="1" applyBorder="1"/>
    <xf numFmtId="3" fontId="79" fillId="12" borderId="144" xfId="0" applyNumberFormat="1" applyFont="1" applyFill="1" applyBorder="1"/>
    <xf numFmtId="3" fontId="79" fillId="12" borderId="27" xfId="0" applyNumberFormat="1" applyFont="1" applyFill="1" applyBorder="1"/>
    <xf numFmtId="3" fontId="79" fillId="12" borderId="40" xfId="0" applyNumberFormat="1" applyFont="1" applyFill="1" applyBorder="1"/>
    <xf numFmtId="3" fontId="79" fillId="12" borderId="32" xfId="0" applyNumberFormat="1" applyFont="1" applyFill="1" applyBorder="1"/>
    <xf numFmtId="3" fontId="79" fillId="10" borderId="34" xfId="0" applyNumberFormat="1" applyFont="1" applyFill="1" applyBorder="1"/>
    <xf numFmtId="3" fontId="79" fillId="10" borderId="202" xfId="0" applyNumberFormat="1" applyFont="1" applyFill="1" applyBorder="1"/>
    <xf numFmtId="0" fontId="71" fillId="0" borderId="29" xfId="0" applyFont="1" applyBorder="1"/>
    <xf numFmtId="169" fontId="71" fillId="10" borderId="144" xfId="0" applyNumberFormat="1" applyFont="1" applyFill="1" applyBorder="1"/>
    <xf numFmtId="169" fontId="71" fillId="10" borderId="27" xfId="0" applyNumberFormat="1" applyFont="1" applyFill="1" applyBorder="1"/>
    <xf numFmtId="169" fontId="56" fillId="0" borderId="37" xfId="0" applyNumberFormat="1" applyFont="1" applyBorder="1"/>
    <xf numFmtId="169" fontId="56" fillId="0" borderId="29" xfId="0" applyNumberFormat="1" applyFont="1" applyBorder="1"/>
    <xf numFmtId="3" fontId="56" fillId="12" borderId="37" xfId="0" applyNumberFormat="1" applyFont="1" applyFill="1" applyBorder="1"/>
    <xf numFmtId="169" fontId="56" fillId="12" borderId="29" xfId="0" applyNumberFormat="1" applyFont="1" applyFill="1" applyBorder="1"/>
    <xf numFmtId="3" fontId="56" fillId="12" borderId="40" xfId="0" applyNumberFormat="1" applyFont="1" applyFill="1" applyBorder="1"/>
    <xf numFmtId="169" fontId="56" fillId="12" borderId="32" xfId="0" applyNumberFormat="1" applyFont="1" applyFill="1" applyBorder="1"/>
    <xf numFmtId="3" fontId="71" fillId="10" borderId="144" xfId="0" applyNumberFormat="1" applyFont="1" applyFill="1" applyBorder="1"/>
    <xf numFmtId="3" fontId="56" fillId="11" borderId="37" xfId="0" applyNumberFormat="1" applyFont="1" applyFill="1" applyBorder="1"/>
    <xf numFmtId="167" fontId="56" fillId="12" borderId="29" xfId="0" applyNumberFormat="1" applyFont="1" applyFill="1" applyBorder="1"/>
    <xf numFmtId="0" fontId="56" fillId="12" borderId="32" xfId="0" applyFont="1" applyFill="1" applyBorder="1"/>
    <xf numFmtId="0" fontId="71" fillId="10" borderId="27" xfId="0" applyFont="1" applyFill="1" applyBorder="1"/>
    <xf numFmtId="0" fontId="56" fillId="12" borderId="29" xfId="0" applyFont="1" applyFill="1" applyBorder="1"/>
    <xf numFmtId="0" fontId="71" fillId="10" borderId="29" xfId="0" applyFont="1" applyFill="1" applyBorder="1"/>
    <xf numFmtId="3" fontId="71" fillId="10" borderId="40" xfId="0" applyNumberFormat="1" applyFont="1" applyFill="1" applyBorder="1"/>
    <xf numFmtId="3" fontId="71" fillId="10" borderId="32" xfId="0" applyNumberFormat="1" applyFont="1" applyFill="1" applyBorder="1"/>
    <xf numFmtId="0" fontId="56" fillId="12" borderId="37" xfId="0" applyFont="1" applyFill="1" applyBorder="1"/>
    <xf numFmtId="3" fontId="56" fillId="5" borderId="37" xfId="0" applyNumberFormat="1" applyFont="1" applyFill="1" applyBorder="1"/>
    <xf numFmtId="3" fontId="71" fillId="12" borderId="29" xfId="0" applyNumberFormat="1" applyFont="1" applyFill="1" applyBorder="1"/>
    <xf numFmtId="3" fontId="56" fillId="12" borderId="32" xfId="0" applyNumberFormat="1" applyFont="1" applyFill="1" applyBorder="1"/>
    <xf numFmtId="0" fontId="56" fillId="10" borderId="29" xfId="0" applyFont="1" applyFill="1" applyBorder="1"/>
    <xf numFmtId="0" fontId="56" fillId="11" borderId="29" xfId="0" applyFont="1" applyFill="1" applyBorder="1"/>
    <xf numFmtId="0" fontId="54" fillId="0" borderId="29" xfId="0" applyFont="1" applyBorder="1"/>
    <xf numFmtId="0" fontId="22" fillId="0" borderId="29" xfId="0" applyFont="1" applyBorder="1"/>
    <xf numFmtId="3" fontId="38" fillId="10" borderId="37" xfId="0" applyNumberFormat="1" applyFont="1" applyFill="1" applyBorder="1" applyAlignment="1">
      <alignment horizontal="right"/>
    </xf>
    <xf numFmtId="10" fontId="80" fillId="0" borderId="37" xfId="0" applyNumberFormat="1" applyFont="1" applyBorder="1"/>
    <xf numFmtId="3" fontId="56" fillId="12" borderId="406" xfId="0" applyNumberFormat="1" applyFont="1" applyFill="1" applyBorder="1"/>
    <xf numFmtId="3" fontId="56" fillId="12" borderId="412" xfId="0" applyNumberFormat="1" applyFont="1" applyFill="1" applyBorder="1"/>
    <xf numFmtId="3" fontId="56" fillId="12" borderId="407" xfId="0" applyNumberFormat="1" applyFont="1" applyFill="1" applyBorder="1"/>
    <xf numFmtId="3" fontId="56" fillId="12" borderId="413" xfId="0" applyNumberFormat="1" applyFont="1" applyFill="1" applyBorder="1"/>
    <xf numFmtId="10" fontId="81" fillId="12" borderId="407" xfId="0" applyNumberFormat="1" applyFont="1" applyFill="1" applyBorder="1" applyAlignment="1">
      <alignment horizontal="right"/>
    </xf>
    <xf numFmtId="10" fontId="56" fillId="12" borderId="413" xfId="0" applyNumberFormat="1" applyFont="1" applyFill="1" applyBorder="1"/>
    <xf numFmtId="10" fontId="81" fillId="12" borderId="408" xfId="0" applyNumberFormat="1" applyFont="1" applyFill="1" applyBorder="1" applyAlignment="1">
      <alignment horizontal="right"/>
    </xf>
    <xf numFmtId="10" fontId="56" fillId="12" borderId="414" xfId="0" applyNumberFormat="1" applyFont="1" applyFill="1" applyBorder="1"/>
    <xf numFmtId="0" fontId="56" fillId="20" borderId="37" xfId="0" applyFont="1" applyFill="1" applyBorder="1"/>
    <xf numFmtId="0" fontId="56" fillId="20" borderId="29" xfId="0" applyFont="1" applyFill="1" applyBorder="1"/>
    <xf numFmtId="0" fontId="71" fillId="0" borderId="29" xfId="0" applyFont="1" applyBorder="1" applyAlignment="1">
      <alignment horizontal="center"/>
    </xf>
    <xf numFmtId="3" fontId="71" fillId="0" borderId="29" xfId="0" applyNumberFormat="1" applyFont="1" applyBorder="1"/>
  </cellXfs>
  <cellStyles count="9">
    <cellStyle name="Гиперссылка" xfId="1" builtinId="8"/>
    <cellStyle name="Обычный" xfId="0" builtinId="0"/>
    <cellStyle name="Обычный 2" xfId="6" xr:uid="{5AE71934-534F-4177-9237-13188AC1C969}"/>
    <cellStyle name="Обычный 2 2" xfId="4" xr:uid="{C857A89C-190E-4F76-8144-E13180805C5B}"/>
    <cellStyle name="Обычный 3" xfId="3" xr:uid="{3DE42B83-A852-440D-A0DB-F41FB518B58D}"/>
    <cellStyle name="Обычный 3 2" xfId="7" xr:uid="{CDA061A0-AB48-4639-A182-8E0A0E74324F}"/>
    <cellStyle name="Обычный 5 2" xfId="2" xr:uid="{B4D3E981-FD83-4EC7-BDDD-FD621F658742}"/>
    <cellStyle name="Процентный" xfId="5" builtinId="5"/>
    <cellStyle name="Процентный 2" xfId="8" xr:uid="{BB5A9F75-AE37-4FF4-8EA7-609DA50A4B80}"/>
  </cellStyles>
  <dxfs count="23"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colors>
    <mruColors>
      <color rgb="FFFFCCCC"/>
      <color rgb="FFF5D7E6"/>
      <color rgb="FFEFDDE8"/>
      <color rgb="FFECE0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externalLink" Target="externalLinks/externalLink9.xml"/><Relationship Id="rId39" Type="http://schemas.openxmlformats.org/officeDocument/2006/relationships/externalLink" Target="externalLinks/externalLink22.xml"/><Relationship Id="rId21" Type="http://schemas.openxmlformats.org/officeDocument/2006/relationships/externalLink" Target="externalLinks/externalLink4.xml"/><Relationship Id="rId34" Type="http://schemas.openxmlformats.org/officeDocument/2006/relationships/externalLink" Target="externalLinks/externalLink17.xml"/><Relationship Id="rId42" Type="http://schemas.openxmlformats.org/officeDocument/2006/relationships/externalLink" Target="externalLinks/externalLink25.xml"/><Relationship Id="rId47" Type="http://schemas.openxmlformats.org/officeDocument/2006/relationships/externalLink" Target="externalLinks/externalLink30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2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32" Type="http://schemas.openxmlformats.org/officeDocument/2006/relationships/externalLink" Target="externalLinks/externalLink15.xml"/><Relationship Id="rId37" Type="http://schemas.openxmlformats.org/officeDocument/2006/relationships/externalLink" Target="externalLinks/externalLink20.xml"/><Relationship Id="rId40" Type="http://schemas.openxmlformats.org/officeDocument/2006/relationships/externalLink" Target="externalLinks/externalLink23.xml"/><Relationship Id="rId45" Type="http://schemas.openxmlformats.org/officeDocument/2006/relationships/externalLink" Target="externalLinks/externalLink2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externalLink" Target="externalLinks/externalLink11.xml"/><Relationship Id="rId36" Type="http://schemas.openxmlformats.org/officeDocument/2006/relationships/externalLink" Target="externalLinks/externalLink19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31" Type="http://schemas.openxmlformats.org/officeDocument/2006/relationships/externalLink" Target="externalLinks/externalLink14.xml"/><Relationship Id="rId44" Type="http://schemas.openxmlformats.org/officeDocument/2006/relationships/externalLink" Target="externalLinks/externalLink2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externalLink" Target="externalLinks/externalLink10.xml"/><Relationship Id="rId30" Type="http://schemas.openxmlformats.org/officeDocument/2006/relationships/externalLink" Target="externalLinks/externalLink13.xml"/><Relationship Id="rId35" Type="http://schemas.openxmlformats.org/officeDocument/2006/relationships/externalLink" Target="externalLinks/externalLink18.xml"/><Relationship Id="rId43" Type="http://schemas.openxmlformats.org/officeDocument/2006/relationships/externalLink" Target="externalLinks/externalLink26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33" Type="http://schemas.openxmlformats.org/officeDocument/2006/relationships/externalLink" Target="externalLinks/externalLink16.xml"/><Relationship Id="rId38" Type="http://schemas.openxmlformats.org/officeDocument/2006/relationships/externalLink" Target="externalLinks/externalLink21.xml"/><Relationship Id="rId46" Type="http://schemas.openxmlformats.org/officeDocument/2006/relationships/externalLink" Target="externalLinks/externalLink29.xml"/><Relationship Id="rId20" Type="http://schemas.openxmlformats.org/officeDocument/2006/relationships/externalLink" Target="externalLinks/externalLink3.xml"/><Relationship Id="rId41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3;&#1072;&#1090;&#1072;&#1083;&#1100;&#1103;/Downloads/&#1056;&#1077;&#1077;&#1089;&#1090;&#1088;%20&#1076;&#1086;&#1082;&#1091;&#1084;&#1077;&#1085;&#1090;&#1086;&#1074;%20%20&#1056;&#1077;&#1072;&#1083;&#1080;&#1079;&#1072;&#1094;&#1080;&#1103;%20(&#1072;&#1082;&#1090;,%20&#1085;&#1072;&#1082;&#1083;&#1072;&#1076;&#1085;&#1072;&#1103;,%20&#1059;&#1055;&#1044;)%20(50)(&#1040;&#1074;&#1090;&#1086;&#1084;&#1072;&#1090;&#1080;&#1095;&#1077;&#1089;&#1082;&#1080;&#1042;&#1086;&#1089;&#1089;&#1090;&#1072;&#1085;&#1086;&#1074;&#1083;&#1077;&#1085;&#1086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3;&#1072;&#1090;&#1072;&#1083;&#1100;&#1103;/Desktop/&#1059;&#1055;&#1056;&#1040;&#1042;&#1051;&#1045;&#1053;&#1063;&#1045;&#1057;&#1050;&#1040;&#1071;%20&#1054;&#1058;&#1063;&#1045;&#1058;&#1053;&#1054;&#1057;&#1058;&#1068;/&#1044;&#1040;&#1053;&#1053;&#1067;&#1045;%20&#1044;&#1051;&#1071;%20PL/05_25/&#1056;&#1077;&#1077;&#1089;&#1090;&#1088;%20&#1076;&#1086;&#1082;&#1091;&#1084;&#1077;&#1085;&#1090;&#1086;&#1074;%20%20&#1056;&#1077;&#1072;&#1083;&#1080;&#1079;&#1072;&#1094;&#1080;&#1103;%20(&#1072;&#1082;&#1090;,%20&#1085;&#1072;&#1082;&#1083;&#1072;&#1076;&#1085;&#1072;&#1103;,%20&#1059;&#1055;&#1044;)%20(57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3;&#1072;&#1090;&#1072;&#1083;&#1100;&#1103;/Desktop/&#1059;&#1055;&#1056;&#1040;&#1042;&#1051;&#1045;&#1053;&#1063;&#1045;&#1057;&#1050;&#1040;&#1071;%20&#1054;&#1058;&#1063;&#1045;&#1058;&#1053;&#1054;&#1057;&#1058;&#1068;/&#1044;&#1040;&#1053;&#1053;&#1067;&#1045;%20&#1044;&#1051;&#1071;%20PL/07_2025/&#1056;&#1077;&#1077;&#1089;&#1090;&#1088;%20&#1076;&#1086;&#1082;&#1091;&#1084;&#1077;&#1085;&#1090;&#1086;&#1074;%20%20&#1056;&#1077;&#1072;&#1083;&#1080;&#1079;&#1072;&#1094;&#1080;&#1103;%20(&#1072;&#1082;&#1090;,%20&#1085;&#1072;&#1082;&#1083;&#1072;&#1076;&#1085;&#1072;&#1103;,%20&#1059;&#1055;&#1044;)%20(62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3;&#1072;&#1090;&#1072;&#1083;&#1100;&#1103;/Desktop/&#1059;&#1055;&#1056;&#1040;&#1042;&#1051;&#1045;&#1053;&#1063;&#1045;&#1057;&#1050;&#1040;&#1071;%20&#1054;&#1058;&#1063;&#1045;&#1058;&#1053;&#1054;&#1057;&#1058;&#1068;/&#1044;&#1040;&#1053;&#1053;&#1067;&#1045;%20&#1044;&#1051;&#1071;%20PL/10_25/&#1056;&#1077;&#1077;&#1089;&#1090;&#1088;%20&#1076;&#1086;&#1082;&#1091;&#1084;&#1077;&#1085;&#1090;&#1086;&#1074;%20%20&#1056;&#1077;&#1072;&#1083;&#1080;&#1079;&#1072;&#1094;&#1080;&#1103;%20(&#1072;&#1082;&#1090;,%20&#1085;&#1072;&#1082;&#1083;&#1072;&#1076;&#1085;&#1072;&#1103;,%20&#1059;&#1055;&#1044;)%20(73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3;&#1072;&#1090;&#1072;&#1083;&#1100;&#1103;/Desktop/&#1059;&#1055;&#1056;&#1040;&#1042;&#1051;&#1045;&#1053;&#1063;&#1045;&#1057;&#1050;&#1040;&#1071;%20&#1054;&#1058;&#1063;&#1045;&#1058;&#1053;&#1054;&#1057;&#1058;&#1068;/&#1044;&#1040;&#1053;&#1053;&#1067;&#1045;%20&#1044;&#1051;&#1071;%20PL/25_11/&#1056;&#1077;&#1077;&#1089;&#1090;&#1088;%20&#1076;&#1086;&#1082;&#1091;&#1084;&#1077;&#1085;&#1090;&#1086;&#1074;%20%20&#1056;&#1077;&#1072;&#1083;&#1080;&#1079;&#1072;&#1094;&#1080;&#1103;%20(&#1072;&#1082;&#1090;,%20&#1085;&#1072;&#1082;&#1083;&#1072;&#1076;&#1085;&#1072;&#1103;,%20&#1059;&#1055;&#1044;)%20(76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3;&#1072;&#1090;&#1072;&#1083;&#1100;&#1103;/Desktop/&#1059;&#1055;&#1056;&#1040;&#1042;&#1051;&#1045;&#1053;&#1063;&#1045;&#1057;&#1050;&#1040;&#1071;%20&#1054;&#1058;&#1063;&#1045;&#1058;&#1053;&#1054;&#1057;&#1058;&#1068;/&#1044;&#1040;&#1053;&#1053;&#1067;&#1045;%20&#1044;&#1051;&#1071;%20PL/08_25/&#1056;&#1077;&#1077;&#1089;&#1090;&#1088;%20&#1076;&#1086;&#1082;&#1091;&#1084;&#1077;&#1085;&#1090;&#1086;&#1074;%20%20&#1056;&#1077;&#1072;&#1083;&#1080;&#1079;&#1072;&#1094;&#1080;&#1103;%20(&#1072;&#1082;&#1090;,%20&#1085;&#1072;&#1082;&#1083;&#1072;&#1076;&#1085;&#1072;&#1103;,%20&#1059;&#1055;&#1044;)%20(65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3;&#1072;&#1090;&#1072;&#1083;&#1100;&#1103;/Desktop/&#1059;&#1055;&#1056;&#1040;&#1042;&#1051;&#1045;&#1053;&#1063;&#1045;&#1057;&#1050;&#1040;&#1071;%20&#1054;&#1058;&#1063;&#1045;&#1058;&#1053;&#1054;&#1057;&#1058;&#1068;/&#1044;&#1040;&#1053;&#1053;&#1067;&#1045;%20&#1044;&#1051;&#1071;%20PL/09_25/&#1056;&#1077;&#1077;&#1089;&#1090;&#1088;%20&#1076;&#1086;&#1082;&#1091;&#1084;&#1077;&#1085;&#1090;&#1086;&#1074;%20%20&#1056;&#1077;&#1072;&#1083;&#1080;&#1079;&#1072;&#1094;&#1080;&#1103;%20(&#1072;&#1082;&#1090;,%20&#1085;&#1072;&#1082;&#1083;&#1072;&#1076;&#1085;&#1072;&#1103;,%20&#1059;&#1055;&#1044;)%20(70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3;&#1072;&#1090;&#1072;&#1083;&#1100;&#1103;/Desktop/&#1059;&#1055;&#1056;&#1040;&#1042;&#1051;&#1045;&#1053;&#1063;&#1045;&#1057;&#1050;&#1040;&#1071;%20&#1054;&#1058;&#1063;&#1045;&#1058;&#1053;&#1054;&#1057;&#1058;&#1068;/&#1064;&#1058;&#1040;&#1058;&#1050;&#1040;/&#1064;&#1090;&#1072;&#1090;&#1085;&#1086;&#1077;%20&#1087;&#1083;&#1072;&#1085;%20&#1076;&#1086;%20Q2_25(&#1040;&#1074;&#1090;&#1086;&#1084;&#1072;&#1090;&#1080;&#1095;&#1077;&#1089;&#1082;&#1080;&#1042;&#1086;&#1089;&#1089;&#1090;&#1072;&#1085;&#1086;&#1074;&#1083;&#1077;&#1085;&#1086;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2;&#1077;&#1076;&#1086;&#1084;&#1086;&#1089;&#1090;&#1100;%20&#1045;&#1057;%20(58)%20(version%201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3;&#1072;&#1090;&#1072;&#1083;&#1100;&#1103;/Desktop/&#1059;&#1055;&#1056;&#1040;&#1042;&#1051;&#1045;&#1053;&#1063;&#1045;&#1057;&#1050;&#1040;&#1071;%20&#1054;&#1058;&#1063;&#1045;&#1058;&#1053;&#1054;&#1057;&#1058;&#1068;/&#1044;&#1040;&#1053;&#1053;&#1067;&#1045;%20&#1044;&#1051;&#1071;%20PL/&#1092;&#1077;&#1074;&#1088;&#1072;&#1083;&#1100;%202025/&#1042;&#1077;&#1076;&#1086;&#1084;&#1086;&#1089;&#1090;&#1100;%2002_2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3;&#1072;&#1090;&#1072;&#1083;&#1100;&#1103;/Desktop/&#1059;&#1055;&#1056;&#1040;&#1042;&#1051;&#1045;&#1053;&#1063;&#1045;&#1057;&#1050;&#1040;&#1071;%20&#1054;&#1058;&#1063;&#1045;&#1058;&#1053;&#1054;&#1057;&#1058;&#1068;/&#1044;&#1040;&#1053;&#1053;&#1067;&#1045;%20&#1044;&#1051;&#1071;%20PL/&#1052;&#1040;&#1056;&#1058;%202025/&#1042;&#1077;&#1076;&#1086;&#1084;&#1086;&#1089;&#1090;&#1100;%20&#1045;&#1057;%20(62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3;&#1072;&#1090;&#1072;&#1083;&#1100;&#1103;/Downloads/&#1042;&#1077;&#1076;&#1086;&#1084;&#1086;&#1089;&#1090;&#1100;%20&#1045;&#1057;%20(66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3;&#1072;&#1090;&#1072;&#1083;&#1100;&#1103;/Desktop/&#1059;&#1055;&#1056;&#1040;&#1042;&#1051;&#1045;&#1053;&#1063;&#1045;&#1057;&#1050;&#1040;&#1071;%20&#1054;&#1058;&#1063;&#1045;&#1058;&#1053;&#1054;&#1057;&#1058;&#1068;/&#1044;&#1040;&#1053;&#1053;&#1067;&#1045;%20&#1044;&#1051;&#1071;%20PL/05_25/&#1040;&#1085;&#1072;&#1083;&#1080;&#1079;%20&#1085;&#1072;&#1083;&#1086;&#1075;&#1086;&#1074;%20&#1080;%20&#1074;&#1079;&#1085;&#1086;&#1089;&#1086;&#1074;%20&#1084;&#1072;&#1081;%20(1)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3;&#1072;&#1090;&#1072;&#1083;&#1100;&#1103;/Desktop/&#1059;&#1055;&#1056;&#1040;&#1042;&#1051;&#1045;&#1053;&#1063;&#1045;&#1057;&#1050;&#1040;&#1071;%20&#1054;&#1058;&#1063;&#1045;&#1058;&#1053;&#1054;&#1057;&#1058;&#1068;/&#1044;&#1040;&#1053;&#1053;&#1067;&#1045;%20&#1044;&#1051;&#1071;%20PL/25_06/&#1040;&#1085;&#1072;&#1083;&#1080;&#1079;%20&#1085;&#1072;&#1083;&#1086;&#1075;&#1086;&#1074;_&#1048;&#1102;&#1085;&#1100;%20202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3;&#1072;&#1090;&#1072;&#1083;&#1100;&#1103;/Desktop/&#1059;&#1055;&#1056;&#1040;&#1042;&#1051;&#1045;&#1053;&#1063;&#1045;&#1057;&#1050;&#1040;&#1071;%20&#1054;&#1058;&#1063;&#1045;&#1058;&#1053;&#1054;&#1057;&#1058;&#1068;/&#1044;&#1040;&#1053;&#1053;&#1067;&#1045;%20&#1044;&#1051;&#1071;%20PL/07_2025/15_&#1040;&#1085;&#1072;&#1083;&#1080;&#1079;%20&#1085;&#1072;&#1083;&#1086;&#1075;&#1086;&#1074;_&#1048;&#1102;&#1083;&#1100;%202025%20(2)%20(1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3;&#1072;&#1090;&#1072;&#1083;&#1100;&#1103;/Desktop/&#1059;&#1055;&#1056;&#1040;&#1042;&#1051;&#1045;&#1053;&#1063;&#1045;&#1057;&#1050;&#1040;&#1071;%20&#1054;&#1058;&#1063;&#1045;&#1058;&#1053;&#1054;&#1057;&#1058;&#1068;/&#1044;&#1040;&#1053;&#1053;&#1067;&#1045;%20&#1044;&#1051;&#1071;%20PL/08_25/&#1045;&#1084;&#1077;&#1081;&#1083;%20&#1057;&#1086;&#1083;&#1076;&#1078;&#1077;&#1088;&#1089;_&#1040;&#1085;&#1072;&#1083;&#1080;&#1079;%20&#1085;&#1072;&#1083;&#1086;&#1075;&#1086;&#1074;_&#1040;&#1074;&#1075;&#1091;&#1089;&#1090;%202025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3;&#1072;&#1090;&#1072;&#1083;&#1100;&#1103;/Desktop/&#1059;&#1055;&#1056;&#1040;&#1042;&#1051;&#1045;&#1053;&#1063;&#1045;&#1057;&#1050;&#1040;&#1071;%20&#1054;&#1058;&#1063;&#1045;&#1058;&#1053;&#1054;&#1057;&#1058;&#1068;/&#1044;&#1040;&#1053;&#1053;&#1067;&#1045;%20&#1044;&#1051;&#1071;%20PL/09_25/16_&#1040;&#1085;&#1072;&#1083;&#1080;&#1079;%20&#1085;&#1072;&#1083;&#1086;&#1075;&#1086;&#1074;_&#1057;&#1077;&#1085;&#1090;&#1103;&#1073;&#1088;&#1100;%20202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3;&#1072;&#1090;&#1072;&#1083;&#1100;&#1103;/Desktop/&#1059;&#1055;&#1056;&#1040;&#1042;&#1051;&#1045;&#1053;&#1063;&#1045;&#1057;&#1050;&#1040;&#1071;%20&#1054;&#1058;&#1063;&#1045;&#1058;&#1053;&#1054;&#1057;&#1058;&#1068;/&#1044;&#1040;&#1053;&#1053;&#1067;&#1045;%20&#1044;&#1051;&#1071;%20PL/10_25/16_&#1040;&#1085;&#1072;&#1083;&#1080;&#1079;%20&#1085;&#1072;&#1083;&#1086;&#1075;&#1086;&#1074;_&#1054;&#1082;&#1090;&#1103;&#1073;&#1088;&#1100;%202025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3;&#1072;&#1090;&#1072;&#1083;&#1100;&#1103;/Downloads/16_&#1040;&#1085;&#1072;&#1083;&#1080;&#1079;%20&#1085;&#1072;&#1083;&#1086;&#1075;&#1086;&#1074;_&#1053;&#1086;&#1103;&#1073;&#1088;&#1100;%202025%20(5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3;&#1072;&#1090;&#1072;&#1083;&#1100;&#1103;/Desktop/&#1059;&#1055;&#1056;&#1040;&#1042;&#1051;&#1045;&#1053;&#1063;&#1045;&#1057;&#1050;&#1040;&#1071;%20&#1054;&#1058;&#1063;&#1045;&#1058;&#1053;&#1054;&#1057;&#1058;&#1068;/PL_CRMG_2024/1_PL_CRMG_3_2024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3;&#1072;&#1090;&#1072;&#1083;&#1100;&#1103;/Desktop/&#1059;&#1055;&#1056;&#1040;&#1042;&#1051;&#1045;&#1053;&#1063;&#1045;&#1057;&#1050;&#1040;&#1071;%20&#1054;&#1058;&#1063;&#1045;&#1058;&#1053;&#1054;&#1057;&#1058;&#1068;/PL_CRMG_2024/1_PL_CRMG_5_2024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3;&#1072;&#1090;&#1072;&#1083;&#1100;&#1103;/Desktop/&#1059;&#1055;&#1056;&#1040;&#1042;&#1051;&#1045;&#1053;&#1063;&#1045;&#1057;&#1050;&#1040;&#1071;%20&#1054;&#1058;&#1063;&#1045;&#1058;&#1053;&#1054;&#1057;&#1058;&#1068;/&#1044;&#1072;&#1085;&#1085;&#1099;&#1077;%20&#1076;&#1083;&#1103;%20PnL%2024/06_24/&#1056;&#1077;&#1077;&#1089;&#1090;&#1088;%20&#1076;&#1086;&#1082;&#1091;&#1084;&#1077;&#1085;&#1090;&#1086;&#1074;%20%20&#1056;&#1077;&#1072;&#1083;&#1080;&#1079;&#1072;&#1094;&#1080;&#1103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3;&#1072;&#1090;&#1072;&#1083;&#1100;&#1103;/Desktop/&#1059;&#1055;&#1056;&#1040;&#1042;&#1051;&#1045;&#1053;&#1063;&#1045;&#1057;&#1050;&#1040;&#1071;%20&#1054;&#1058;&#1063;&#1045;&#1058;&#1053;&#1054;&#1057;&#1058;&#1068;/&#1044;&#1072;&#1085;&#1085;&#1099;&#1077;%20&#1076;&#1083;&#1103;%20PnL%2024/07_24/&#1056;&#1077;&#1077;&#1089;&#1090;&#1088;%20&#1076;&#1086;&#1082;&#1091;&#1084;&#1077;&#1085;&#1090;&#1086;&#1074;%20%20&#1056;&#1077;&#1072;&#1083;&#1080;&#1079;&#1072;&#1094;&#1080;&#1103;%20(&#1072;&#1082;&#1090;,%20&#1085;&#1072;&#1082;&#1083;&#1072;&#1076;&#1085;&#1072;&#1103;,%20&#1059;&#1055;&#1044;)%20(35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3;&#1072;&#1090;&#1072;&#1083;&#1100;&#1103;/Desktop/&#1059;&#1055;&#1056;&#1040;&#1042;&#1051;&#1045;&#1053;&#1063;&#1045;&#1057;&#1050;&#1040;&#1071;%20&#1054;&#1058;&#1063;&#1045;&#1058;&#1053;&#1054;&#1057;&#1058;&#1068;/&#1044;&#1072;&#1085;&#1085;&#1099;&#1077;%20&#1076;&#1083;&#1103;%20PnL%2024/08_24/&#1056;&#1077;&#1077;&#1089;&#1090;&#1088;%20&#1076;&#1086;&#1082;&#1091;&#1084;&#1077;&#1085;&#1090;&#1086;&#1074;%20%20&#1056;&#1077;&#1072;&#1083;&#1080;&#1079;&#1072;&#1094;&#1080;&#1103;%20(&#1072;&#1082;&#1090;,%20&#1085;&#1072;&#1082;&#1083;&#1072;&#1076;&#1085;&#1072;&#1103;,%20&#1059;&#1055;&#1044;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3;&#1072;&#1090;&#1072;&#1083;&#1100;&#1103;/Desktop/&#1059;&#1055;&#1056;&#1040;&#1042;&#1051;&#1045;&#1053;&#1063;&#1045;&#1057;&#1050;&#1040;&#1071;%20&#1054;&#1058;&#1063;&#1045;&#1058;&#1053;&#1054;&#1057;&#1058;&#1068;/&#1044;&#1072;&#1085;&#1085;&#1099;&#1077;%20&#1076;&#1083;&#1103;%20PnL%2024/09_24/&#1056;&#1077;&#1077;&#1089;&#1090;&#1088;%20&#1076;&#1086;&#1082;&#1091;&#1084;&#1077;&#1085;&#1090;&#1086;&#1074;%20%20&#1056;&#1077;&#1072;&#1083;&#1080;&#1079;&#1072;&#1094;&#1080;&#1103;_09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3;&#1072;&#1090;&#1072;&#1083;&#1100;&#1103;/Desktop/&#1059;&#1055;&#1056;&#1040;&#1042;&#1051;&#1045;&#1053;&#1063;&#1045;&#1057;&#1050;&#1040;&#1071;%20&#1054;&#1058;&#1063;&#1045;&#1058;&#1053;&#1054;&#1057;&#1058;&#1068;/&#1044;&#1072;&#1085;&#1085;&#1099;&#1077;%20&#1076;&#1083;&#1103;%20PnL%2024/10_24/&#1056;&#1077;&#1077;&#1089;&#1090;&#1088;%20&#1076;&#1086;&#1082;&#1091;&#1084;&#1077;&#1085;&#1090;&#1086;&#1074;%20%20&#1056;&#1077;&#1072;&#1083;&#1080;&#1079;&#1072;&#1094;&#1080;&#1103;%20(&#1072;&#1082;&#1090;,%20&#1085;&#1072;&#1082;&#1083;&#1072;&#1076;&#1085;&#1072;&#1103;,%20&#1059;&#1055;&#1044;)%20(41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3;&#1072;&#1090;&#1072;&#1083;&#1100;&#1103;/Desktop/&#1059;&#1055;&#1056;&#1040;&#1042;&#1051;&#1045;&#1053;&#1063;&#1045;&#1057;&#1050;&#1040;&#1071;%20&#1054;&#1058;&#1063;&#1045;&#1058;&#1053;&#1054;&#1057;&#1058;&#1068;/&#1044;&#1072;&#1085;&#1085;&#1099;&#1077;%20&#1076;&#1083;&#1103;%20PnL%2024/11_24/&#1056;&#1077;&#1077;&#1089;&#1090;&#1088;%20&#1076;&#1086;&#1082;&#1091;&#1084;&#1077;&#1085;&#1090;&#1086;&#1074;%20%20&#1056;&#1077;&#1072;&#1083;&#1080;&#1079;&#1072;&#1094;&#1080;&#1103;%20(&#1072;&#1082;&#1090;,%20&#1085;&#1072;&#1082;&#1083;&#1072;&#1076;&#1085;&#1072;&#1103;,%20&#1059;&#1055;&#1044;)%20(42)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3;&#1072;&#1090;&#1072;&#1083;&#1100;&#1103;/Desktop/&#1059;&#1055;&#1056;&#1040;&#1042;&#1051;&#1045;&#1053;&#1063;&#1045;&#1057;&#1050;&#1040;&#1071;%20&#1054;&#1058;&#1063;&#1045;&#1058;&#1053;&#1054;&#1057;&#1058;&#1068;/PL_CRMG_2024/1_PL_CRMG_11_2024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3;&#1072;&#1090;&#1072;&#1083;&#1100;&#1103;/Downloads/&#1056;&#1077;&#1077;&#1089;&#1090;&#1088;%20&#1076;&#1086;&#1082;&#1091;&#1084;&#1077;&#1085;&#1090;&#1086;&#1074;%20%20&#1056;&#1077;&#1072;&#1083;&#1080;&#1079;&#1072;&#1094;&#1080;&#1103;%20(&#1072;&#1082;&#1090;,%20&#1085;&#1072;&#1082;&#1083;&#1072;&#1076;&#1085;&#1072;&#1103;,%20&#1059;&#1055;&#1044;)%20(81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3;&#1072;&#1090;&#1072;&#1083;&#1100;&#1103;/Desktop/&#1059;&#1055;&#1056;&#1040;&#1042;&#1051;&#1045;&#1053;&#1063;&#1045;&#1057;&#1050;&#1040;&#1071;%20&#1054;&#1058;&#1063;&#1045;&#1058;&#1053;&#1054;&#1057;&#1058;&#1068;/&#1044;&#1040;&#1053;&#1053;&#1067;&#1045;%20&#1044;&#1051;&#1071;%20PL/25_12/16_&#1040;&#1085;&#1072;&#1083;&#1080;&#1079;%20&#1085;&#1072;&#1083;&#1086;&#1075;&#1086;&#1074;_&#1044;&#1077;&#1082;&#1072;&#1073;&#1088;&#1100;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_1"/>
    </sheetNames>
    <sheetDataSet>
      <sheetData sheetId="0">
        <row r="2">
          <cell r="B2" t="str">
            <v>№ п/п</v>
          </cell>
          <cell r="C2" t="str">
            <v>Дата</v>
          </cell>
          <cell r="D2" t="str">
            <v>Документ</v>
          </cell>
          <cell r="E2" t="str">
            <v>Номер</v>
          </cell>
          <cell r="F2" t="str">
            <v>Сумма в т.ч. НДС</v>
          </cell>
          <cell r="G2" t="str">
            <v>Сумма без НДС</v>
          </cell>
        </row>
        <row r="3">
          <cell r="A3" t="str">
            <v>1-Й КРАСНОГВАРДЕЙСКИЙ ООО СЗ</v>
          </cell>
          <cell r="B3">
            <v>51</v>
          </cell>
          <cell r="C3" t="str">
            <v>31.01.2025</v>
          </cell>
          <cell r="D3" t="str">
            <v>Реализация (акты, накладные, УПД)</v>
          </cell>
          <cell r="E3" t="str">
            <v>15</v>
          </cell>
          <cell r="F3">
            <v>21630</v>
          </cell>
          <cell r="G3">
            <v>20600</v>
          </cell>
        </row>
        <row r="4">
          <cell r="A4" t="str">
            <v>АЕОН СИТИ ЭСТЕЙТ ООО</v>
          </cell>
          <cell r="B4">
            <v>17</v>
          </cell>
          <cell r="C4" t="str">
            <v>13.01.2025</v>
          </cell>
          <cell r="D4" t="str">
            <v>Реализация (акты, накладные, УПД)</v>
          </cell>
          <cell r="E4" t="str">
            <v>52</v>
          </cell>
          <cell r="F4">
            <v>3440</v>
          </cell>
          <cell r="G4">
            <v>3276.1904761904761</v>
          </cell>
        </row>
        <row r="5">
          <cell r="A5" t="str">
            <v>АО ЦВ ПРОТЕК</v>
          </cell>
          <cell r="B5">
            <v>55</v>
          </cell>
          <cell r="C5" t="str">
            <v>31.01.2025</v>
          </cell>
          <cell r="D5" t="str">
            <v>Реализация (акты, накладные, УПД)</v>
          </cell>
          <cell r="E5" t="str">
            <v>19</v>
          </cell>
          <cell r="F5">
            <v>10825.5</v>
          </cell>
          <cell r="G5">
            <v>10310</v>
          </cell>
        </row>
        <row r="6">
          <cell r="A6" t="str">
            <v>Арентов Артём Вячеславович ИП</v>
          </cell>
          <cell r="B6">
            <v>27</v>
          </cell>
          <cell r="C6" t="str">
            <v>21.01.2025</v>
          </cell>
          <cell r="D6" t="str">
            <v>Реализация (акты, накладные, УПД)</v>
          </cell>
          <cell r="E6" t="str">
            <v>114</v>
          </cell>
          <cell r="F6">
            <v>1500</v>
          </cell>
          <cell r="G6">
            <v>1428.5714285714284</v>
          </cell>
        </row>
        <row r="7">
          <cell r="A7" t="str">
            <v>АРТИКС ИС ООО</v>
          </cell>
          <cell r="B7">
            <v>24</v>
          </cell>
          <cell r="C7" t="str">
            <v>15.01.2025</v>
          </cell>
          <cell r="D7" t="str">
            <v>Реализация (акты, накладные, УПД)</v>
          </cell>
          <cell r="E7" t="str">
            <v>57</v>
          </cell>
          <cell r="F7">
            <v>8160</v>
          </cell>
          <cell r="G7">
            <v>7771.4285714285706</v>
          </cell>
        </row>
        <row r="8">
          <cell r="A8" t="str">
            <v>АРТИС 21 ООО</v>
          </cell>
          <cell r="B8">
            <v>69</v>
          </cell>
          <cell r="C8" t="str">
            <v>31.01.2025</v>
          </cell>
          <cell r="D8" t="str">
            <v>Реализация (акты, накладные, УПД)</v>
          </cell>
          <cell r="E8" t="str">
            <v>34</v>
          </cell>
          <cell r="F8">
            <v>80900</v>
          </cell>
          <cell r="G8">
            <v>77047.619047619039</v>
          </cell>
        </row>
        <row r="9">
          <cell r="A9" t="str">
            <v>АССОЦИАЦИЯ АКОН</v>
          </cell>
          <cell r="B9">
            <v>3</v>
          </cell>
          <cell r="C9" t="str">
            <v>09.01.2025</v>
          </cell>
          <cell r="D9" t="str">
            <v>Реализация (акты, накладные, УПД)</v>
          </cell>
          <cell r="E9" t="str">
            <v>44</v>
          </cell>
          <cell r="F9">
            <v>19680</v>
          </cell>
          <cell r="G9">
            <v>18742.857142857141</v>
          </cell>
        </row>
        <row r="10">
          <cell r="A10" t="str">
            <v>БЕЙБИ АРТ СИТИ ООО</v>
          </cell>
          <cell r="B10">
            <v>25</v>
          </cell>
          <cell r="C10" t="str">
            <v>15.01.2025</v>
          </cell>
          <cell r="D10" t="str">
            <v>Реализация (акты, накладные, УПД)</v>
          </cell>
          <cell r="E10" t="str">
            <v>58</v>
          </cell>
          <cell r="F10">
            <v>5280</v>
          </cell>
          <cell r="G10">
            <v>5028.5714285714284</v>
          </cell>
        </row>
        <row r="11">
          <cell r="A11" t="str">
            <v>Бета ПРО ООО</v>
          </cell>
          <cell r="B11">
            <v>38</v>
          </cell>
          <cell r="C11" t="str">
            <v>23.01.2025</v>
          </cell>
          <cell r="D11" t="str">
            <v>Реализация (акты, накладные, УПД)</v>
          </cell>
          <cell r="E11" t="str">
            <v>69</v>
          </cell>
          <cell r="F11">
            <v>15840</v>
          </cell>
          <cell r="G11">
            <v>15085.714285714284</v>
          </cell>
        </row>
        <row r="12">
          <cell r="A12" t="str">
            <v>БЛОЧНЫЙ РЕДАКТОР ООО</v>
          </cell>
          <cell r="B12">
            <v>77</v>
          </cell>
          <cell r="C12" t="str">
            <v>31.01.2025</v>
          </cell>
          <cell r="D12" t="str">
            <v>Реализация (акты, накладные, УПД)</v>
          </cell>
          <cell r="E12" t="str">
            <v>87</v>
          </cell>
          <cell r="F12">
            <v>196560</v>
          </cell>
          <cell r="G12">
            <v>187200</v>
          </cell>
        </row>
        <row r="13">
          <cell r="A13" t="str">
            <v>БОРИСХОФ ХОЛДИНГ ООО</v>
          </cell>
          <cell r="B13">
            <v>103</v>
          </cell>
          <cell r="C13" t="str">
            <v>31.01.2025</v>
          </cell>
          <cell r="D13" t="str">
            <v>Реализация (акты, накладные, УПД)</v>
          </cell>
          <cell r="E13" t="str">
            <v>102</v>
          </cell>
          <cell r="F13">
            <v>66360</v>
          </cell>
          <cell r="G13">
            <v>63200</v>
          </cell>
        </row>
        <row r="14">
          <cell r="A14" t="str">
            <v>БРОНИРОВАНИЕ ГОСТИНИЦ ООО</v>
          </cell>
          <cell r="B14">
            <v>63</v>
          </cell>
          <cell r="C14" t="str">
            <v>31.01.2025</v>
          </cell>
          <cell r="D14" t="str">
            <v>Реализация (акты, накладные, УПД)</v>
          </cell>
          <cell r="E14" t="str">
            <v>28</v>
          </cell>
          <cell r="F14">
            <v>127102.5</v>
          </cell>
          <cell r="G14">
            <v>121050</v>
          </cell>
        </row>
        <row r="15">
          <cell r="A15" t="str">
            <v>БУРГЕР РУС ООО</v>
          </cell>
          <cell r="B15">
            <v>64</v>
          </cell>
          <cell r="C15" t="str">
            <v>31.01.2025</v>
          </cell>
          <cell r="D15" t="str">
            <v>Реализация (акты, накладные, УПД)</v>
          </cell>
          <cell r="E15" t="str">
            <v>29</v>
          </cell>
          <cell r="F15">
            <v>182175</v>
          </cell>
          <cell r="G15">
            <v>173500</v>
          </cell>
        </row>
        <row r="16">
          <cell r="A16" t="str">
            <v>Вебформат ООО</v>
          </cell>
          <cell r="B16">
            <v>2</v>
          </cell>
          <cell r="C16" t="str">
            <v>09.01.2025</v>
          </cell>
          <cell r="D16" t="str">
            <v>Реализация (акты, накладные, УПД)</v>
          </cell>
          <cell r="E16" t="str">
            <v>43</v>
          </cell>
          <cell r="F16">
            <v>6000</v>
          </cell>
          <cell r="G16">
            <v>5714.2857142857138</v>
          </cell>
        </row>
        <row r="17">
          <cell r="A17" t="str">
            <v>ВЕРТРО ООО</v>
          </cell>
          <cell r="B17">
            <v>31</v>
          </cell>
          <cell r="C17" t="str">
            <v>21.01.2025</v>
          </cell>
          <cell r="D17" t="str">
            <v>Реализация (акты, накладные, УПД)</v>
          </cell>
          <cell r="E17" t="str">
            <v>62</v>
          </cell>
          <cell r="F17">
            <v>8160</v>
          </cell>
          <cell r="G17">
            <v>7771.4285714285706</v>
          </cell>
        </row>
        <row r="18">
          <cell r="A18" t="str">
            <v>В-ИМПОРТ ООО</v>
          </cell>
          <cell r="B18">
            <v>5</v>
          </cell>
          <cell r="C18" t="str">
            <v>09.01.2025</v>
          </cell>
          <cell r="D18" t="str">
            <v>Реализация (акты, накладные, УПД)</v>
          </cell>
          <cell r="E18" t="str">
            <v>5</v>
          </cell>
          <cell r="F18">
            <v>6500</v>
          </cell>
          <cell r="G18">
            <v>6190.4761904761899</v>
          </cell>
        </row>
        <row r="19">
          <cell r="A19" t="str">
            <v>ВОСТОК-СЕРВИС-СПЕЦКОМПЛЕКТ АО</v>
          </cell>
          <cell r="B19">
            <v>19</v>
          </cell>
          <cell r="C19" t="str">
            <v>13.01.2025</v>
          </cell>
          <cell r="D19" t="str">
            <v>Реализация (акты, накладные, УПД)</v>
          </cell>
          <cell r="E19" t="str">
            <v>4</v>
          </cell>
          <cell r="F19">
            <v>22500</v>
          </cell>
          <cell r="G19">
            <v>21428.571428571428</v>
          </cell>
        </row>
        <row r="20">
          <cell r="A20" t="str">
            <v>ГК СБСВ-КЛЮЧАВТО ООО</v>
          </cell>
          <cell r="B20">
            <v>54</v>
          </cell>
          <cell r="C20" t="str">
            <v>31.01.2025</v>
          </cell>
          <cell r="D20" t="str">
            <v>Реализация (акты, накладные, УПД)</v>
          </cell>
          <cell r="E20" t="str">
            <v>18</v>
          </cell>
          <cell r="F20">
            <v>123524.1</v>
          </cell>
          <cell r="G20">
            <v>117642</v>
          </cell>
        </row>
        <row r="21">
          <cell r="A21" t="str">
            <v>ГОРОДСКОЙ СУПЕРМАРКЕТ ООО</v>
          </cell>
          <cell r="B21">
            <v>67</v>
          </cell>
          <cell r="C21" t="str">
            <v>31.01.2025</v>
          </cell>
          <cell r="D21" t="str">
            <v>Реализация (акты, накладные, УПД)</v>
          </cell>
          <cell r="E21" t="str">
            <v>32</v>
          </cell>
          <cell r="F21">
            <v>60690</v>
          </cell>
          <cell r="G21">
            <v>57800</v>
          </cell>
        </row>
        <row r="22">
          <cell r="A22" t="str">
            <v>ГУЛЛИВЕР ОНЛАЙН ООО</v>
          </cell>
          <cell r="B22">
            <v>88</v>
          </cell>
          <cell r="C22" t="str">
            <v>31.01.2025</v>
          </cell>
          <cell r="D22" t="str">
            <v>Реализация (акты, накладные, УПД)</v>
          </cell>
          <cell r="E22" t="str">
            <v>110</v>
          </cell>
          <cell r="F22">
            <v>8000</v>
          </cell>
          <cell r="G22">
            <v>7619.0476190476184</v>
          </cell>
        </row>
        <row r="23">
          <cell r="A23" t="str">
            <v>ДЖ.Т.И. РОССИЯ ООО</v>
          </cell>
          <cell r="B23">
            <v>106</v>
          </cell>
          <cell r="C23" t="str">
            <v>31.01.2025</v>
          </cell>
          <cell r="D23" t="str">
            <v>Реализация (акты, накладные, УПД)</v>
          </cell>
          <cell r="E23" t="str">
            <v>79</v>
          </cell>
          <cell r="F23">
            <v>383147.1</v>
          </cell>
          <cell r="G23">
            <v>364901.99999999994</v>
          </cell>
        </row>
        <row r="24">
          <cell r="A24" t="str">
            <v>Динаев Осман Русланович</v>
          </cell>
          <cell r="B24">
            <v>59</v>
          </cell>
          <cell r="C24" t="str">
            <v>31.01.2025</v>
          </cell>
          <cell r="D24" t="str">
            <v>Реализация (акты, накладные, УПД)</v>
          </cell>
          <cell r="E24" t="str">
            <v>24</v>
          </cell>
          <cell r="F24">
            <v>27426</v>
          </cell>
          <cell r="G24">
            <v>26120</v>
          </cell>
        </row>
        <row r="25">
          <cell r="A25" t="str">
            <v>ДИОНА ООО</v>
          </cell>
          <cell r="B25">
            <v>78</v>
          </cell>
          <cell r="C25" t="str">
            <v>31.01.2025</v>
          </cell>
          <cell r="D25" t="str">
            <v>Реализация (акты, накладные, УПД)</v>
          </cell>
          <cell r="E25" t="str">
            <v>88</v>
          </cell>
          <cell r="F25">
            <v>175140</v>
          </cell>
          <cell r="G25">
            <v>166800</v>
          </cell>
        </row>
        <row r="26">
          <cell r="A26" t="str">
            <v>ДПО НАМО ИМ Н.А. БОРОДИНА АНО</v>
          </cell>
          <cell r="B26">
            <v>33</v>
          </cell>
          <cell r="C26" t="str">
            <v>22.01.2025</v>
          </cell>
          <cell r="D26" t="str">
            <v>Реализация (акты, накладные, УПД)</v>
          </cell>
          <cell r="E26" t="str">
            <v>64</v>
          </cell>
          <cell r="F26">
            <v>12880</v>
          </cell>
          <cell r="G26">
            <v>12266.666666666666</v>
          </cell>
        </row>
        <row r="27">
          <cell r="A27" t="str">
            <v>ЕВРОПА ООО</v>
          </cell>
          <cell r="B27">
            <v>79</v>
          </cell>
          <cell r="C27" t="str">
            <v>31.01.2025</v>
          </cell>
          <cell r="D27" t="str">
            <v>Реализация (акты, накладные, УПД)</v>
          </cell>
          <cell r="E27" t="str">
            <v>90</v>
          </cell>
          <cell r="F27">
            <v>195510</v>
          </cell>
          <cell r="G27">
            <v>186200</v>
          </cell>
        </row>
        <row r="28">
          <cell r="A28" t="str">
            <v>ЗМС-Инструмент ООО</v>
          </cell>
          <cell r="B28">
            <v>37</v>
          </cell>
          <cell r="C28" t="str">
            <v>23.01.2025</v>
          </cell>
          <cell r="D28" t="str">
            <v>Реализация (акты, накладные, УПД)</v>
          </cell>
          <cell r="E28" t="str">
            <v>68</v>
          </cell>
          <cell r="F28">
            <v>3120</v>
          </cell>
          <cell r="G28">
            <v>2971.4285714285711</v>
          </cell>
        </row>
        <row r="29">
          <cell r="A29" t="str">
            <v>И-МЕДИА ООО</v>
          </cell>
          <cell r="B29">
            <v>62</v>
          </cell>
          <cell r="C29" t="str">
            <v>31.01.2025</v>
          </cell>
          <cell r="D29" t="str">
            <v>Реализация (акты, накладные, УПД)</v>
          </cell>
          <cell r="E29" t="str">
            <v>27</v>
          </cell>
          <cell r="F29">
            <v>81900</v>
          </cell>
          <cell r="G29">
            <v>78000</v>
          </cell>
        </row>
        <row r="30">
          <cell r="A30" t="str">
            <v>ИМПУЛЬС ООО</v>
          </cell>
          <cell r="B30">
            <v>65</v>
          </cell>
          <cell r="C30" t="str">
            <v>31.01.2025</v>
          </cell>
          <cell r="D30" t="str">
            <v>Реализация (акты, накладные, УПД)</v>
          </cell>
          <cell r="E30" t="str">
            <v>30</v>
          </cell>
          <cell r="F30">
            <v>344064</v>
          </cell>
          <cell r="G30">
            <v>327680</v>
          </cell>
        </row>
        <row r="31">
          <cell r="A31" t="str">
            <v>ИННОВАЦИИ В УПРАВЛЕНИИ КАДРАМИ Р/С 40702810932000007307 ООО</v>
          </cell>
          <cell r="B31">
            <v>20</v>
          </cell>
          <cell r="C31" t="str">
            <v>14.01.2025</v>
          </cell>
          <cell r="D31" t="str">
            <v>Реализация (акты, накладные, УПД)</v>
          </cell>
          <cell r="E31" t="str">
            <v>54</v>
          </cell>
          <cell r="F31">
            <v>40000</v>
          </cell>
          <cell r="G31">
            <v>38095.238095238092</v>
          </cell>
        </row>
        <row r="32">
          <cell r="A32" t="str">
            <v>ИНСТАМАРТ СЕРВИС ООО</v>
          </cell>
          <cell r="B32">
            <v>87</v>
          </cell>
          <cell r="C32" t="str">
            <v>31.01.2025</v>
          </cell>
          <cell r="D32" t="str">
            <v>Реализация (акты, накладные, УПД)</v>
          </cell>
          <cell r="E32" t="str">
            <v>109</v>
          </cell>
          <cell r="F32">
            <v>221733.75</v>
          </cell>
          <cell r="G32">
            <v>211175</v>
          </cell>
        </row>
        <row r="33">
          <cell r="A33" t="str">
            <v>ИНФОРМАЦИОННОЕ АГЕНТСТВО ИНТЕРФАКС АО</v>
          </cell>
          <cell r="B33">
            <v>75</v>
          </cell>
          <cell r="C33" t="str">
            <v>31.01.2025</v>
          </cell>
          <cell r="D33" t="str">
            <v>Реализация (акты, накладные, УПД)</v>
          </cell>
          <cell r="E33" t="str">
            <v>85</v>
          </cell>
          <cell r="F33">
            <v>106910</v>
          </cell>
          <cell r="G33">
            <v>101819.04761904762</v>
          </cell>
        </row>
        <row r="34">
          <cell r="A34" t="str">
            <v>КАЗАНЬ РЕАЛ ЭСТЕЙТ ООО</v>
          </cell>
          <cell r="B34">
            <v>50</v>
          </cell>
          <cell r="C34" t="str">
            <v>31.01.2025</v>
          </cell>
          <cell r="D34" t="str">
            <v>Реализация (акты, накладные, УПД)</v>
          </cell>
          <cell r="E34" t="str">
            <v>80</v>
          </cell>
          <cell r="F34">
            <v>1084680.6299999999</v>
          </cell>
          <cell r="G34">
            <v>1033029.1714285712</v>
          </cell>
        </row>
        <row r="35">
          <cell r="A35" t="str">
            <v>КАПИТАЛ ГРУП ООО</v>
          </cell>
          <cell r="B35">
            <v>91</v>
          </cell>
          <cell r="C35" t="str">
            <v>31.01.2025</v>
          </cell>
          <cell r="D35" t="str">
            <v>Реализация (акты, накладные, УПД)</v>
          </cell>
          <cell r="E35" t="str">
            <v>115</v>
          </cell>
          <cell r="F35">
            <v>103057.5</v>
          </cell>
          <cell r="G35">
            <v>98150</v>
          </cell>
        </row>
        <row r="36">
          <cell r="A36" t="str">
            <v>КАРШЕРИНГ РУССИЯ ПАО</v>
          </cell>
          <cell r="B36">
            <v>109</v>
          </cell>
          <cell r="C36" t="str">
            <v>31.01.2025</v>
          </cell>
          <cell r="D36" t="str">
            <v>Реализация (акты, накладные, УПД)</v>
          </cell>
          <cell r="E36" t="str">
            <v>83</v>
          </cell>
          <cell r="F36">
            <v>75941.25</v>
          </cell>
          <cell r="G36">
            <v>72325</v>
          </cell>
        </row>
        <row r="37">
          <cell r="A37" t="str">
            <v>КИНЕТИКА ООО</v>
          </cell>
          <cell r="B37">
            <v>1</v>
          </cell>
          <cell r="C37" t="str">
            <v>09.01.2025</v>
          </cell>
          <cell r="D37" t="str">
            <v>Реализация (акты, накладные, УПД)</v>
          </cell>
          <cell r="E37" t="str">
            <v>13</v>
          </cell>
          <cell r="F37">
            <v>21000</v>
          </cell>
          <cell r="G37">
            <v>20000</v>
          </cell>
        </row>
        <row r="38">
          <cell r="A38" t="str">
            <v>КИНОПОИСК ООО</v>
          </cell>
          <cell r="B38">
            <v>97</v>
          </cell>
          <cell r="C38" t="str">
            <v>31.01.2025</v>
          </cell>
          <cell r="D38" t="str">
            <v>Реализация (акты, накладные, УПД)</v>
          </cell>
          <cell r="E38" t="str">
            <v>96</v>
          </cell>
          <cell r="F38">
            <v>213150</v>
          </cell>
          <cell r="G38">
            <v>203000</v>
          </cell>
        </row>
        <row r="39">
          <cell r="A39" t="str">
            <v>КОЛЕСА ДАРОМ.РУ ООО</v>
          </cell>
          <cell r="B39">
            <v>86</v>
          </cell>
          <cell r="C39" t="str">
            <v>31.01.2025</v>
          </cell>
          <cell r="D39" t="str">
            <v>Реализация (акты, накладные, УПД)</v>
          </cell>
          <cell r="E39" t="str">
            <v>108</v>
          </cell>
          <cell r="F39">
            <v>300000</v>
          </cell>
          <cell r="G39">
            <v>285714.28571428568</v>
          </cell>
        </row>
        <row r="40">
          <cell r="A40" t="str">
            <v>КОЛЛТРЕКИНГ ООО</v>
          </cell>
          <cell r="B40">
            <v>41</v>
          </cell>
          <cell r="C40" t="str">
            <v>27.01.2025</v>
          </cell>
          <cell r="D40" t="str">
            <v>Реализация (акты, накладные, УПД)</v>
          </cell>
          <cell r="E40" t="str">
            <v>14</v>
          </cell>
          <cell r="F40">
            <v>7140</v>
          </cell>
          <cell r="G40">
            <v>6800</v>
          </cell>
        </row>
        <row r="41">
          <cell r="A41" t="str">
            <v>КОНДИТЕРСКАЯ ФАБРИКА ПОБЕДА ООО</v>
          </cell>
          <cell r="B41">
            <v>72</v>
          </cell>
          <cell r="C41" t="str">
            <v>31.01.2025</v>
          </cell>
          <cell r="D41" t="str">
            <v>Реализация (акты, накладные, УПД)</v>
          </cell>
          <cell r="E41" t="str">
            <v>37</v>
          </cell>
          <cell r="F41">
            <v>120618.75</v>
          </cell>
          <cell r="G41">
            <v>114875</v>
          </cell>
        </row>
        <row r="42">
          <cell r="A42" t="str">
            <v>Континент Экспресс АО</v>
          </cell>
          <cell r="B42">
            <v>36</v>
          </cell>
          <cell r="C42" t="str">
            <v>23.01.2025</v>
          </cell>
          <cell r="D42" t="str">
            <v>Реализация (акты, накладные, УПД)</v>
          </cell>
          <cell r="E42" t="str">
            <v>67</v>
          </cell>
          <cell r="F42">
            <v>4080</v>
          </cell>
          <cell r="G42">
            <v>3885.7142857142853</v>
          </cell>
        </row>
        <row r="43">
          <cell r="A43" t="str">
            <v>Кравченко Сергей Олегович ИП</v>
          </cell>
          <cell r="B43">
            <v>48</v>
          </cell>
          <cell r="C43" t="str">
            <v>30.01.2025</v>
          </cell>
          <cell r="D43" t="str">
            <v>Реализация (акты, накладные, УПД)</v>
          </cell>
          <cell r="E43" t="str">
            <v>77</v>
          </cell>
          <cell r="F43">
            <v>3440</v>
          </cell>
          <cell r="G43">
            <v>3276.1904761904761</v>
          </cell>
        </row>
        <row r="44">
          <cell r="A44" t="str">
            <v>КРАСНАЯ ПОЛЯНА НАО</v>
          </cell>
          <cell r="B44">
            <v>89</v>
          </cell>
          <cell r="C44" t="str">
            <v>31.01.2025</v>
          </cell>
          <cell r="D44" t="str">
            <v>Реализация (акты, накладные, УПД)</v>
          </cell>
          <cell r="E44" t="str">
            <v>111</v>
          </cell>
          <cell r="F44">
            <v>87147.94</v>
          </cell>
          <cell r="G44">
            <v>82998.038095238095</v>
          </cell>
        </row>
        <row r="45">
          <cell r="A45" t="str">
            <v>КРОСС-ПРОМОУШН ООО</v>
          </cell>
          <cell r="B45">
            <v>12</v>
          </cell>
          <cell r="C45" t="str">
            <v>10.01.2025</v>
          </cell>
          <cell r="D45" t="str">
            <v>Реализация (акты, накладные, УПД)</v>
          </cell>
          <cell r="E45" t="str">
            <v>49</v>
          </cell>
          <cell r="F45">
            <v>118080</v>
          </cell>
          <cell r="G45">
            <v>112457.14285714286</v>
          </cell>
        </row>
        <row r="46">
          <cell r="A46" t="str">
            <v>ЛАПКИН РОМАН МИХАЙЛОВИЧ ИП</v>
          </cell>
          <cell r="B46">
            <v>11</v>
          </cell>
          <cell r="C46" t="str">
            <v>10.01.2025</v>
          </cell>
          <cell r="D46" t="str">
            <v>Реализация (акты, накладные, УПД)</v>
          </cell>
          <cell r="E46" t="str">
            <v>48</v>
          </cell>
          <cell r="F46">
            <v>10160</v>
          </cell>
          <cell r="G46">
            <v>9676.1904761904752</v>
          </cell>
        </row>
        <row r="47">
          <cell r="A47" t="str">
            <v>Л'ОРЕАЛЬ АО</v>
          </cell>
          <cell r="B47">
            <v>84</v>
          </cell>
          <cell r="C47" t="str">
            <v>31.01.2025</v>
          </cell>
          <cell r="D47" t="str">
            <v>Реализация (акты, накладные, УПД)</v>
          </cell>
          <cell r="E47" t="str">
            <v>106</v>
          </cell>
          <cell r="F47">
            <v>44693.599999999999</v>
          </cell>
          <cell r="G47">
            <v>42565.333333333328</v>
          </cell>
        </row>
        <row r="48">
          <cell r="A48" t="str">
            <v>Майндбокс ООО</v>
          </cell>
          <cell r="B48">
            <v>73</v>
          </cell>
          <cell r="C48" t="str">
            <v>31.01.2025</v>
          </cell>
          <cell r="D48" t="str">
            <v>Реализация (акты, накладные, УПД)</v>
          </cell>
          <cell r="E48" t="str">
            <v>38</v>
          </cell>
          <cell r="F48">
            <v>116817.4</v>
          </cell>
          <cell r="G48">
            <v>111254.66666666666</v>
          </cell>
        </row>
        <row r="49">
          <cell r="A49" t="str">
            <v>МАРС ООО</v>
          </cell>
          <cell r="B49">
            <v>101</v>
          </cell>
          <cell r="C49" t="str">
            <v>31.01.2025</v>
          </cell>
          <cell r="D49" t="str">
            <v>Реализация (акты, накладные, УПД)</v>
          </cell>
          <cell r="E49" t="str">
            <v>100</v>
          </cell>
          <cell r="F49">
            <v>532140</v>
          </cell>
          <cell r="G49">
            <v>506800</v>
          </cell>
        </row>
        <row r="50">
          <cell r="A50" t="str">
            <v>МедТоварОпт ООО</v>
          </cell>
          <cell r="B50">
            <v>30</v>
          </cell>
          <cell r="C50" t="str">
            <v>21.01.2025</v>
          </cell>
          <cell r="D50" t="str">
            <v>Реализация (акты, накладные, УПД)</v>
          </cell>
          <cell r="E50" t="str">
            <v>61</v>
          </cell>
          <cell r="F50">
            <v>5280</v>
          </cell>
          <cell r="G50">
            <v>5028.5714285714284</v>
          </cell>
        </row>
        <row r="51">
          <cell r="A51" t="str">
            <v>МЕТРО КЭШ ЭНД КЕРРИ ООО</v>
          </cell>
          <cell r="B51">
            <v>71</v>
          </cell>
          <cell r="C51" t="str">
            <v>31.01.2025</v>
          </cell>
          <cell r="D51" t="str">
            <v>Реализация (акты, накладные, УПД)</v>
          </cell>
          <cell r="E51" t="str">
            <v>36</v>
          </cell>
          <cell r="F51">
            <v>52481.1</v>
          </cell>
          <cell r="G51">
            <v>49982</v>
          </cell>
        </row>
        <row r="52">
          <cell r="A52" t="str">
            <v>МИПОПП</v>
          </cell>
          <cell r="B52">
            <v>13</v>
          </cell>
          <cell r="C52" t="str">
            <v>10.01.2025</v>
          </cell>
          <cell r="D52" t="str">
            <v>Реализация (акты, накладные, УПД)</v>
          </cell>
          <cell r="E52" t="str">
            <v>50</v>
          </cell>
          <cell r="F52">
            <v>11040</v>
          </cell>
          <cell r="G52">
            <v>10514.285714285714</v>
          </cell>
        </row>
        <row r="53">
          <cell r="A53" t="str">
            <v>МОБИЛЬНАЯ КАРТА ООО НКО</v>
          </cell>
          <cell r="B53">
            <v>93</v>
          </cell>
          <cell r="C53" t="str">
            <v>31.01.2025</v>
          </cell>
          <cell r="D53" t="str">
            <v>Реализация (акты, накладные, УПД)</v>
          </cell>
          <cell r="E53" t="str">
            <v>119</v>
          </cell>
          <cell r="F53">
            <v>91378.35</v>
          </cell>
          <cell r="G53">
            <v>87027</v>
          </cell>
        </row>
        <row r="54">
          <cell r="A54" t="str">
            <v>НОВО БИАЙ ООО</v>
          </cell>
          <cell r="B54">
            <v>28</v>
          </cell>
          <cell r="C54" t="str">
            <v>21.01.2025</v>
          </cell>
          <cell r="D54" t="str">
            <v>Реализация (акты, накладные, УПД)</v>
          </cell>
          <cell r="E54" t="str">
            <v>59</v>
          </cell>
          <cell r="F54">
            <v>24000</v>
          </cell>
          <cell r="G54">
            <v>22857.142857142855</v>
          </cell>
        </row>
        <row r="55">
          <cell r="A55" t="str">
            <v>НОВО БИАЙ ООО</v>
          </cell>
          <cell r="B55">
            <v>44</v>
          </cell>
          <cell r="C55" t="str">
            <v>27.01.2025</v>
          </cell>
          <cell r="D55" t="str">
            <v>Реализация (акты, накладные, УПД)</v>
          </cell>
          <cell r="E55" t="str">
            <v>74</v>
          </cell>
          <cell r="F55">
            <v>1200</v>
          </cell>
          <cell r="G55">
            <v>1142.8571428571429</v>
          </cell>
        </row>
        <row r="56">
          <cell r="A56" t="str">
            <v>ОБОИ ФАКТУРА ООО</v>
          </cell>
          <cell r="B56">
            <v>8</v>
          </cell>
          <cell r="C56" t="str">
            <v>10.01.2025</v>
          </cell>
          <cell r="D56" t="str">
            <v>Реализация (акты, накладные, УПД)</v>
          </cell>
          <cell r="E56" t="str">
            <v>6</v>
          </cell>
          <cell r="F56">
            <v>10500</v>
          </cell>
          <cell r="G56">
            <v>10000</v>
          </cell>
        </row>
        <row r="57">
          <cell r="A57" t="str">
            <v>ОККАМ ИКС ООО</v>
          </cell>
          <cell r="B57">
            <v>76</v>
          </cell>
          <cell r="C57" t="str">
            <v>31.01.2025</v>
          </cell>
          <cell r="D57" t="str">
            <v>Реализация (акты, накладные, УПД)</v>
          </cell>
          <cell r="E57" t="str">
            <v>86</v>
          </cell>
          <cell r="F57">
            <v>72187.5</v>
          </cell>
          <cell r="G57">
            <v>68750</v>
          </cell>
        </row>
        <row r="58">
          <cell r="A58" t="str">
            <v>ОНДАР ТАТЬЯНА ВИКТОРОВНА (ИП)</v>
          </cell>
          <cell r="B58">
            <v>4</v>
          </cell>
          <cell r="C58" t="str">
            <v>09.01.2025</v>
          </cell>
          <cell r="D58" t="str">
            <v>Реализация (акты, накладные, УПД)</v>
          </cell>
          <cell r="E58" t="str">
            <v>45</v>
          </cell>
          <cell r="F58">
            <v>25200</v>
          </cell>
          <cell r="G58">
            <v>24000</v>
          </cell>
        </row>
        <row r="59">
          <cell r="A59" t="str">
            <v>ООО «ДЖИЭФЭН КЛАУД ИНТЕРНЕТ СЕРВИСИС»</v>
          </cell>
          <cell r="B59">
            <v>81</v>
          </cell>
          <cell r="C59" t="str">
            <v>31.01.2025</v>
          </cell>
          <cell r="D59" t="str">
            <v>Реализация (акты, накладные, УПД)</v>
          </cell>
          <cell r="E59" t="str">
            <v>92</v>
          </cell>
          <cell r="F59">
            <v>22512</v>
          </cell>
          <cell r="G59">
            <v>21440</v>
          </cell>
        </row>
        <row r="60">
          <cell r="A60" t="str">
            <v>ООО «СПАДРИМ»</v>
          </cell>
          <cell r="B60">
            <v>94</v>
          </cell>
          <cell r="C60" t="str">
            <v>31.01.2025</v>
          </cell>
          <cell r="D60" t="str">
            <v>Реализация (акты, накладные, УПД)</v>
          </cell>
          <cell r="E60" t="str">
            <v>93</v>
          </cell>
          <cell r="F60">
            <v>74865</v>
          </cell>
          <cell r="G60">
            <v>71300</v>
          </cell>
        </row>
        <row r="61">
          <cell r="A61" t="str">
            <v>ПЕТРОВАКС ФАРМ ООО</v>
          </cell>
          <cell r="B61">
            <v>110</v>
          </cell>
          <cell r="C61" t="str">
            <v>31.01.2025</v>
          </cell>
          <cell r="D61" t="str">
            <v>Реализация (акты, накладные, УПД)</v>
          </cell>
          <cell r="E61" t="str">
            <v>84</v>
          </cell>
          <cell r="F61">
            <v>538650</v>
          </cell>
          <cell r="G61">
            <v>513000</v>
          </cell>
        </row>
        <row r="62">
          <cell r="A62" t="str">
            <v>ПОЙДЁМ! АО КБ</v>
          </cell>
          <cell r="B62">
            <v>74</v>
          </cell>
          <cell r="C62" t="str">
            <v>31.01.2025</v>
          </cell>
          <cell r="D62" t="str">
            <v>Реализация (акты, накладные, УПД)</v>
          </cell>
          <cell r="E62" t="str">
            <v>39</v>
          </cell>
          <cell r="F62">
            <v>278750</v>
          </cell>
          <cell r="G62">
            <v>265476.19047619047</v>
          </cell>
        </row>
        <row r="63">
          <cell r="A63" t="str">
            <v>ПРЕМИУМ ЭСТЕЙТ ООО</v>
          </cell>
          <cell r="B63">
            <v>52</v>
          </cell>
          <cell r="C63" t="str">
            <v>31.01.2025</v>
          </cell>
          <cell r="D63" t="str">
            <v>Реализация (акты, накладные, УПД)</v>
          </cell>
          <cell r="E63" t="str">
            <v>16</v>
          </cell>
          <cell r="F63">
            <v>147785</v>
          </cell>
          <cell r="G63">
            <v>140747.61904761905</v>
          </cell>
        </row>
        <row r="64">
          <cell r="A64" t="str">
            <v>ПРОГРЕСС ГРУПП ООО</v>
          </cell>
          <cell r="B64">
            <v>68</v>
          </cell>
          <cell r="C64" t="str">
            <v>31.01.2025</v>
          </cell>
          <cell r="D64" t="str">
            <v>Реализация (акты, накладные, УПД)</v>
          </cell>
          <cell r="E64" t="str">
            <v>33</v>
          </cell>
          <cell r="F64">
            <v>28350</v>
          </cell>
          <cell r="G64">
            <v>27000</v>
          </cell>
        </row>
        <row r="65">
          <cell r="A65" t="str">
            <v>ПРОИЗВОДСТВЕННАЯ КОМПАНИЯ ДСК АПС ООО</v>
          </cell>
          <cell r="B65">
            <v>32</v>
          </cell>
          <cell r="C65" t="str">
            <v>21.01.2025</v>
          </cell>
          <cell r="D65" t="str">
            <v>Реализация (акты, накладные, УПД)</v>
          </cell>
          <cell r="E65" t="str">
            <v>63</v>
          </cell>
          <cell r="F65">
            <v>3050</v>
          </cell>
          <cell r="G65">
            <v>2904.7619047619046</v>
          </cell>
        </row>
        <row r="66">
          <cell r="A66" t="str">
            <v>РАЧКОВА ЛАРИСА АЛЕКСАНДРОВНА ИП</v>
          </cell>
          <cell r="B66">
            <v>9</v>
          </cell>
          <cell r="C66" t="str">
            <v>10.01.2025</v>
          </cell>
          <cell r="D66" t="str">
            <v>Реализация (акты, накладные, УПД)</v>
          </cell>
          <cell r="E66" t="str">
            <v>46</v>
          </cell>
          <cell r="F66">
            <v>6000</v>
          </cell>
          <cell r="G66">
            <v>5714.2857142857138</v>
          </cell>
        </row>
        <row r="67">
          <cell r="A67" t="str">
            <v>РОКВУЛ ООО</v>
          </cell>
          <cell r="B67">
            <v>60</v>
          </cell>
          <cell r="C67" t="str">
            <v>31.01.2025</v>
          </cell>
          <cell r="D67" t="str">
            <v>Реализация (акты, накладные, УПД)</v>
          </cell>
          <cell r="E67" t="str">
            <v>25</v>
          </cell>
          <cell r="F67">
            <v>86417.1</v>
          </cell>
          <cell r="G67">
            <v>82302</v>
          </cell>
        </row>
        <row r="68">
          <cell r="A68" t="str">
            <v>РС ПАВЕЛЕЦКАЯ ООО</v>
          </cell>
          <cell r="B68">
            <v>42</v>
          </cell>
          <cell r="C68" t="str">
            <v>27.01.2025</v>
          </cell>
          <cell r="D68" t="str">
            <v>Реализация (акты, накладные, УПД)</v>
          </cell>
          <cell r="E68" t="str">
            <v>72</v>
          </cell>
          <cell r="F68">
            <v>10320</v>
          </cell>
          <cell r="G68">
            <v>9828.5714285714275</v>
          </cell>
        </row>
        <row r="69">
          <cell r="A69" t="str">
            <v>РУСКАН АО</v>
          </cell>
          <cell r="B69">
            <v>92</v>
          </cell>
          <cell r="C69" t="str">
            <v>31.01.2025</v>
          </cell>
          <cell r="D69" t="str">
            <v>Реализация (акты, накладные, УПД)</v>
          </cell>
          <cell r="E69" t="str">
            <v>117</v>
          </cell>
          <cell r="F69">
            <v>524501.25</v>
          </cell>
          <cell r="G69">
            <v>499525</v>
          </cell>
        </row>
        <row r="70">
          <cell r="A70" t="str">
            <v>РУТА АО</v>
          </cell>
          <cell r="B70">
            <v>104</v>
          </cell>
          <cell r="C70" t="str">
            <v>31.01.2025</v>
          </cell>
          <cell r="D70" t="str">
            <v>Реализация (акты, накладные, УПД)</v>
          </cell>
          <cell r="E70" t="str">
            <v>41</v>
          </cell>
          <cell r="F70">
            <v>261030</v>
          </cell>
          <cell r="G70">
            <v>248600</v>
          </cell>
        </row>
        <row r="71">
          <cell r="A71" t="str">
            <v>САЛТЫКОВА ИРИНА ЕВГЕНЬЕВНА ИП</v>
          </cell>
          <cell r="B71">
            <v>29</v>
          </cell>
          <cell r="C71" t="str">
            <v>21.01.2025</v>
          </cell>
          <cell r="D71" t="str">
            <v>Реализация (акты, накладные, УПД)</v>
          </cell>
          <cell r="E71" t="str">
            <v>60</v>
          </cell>
          <cell r="F71">
            <v>3200</v>
          </cell>
          <cell r="G71">
            <v>3047.6190476190477</v>
          </cell>
        </row>
        <row r="72">
          <cell r="A72" t="str">
            <v>САНТЭЛ-М ООО</v>
          </cell>
          <cell r="B72">
            <v>35</v>
          </cell>
          <cell r="C72" t="str">
            <v>22.01.2025</v>
          </cell>
          <cell r="D72" t="str">
            <v>Реализация (акты, накладные, УПД)</v>
          </cell>
          <cell r="E72" t="str">
            <v>66</v>
          </cell>
          <cell r="F72">
            <v>15840</v>
          </cell>
          <cell r="G72">
            <v>15085.714285714284</v>
          </cell>
        </row>
        <row r="73">
          <cell r="A73" t="str">
            <v>СЕРВЬЕ АО</v>
          </cell>
          <cell r="B73">
            <v>90</v>
          </cell>
          <cell r="C73" t="str">
            <v>31.01.2025</v>
          </cell>
          <cell r="D73" t="str">
            <v>Реализация (акты, накладные, УПД)</v>
          </cell>
          <cell r="E73" t="str">
            <v>112</v>
          </cell>
          <cell r="F73">
            <v>36819.79</v>
          </cell>
          <cell r="G73">
            <v>35066.466666666667</v>
          </cell>
        </row>
        <row r="74">
          <cell r="A74" t="str">
            <v>СЗ БИЗНЕС ПАРК ОСТАНКИНО ООО</v>
          </cell>
          <cell r="B74">
            <v>58</v>
          </cell>
          <cell r="C74" t="str">
            <v>31.01.2025</v>
          </cell>
          <cell r="D74" t="str">
            <v>Реализация (акты, накладные, УПД)</v>
          </cell>
          <cell r="E74" t="str">
            <v>22</v>
          </cell>
          <cell r="F74">
            <v>29893.5</v>
          </cell>
          <cell r="G74">
            <v>28470</v>
          </cell>
        </row>
        <row r="75">
          <cell r="A75" t="str">
            <v>СЗ ЛАЙФ ПАВЕЛЕЦКАЯ АО</v>
          </cell>
          <cell r="B75">
            <v>56</v>
          </cell>
          <cell r="C75" t="str">
            <v>31.01.2025</v>
          </cell>
          <cell r="D75" t="str">
            <v>Реализация (акты, накладные, УПД)</v>
          </cell>
          <cell r="E75" t="str">
            <v>20</v>
          </cell>
          <cell r="F75">
            <v>73920</v>
          </cell>
          <cell r="G75">
            <v>70400</v>
          </cell>
        </row>
        <row r="76">
          <cell r="A76" t="str">
            <v>СЗ ПИОНЕР-1 ООО</v>
          </cell>
          <cell r="B76">
            <v>57</v>
          </cell>
          <cell r="C76" t="str">
            <v>31.01.2025</v>
          </cell>
          <cell r="D76" t="str">
            <v>Реализация (акты, накладные, УПД)</v>
          </cell>
          <cell r="E76" t="str">
            <v>21</v>
          </cell>
          <cell r="F76">
            <v>71919.75</v>
          </cell>
          <cell r="G76">
            <v>68495</v>
          </cell>
        </row>
        <row r="77">
          <cell r="A77" t="str">
            <v>СИНТЕГС ООО</v>
          </cell>
          <cell r="B77">
            <v>43</v>
          </cell>
          <cell r="C77" t="str">
            <v>27.01.2025</v>
          </cell>
          <cell r="D77" t="str">
            <v>Реализация (акты, накладные, УПД)</v>
          </cell>
          <cell r="E77" t="str">
            <v>73</v>
          </cell>
          <cell r="F77">
            <v>11424</v>
          </cell>
          <cell r="G77">
            <v>10880</v>
          </cell>
        </row>
        <row r="78">
          <cell r="A78" t="str">
            <v>Смирнова Анна Игоревна ИП</v>
          </cell>
          <cell r="B78">
            <v>46</v>
          </cell>
          <cell r="C78" t="str">
            <v>29.01.2025</v>
          </cell>
          <cell r="D78" t="str">
            <v>Реализация (акты, накладные, УПД)</v>
          </cell>
          <cell r="E78" t="str">
            <v>75</v>
          </cell>
          <cell r="F78">
            <v>6240</v>
          </cell>
          <cell r="G78">
            <v>5942.8571428571422</v>
          </cell>
        </row>
        <row r="79">
          <cell r="A79" t="str">
            <v>СТЕНДАП КЛАБ ООО</v>
          </cell>
          <cell r="B79">
            <v>47</v>
          </cell>
          <cell r="C79" t="str">
            <v>29.01.2025</v>
          </cell>
          <cell r="D79" t="str">
            <v>Реализация (акты, накладные, УПД)</v>
          </cell>
          <cell r="E79" t="str">
            <v>76</v>
          </cell>
          <cell r="F79">
            <v>165312</v>
          </cell>
          <cell r="G79">
            <v>157440</v>
          </cell>
        </row>
        <row r="80">
          <cell r="A80" t="str">
            <v>СЭМПЛ ООО</v>
          </cell>
          <cell r="B80">
            <v>40</v>
          </cell>
          <cell r="C80" t="str">
            <v>24.01.2025</v>
          </cell>
          <cell r="D80" t="str">
            <v>Реализация (акты, накладные, УПД)</v>
          </cell>
          <cell r="E80" t="str">
            <v>71</v>
          </cell>
          <cell r="F80">
            <v>13200</v>
          </cell>
          <cell r="G80">
            <v>12571.428571428571</v>
          </cell>
        </row>
        <row r="81">
          <cell r="A81" t="str">
            <v>Торговая фирма СПб Дом книги АО</v>
          </cell>
          <cell r="B81">
            <v>10</v>
          </cell>
          <cell r="C81" t="str">
            <v>10.01.2025</v>
          </cell>
          <cell r="D81" t="str">
            <v>Реализация (акты, накладные, УПД)</v>
          </cell>
          <cell r="E81" t="str">
            <v>47</v>
          </cell>
          <cell r="F81">
            <v>4240</v>
          </cell>
          <cell r="G81">
            <v>4038.0952380952381</v>
          </cell>
        </row>
        <row r="82">
          <cell r="A82" t="str">
            <v>ФГБУК "Государственный академический Большой театр России"</v>
          </cell>
          <cell r="B82">
            <v>105</v>
          </cell>
          <cell r="C82" t="str">
            <v>31.01.2025</v>
          </cell>
          <cell r="D82" t="str">
            <v>Реализация (акты, накладные, УПД)</v>
          </cell>
          <cell r="E82" t="str">
            <v>78</v>
          </cell>
          <cell r="F82">
            <v>19923.75</v>
          </cell>
          <cell r="G82">
            <v>18975</v>
          </cell>
        </row>
        <row r="83">
          <cell r="A83" t="str">
            <v>ХЕНДЭ МОТОР СНГ ООО</v>
          </cell>
          <cell r="B83">
            <v>102</v>
          </cell>
          <cell r="C83" t="str">
            <v>31.01.2025</v>
          </cell>
          <cell r="D83" t="str">
            <v>Реализация (акты, накладные, УПД)</v>
          </cell>
          <cell r="E83" t="str">
            <v>101</v>
          </cell>
          <cell r="F83">
            <v>15855</v>
          </cell>
          <cell r="G83">
            <v>15100</v>
          </cell>
        </row>
        <row r="84">
          <cell r="A84" t="str">
            <v>ЦЕНТР ДЕТСКОГО ЗДОРОВЬЯ ООО</v>
          </cell>
          <cell r="B84">
            <v>39</v>
          </cell>
          <cell r="C84" t="str">
            <v>24.01.2025</v>
          </cell>
          <cell r="D84" t="str">
            <v>Реализация (акты, накладные, УПД)</v>
          </cell>
          <cell r="E84" t="str">
            <v>70</v>
          </cell>
          <cell r="F84">
            <v>16720</v>
          </cell>
          <cell r="G84">
            <v>15923.809523809523</v>
          </cell>
        </row>
        <row r="85">
          <cell r="A85" t="str">
            <v>ЦЕНТР СЕРВИС ООО</v>
          </cell>
          <cell r="B85">
            <v>18</v>
          </cell>
          <cell r="C85" t="str">
            <v>13.01.2025</v>
          </cell>
          <cell r="D85" t="str">
            <v>Реализация (акты, накладные, УПД)</v>
          </cell>
          <cell r="E85" t="str">
            <v>53</v>
          </cell>
          <cell r="F85">
            <v>3000</v>
          </cell>
          <cell r="G85">
            <v>2857.1428571428569</v>
          </cell>
        </row>
        <row r="86">
          <cell r="A86" t="str">
            <v>ЦИФРАСКЛАД ООО</v>
          </cell>
          <cell r="B86">
            <v>16</v>
          </cell>
          <cell r="C86" t="str">
            <v>13.01.2025</v>
          </cell>
          <cell r="D86" t="str">
            <v>Реализация (акты, накладные, УПД)</v>
          </cell>
          <cell r="E86" t="str">
            <v>51</v>
          </cell>
          <cell r="F86">
            <v>18720</v>
          </cell>
          <cell r="G86">
            <v>17828.571428571428</v>
          </cell>
        </row>
        <row r="87">
          <cell r="A87" t="str">
            <v>ЧУДНОВА ТАТЬЯНА ПЕТРОВНА ИП</v>
          </cell>
          <cell r="B87">
            <v>34</v>
          </cell>
          <cell r="C87" t="str">
            <v>22.01.2025</v>
          </cell>
          <cell r="D87" t="str">
            <v>Реализация (акты, накладные, УПД)</v>
          </cell>
          <cell r="E87" t="str">
            <v>65</v>
          </cell>
          <cell r="F87">
            <v>8160</v>
          </cell>
          <cell r="G87">
            <v>7771.4285714285706</v>
          </cell>
        </row>
        <row r="88">
          <cell r="A88" t="str">
            <v>ЭВОКОМ ООО</v>
          </cell>
          <cell r="B88">
            <v>66</v>
          </cell>
          <cell r="C88" t="str">
            <v>31.01.2025</v>
          </cell>
          <cell r="D88" t="str">
            <v>Реализация (акты, накладные, УПД)</v>
          </cell>
          <cell r="E88" t="str">
            <v>31</v>
          </cell>
          <cell r="F88">
            <v>40530</v>
          </cell>
          <cell r="G88">
            <v>38600</v>
          </cell>
        </row>
        <row r="89">
          <cell r="A89" t="str">
            <v>ЭЛНЕТМЕД Р/С 40702810032060009041 ООО</v>
          </cell>
          <cell r="B89">
            <v>22</v>
          </cell>
          <cell r="C89" t="str">
            <v>14.01.2025</v>
          </cell>
          <cell r="D89" t="str">
            <v>Реализация (акты, накладные, УПД)</v>
          </cell>
          <cell r="E89" t="str">
            <v>56</v>
          </cell>
          <cell r="F89">
            <v>9600</v>
          </cell>
          <cell r="G89">
            <v>9142.8571428571431</v>
          </cell>
        </row>
        <row r="90">
          <cell r="A90" t="str">
            <v>ЭСПЕРАНС ООО</v>
          </cell>
          <cell r="B90">
            <v>45</v>
          </cell>
          <cell r="C90" t="str">
            <v>29.01.2025</v>
          </cell>
          <cell r="D90" t="str">
            <v>Реализация (акты, накладные, УПД)</v>
          </cell>
          <cell r="E90" t="str">
            <v>23</v>
          </cell>
          <cell r="F90">
            <v>13724.55</v>
          </cell>
          <cell r="G90">
            <v>13070.999999999998</v>
          </cell>
        </row>
        <row r="91">
          <cell r="A91" t="str">
            <v>ЭТНЕ ООО</v>
          </cell>
          <cell r="B91">
            <v>82</v>
          </cell>
          <cell r="C91" t="str">
            <v>31.01.2025</v>
          </cell>
          <cell r="D91" t="str">
            <v>Реализация (акты, накладные, УПД)</v>
          </cell>
          <cell r="E91" t="str">
            <v>104</v>
          </cell>
          <cell r="F91">
            <v>61110</v>
          </cell>
          <cell r="G91">
            <v>58200</v>
          </cell>
        </row>
        <row r="92">
          <cell r="A92" t="str">
            <v>ЮМАНИ ООО НКО</v>
          </cell>
          <cell r="B92">
            <v>23</v>
          </cell>
          <cell r="C92" t="str">
            <v>14.01.2025</v>
          </cell>
          <cell r="D92" t="str">
            <v>Реализация (акты, накладные, УПД)</v>
          </cell>
          <cell r="E92" t="str">
            <v>7</v>
          </cell>
          <cell r="F92">
            <v>1447.5</v>
          </cell>
          <cell r="G92">
            <v>1378.5714285714284</v>
          </cell>
        </row>
        <row r="93">
          <cell r="A93" t="str">
            <v>Юнипрайс ООО</v>
          </cell>
          <cell r="B93">
            <v>21</v>
          </cell>
          <cell r="C93" t="str">
            <v>14.01.2025</v>
          </cell>
          <cell r="D93" t="str">
            <v>Реализация (акты, накладные, УПД)</v>
          </cell>
          <cell r="E93" t="str">
            <v>55</v>
          </cell>
          <cell r="F93">
            <v>4000</v>
          </cell>
          <cell r="G93">
            <v>3809.5238095238092</v>
          </cell>
        </row>
        <row r="94">
          <cell r="A94" t="str">
            <v>RDE</v>
          </cell>
          <cell r="B94">
            <v>15</v>
          </cell>
          <cell r="C94" t="str">
            <v>13.01.2025</v>
          </cell>
          <cell r="D94" t="str">
            <v>Реализация (акты, накладные, УПД)</v>
          </cell>
          <cell r="E94" t="str">
            <v>3</v>
          </cell>
          <cell r="F94">
            <v>1525323.13</v>
          </cell>
          <cell r="G94">
            <v>1452688.695238095</v>
          </cell>
        </row>
        <row r="95">
          <cell r="A95" t="str">
            <v>ЮНИСЕНДЕР СМАРТ ООО</v>
          </cell>
          <cell r="B95">
            <v>98</v>
          </cell>
          <cell r="C95" t="str">
            <v>31.01.2025</v>
          </cell>
          <cell r="D95" t="str">
            <v>Реализация (акты, накладные, УПД)</v>
          </cell>
          <cell r="E95" t="str">
            <v>97</v>
          </cell>
          <cell r="F95">
            <v>18375.2</v>
          </cell>
          <cell r="G95">
            <v>17500.190476190477</v>
          </cell>
        </row>
        <row r="96">
          <cell r="A96" t="str">
            <v>ЯНДЕКС МУЗЫКА ООО</v>
          </cell>
          <cell r="B96">
            <v>96</v>
          </cell>
          <cell r="C96" t="str">
            <v>31.01.2025</v>
          </cell>
          <cell r="D96" t="str">
            <v>Реализация (акты, накладные, УПД)</v>
          </cell>
          <cell r="E96" t="str">
            <v>95</v>
          </cell>
          <cell r="F96">
            <v>57225</v>
          </cell>
          <cell r="G96">
            <v>54500</v>
          </cell>
        </row>
        <row r="97">
          <cell r="B97" t="str">
            <v>Итого</v>
          </cell>
          <cell r="F97">
            <v>9311959.4899999984</v>
          </cell>
          <cell r="G97">
            <v>8868532.8476190474</v>
          </cell>
        </row>
        <row r="98">
          <cell r="G98">
            <v>254429</v>
          </cell>
        </row>
        <row r="99">
          <cell r="G99">
            <v>116703.67</v>
          </cell>
        </row>
        <row r="100">
          <cell r="G100">
            <v>9239665.5176190473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_1"/>
    </sheetNames>
    <sheetDataSet>
      <sheetData sheetId="0">
        <row r="4">
          <cell r="A4" t="str">
            <v>Информация</v>
          </cell>
          <cell r="B4" t="str">
            <v>Сумма</v>
          </cell>
        </row>
        <row r="5">
          <cell r="A5" t="str">
            <v>1-Й КРАСНОГВАРДЕЙСКИЙ ООО СЗ</v>
          </cell>
          <cell r="B5">
            <v>21630</v>
          </cell>
          <cell r="C5">
            <v>20600</v>
          </cell>
        </row>
        <row r="6">
          <cell r="A6" t="str">
            <v>АЙТИБ ООО</v>
          </cell>
          <cell r="B6">
            <v>97926.15</v>
          </cell>
          <cell r="C6">
            <v>93262.999999999985</v>
          </cell>
        </row>
        <row r="7">
          <cell r="A7" t="str">
            <v>АО ЦВ ПРОТЕК</v>
          </cell>
          <cell r="B7">
            <v>229999.35</v>
          </cell>
          <cell r="C7">
            <v>219047</v>
          </cell>
        </row>
        <row r="8">
          <cell r="A8" t="str">
            <v>Арентов Артём Вячеславович ИП</v>
          </cell>
          <cell r="B8">
            <v>1575</v>
          </cell>
          <cell r="C8">
            <v>1500</v>
          </cell>
        </row>
        <row r="9">
          <cell r="A9" t="str">
            <v>АРТИС 21 ООО</v>
          </cell>
          <cell r="B9">
            <v>115867.5</v>
          </cell>
          <cell r="C9">
            <v>110350</v>
          </cell>
        </row>
        <row r="10">
          <cell r="A10" t="str">
            <v>БЛОЧНЫЙ РЕДАКТОР ООО</v>
          </cell>
          <cell r="B10">
            <v>42045.77</v>
          </cell>
          <cell r="C10">
            <v>40043.590476190475</v>
          </cell>
        </row>
        <row r="11">
          <cell r="A11" t="str">
            <v>БОРИСХОФ ХОЛДИНГ ООО</v>
          </cell>
          <cell r="B11">
            <v>39900</v>
          </cell>
          <cell r="C11">
            <v>38000</v>
          </cell>
        </row>
        <row r="12">
          <cell r="A12" t="str">
            <v>БРОНИРОВАНИЕ ГОСТИНИЦ ООО</v>
          </cell>
          <cell r="B12">
            <v>267708</v>
          </cell>
          <cell r="C12">
            <v>254960</v>
          </cell>
        </row>
        <row r="13">
          <cell r="A13" t="str">
            <v>БУРГЕР РУС ООО</v>
          </cell>
          <cell r="B13">
            <v>189525</v>
          </cell>
          <cell r="C13">
            <v>180500</v>
          </cell>
        </row>
        <row r="14">
          <cell r="A14" t="str">
            <v>ВОСТОК-СЕРВИС-СПЕЦКОМПЛЕКТ АО</v>
          </cell>
          <cell r="B14">
            <v>33600</v>
          </cell>
          <cell r="C14">
            <v>32000</v>
          </cell>
        </row>
        <row r="15">
          <cell r="A15" t="str">
            <v>ГОРОДСКОЙ СУПЕРМАРКЕТ ООО</v>
          </cell>
          <cell r="B15">
            <v>177607.5</v>
          </cell>
          <cell r="C15">
            <v>169150</v>
          </cell>
        </row>
        <row r="16">
          <cell r="A16" t="str">
            <v>ГУЛЛИВЕР ОНЛАЙН ООО</v>
          </cell>
          <cell r="B16">
            <v>8400</v>
          </cell>
          <cell r="C16">
            <v>8000</v>
          </cell>
        </row>
        <row r="17">
          <cell r="A17" t="str">
            <v>ДЖ.Т.И. РОССИЯ ООО</v>
          </cell>
          <cell r="B17">
            <v>488573.4</v>
          </cell>
          <cell r="C17">
            <v>465308</v>
          </cell>
        </row>
        <row r="18">
          <cell r="A18" t="str">
            <v>ДЗЕН.ПЛАТФОРМА ООО</v>
          </cell>
          <cell r="B18">
            <v>6443.85</v>
          </cell>
          <cell r="C18">
            <v>6137</v>
          </cell>
        </row>
        <row r="19">
          <cell r="A19" t="str">
            <v>ДОНОР-СЁРЧ (ПОИСК ДОНОРОВ) АНО</v>
          </cell>
          <cell r="B19">
            <v>40000</v>
          </cell>
          <cell r="C19">
            <v>38095.238095238092</v>
          </cell>
        </row>
        <row r="20">
          <cell r="A20" t="str">
            <v>ИМПУЛЬС ООО</v>
          </cell>
          <cell r="B20">
            <v>311703</v>
          </cell>
          <cell r="C20">
            <v>296860</v>
          </cell>
        </row>
        <row r="21">
          <cell r="A21" t="str">
            <v>ИНСТАМАРТ СЕРВИС ООО</v>
          </cell>
          <cell r="B21">
            <v>21840</v>
          </cell>
          <cell r="C21">
            <v>20800</v>
          </cell>
        </row>
        <row r="22">
          <cell r="A22" t="str">
            <v>ИНФОРМАЦИОННОЕ АГЕНТСТВО ИНТЕРФАКС АО</v>
          </cell>
          <cell r="B22">
            <v>236823.56</v>
          </cell>
          <cell r="C22">
            <v>225546.24761904762</v>
          </cell>
        </row>
        <row r="23">
          <cell r="A23" t="str">
            <v>КАЗАНЬ РЕАЛ ЭСТЕЙТ ООО</v>
          </cell>
          <cell r="B23">
            <v>858033.77</v>
          </cell>
          <cell r="C23">
            <v>817175.01904761908</v>
          </cell>
        </row>
        <row r="24">
          <cell r="A24" t="str">
            <v>КАПИТАЛ ГРУП ООО</v>
          </cell>
          <cell r="B24">
            <v>123060</v>
          </cell>
          <cell r="C24">
            <v>117200</v>
          </cell>
        </row>
        <row r="25">
          <cell r="A25" t="str">
            <v>КАРШЕРИНГ РУССИЯ ПАО</v>
          </cell>
          <cell r="B25">
            <v>56647.5</v>
          </cell>
          <cell r="C25">
            <v>53950</v>
          </cell>
        </row>
        <row r="26">
          <cell r="A26" t="str">
            <v>КИНЕТИКА ООО</v>
          </cell>
          <cell r="B26">
            <v>25383.75</v>
          </cell>
          <cell r="C26">
            <v>24175</v>
          </cell>
        </row>
        <row r="27">
          <cell r="A27" t="str">
            <v>КИНОПОИСК ООО</v>
          </cell>
          <cell r="B27">
            <v>328125</v>
          </cell>
          <cell r="C27">
            <v>312500</v>
          </cell>
        </row>
        <row r="28">
          <cell r="A28" t="str">
            <v>КОЛЕСА ДАРОМ.РУ ООО</v>
          </cell>
          <cell r="B28">
            <v>315000</v>
          </cell>
          <cell r="C28">
            <v>300000</v>
          </cell>
        </row>
        <row r="29">
          <cell r="A29" t="str">
            <v>КОЛЛТРЕКИНГ ООО</v>
          </cell>
          <cell r="B29">
            <v>13597.5</v>
          </cell>
          <cell r="C29">
            <v>12950</v>
          </cell>
        </row>
        <row r="30">
          <cell r="A30" t="str">
            <v>КОНДИТЕРСКАЯ ФАБРИКА ПОБЕДА ООО</v>
          </cell>
          <cell r="B30">
            <v>145976.25</v>
          </cell>
          <cell r="C30">
            <v>139025</v>
          </cell>
        </row>
        <row r="31">
          <cell r="A31" t="str">
            <v>КРАСНАЯ ПОЛЯНА НАО</v>
          </cell>
          <cell r="B31">
            <v>300804.62</v>
          </cell>
          <cell r="C31">
            <v>286480.59047619044</v>
          </cell>
        </row>
        <row r="32">
          <cell r="A32" t="str">
            <v>Л'ОРЕАЛЬ АО</v>
          </cell>
          <cell r="B32">
            <v>19447.2</v>
          </cell>
          <cell r="C32">
            <v>18521.142857142859</v>
          </cell>
        </row>
        <row r="33">
          <cell r="A33" t="str">
            <v>Лупейко Виктор Владимирович</v>
          </cell>
          <cell r="B33">
            <v>248010</v>
          </cell>
          <cell r="C33">
            <v>236200</v>
          </cell>
        </row>
        <row r="34">
          <cell r="A34" t="str">
            <v>Майндбокс ООО</v>
          </cell>
          <cell r="B34">
            <v>53321.09</v>
          </cell>
          <cell r="C34">
            <v>50781.990476190469</v>
          </cell>
        </row>
        <row r="35">
          <cell r="A35" t="str">
            <v>МАРС ООО</v>
          </cell>
          <cell r="B35">
            <v>196980</v>
          </cell>
          <cell r="C35">
            <v>187600</v>
          </cell>
        </row>
        <row r="36">
          <cell r="A36" t="str">
            <v>МАРС ООО</v>
          </cell>
          <cell r="B36">
            <v>1011150</v>
          </cell>
          <cell r="C36">
            <v>963000</v>
          </cell>
        </row>
        <row r="37">
          <cell r="A37" t="str">
            <v>МОБИЛЬНАЯ КАРТА ООО НКО</v>
          </cell>
          <cell r="B37">
            <v>109127.56</v>
          </cell>
          <cell r="C37">
            <v>103931.00952380952</v>
          </cell>
        </row>
        <row r="38">
          <cell r="A38" t="str">
            <v>НОВАРТИС ФАРМА ООО</v>
          </cell>
          <cell r="B38">
            <v>43365</v>
          </cell>
          <cell r="C38">
            <v>41300</v>
          </cell>
        </row>
        <row r="39">
          <cell r="A39" t="str">
            <v>ООО «ДЖИЭФЭН КЛАУД ИНТЕРНЕТ СЕРВИСИС»</v>
          </cell>
          <cell r="B39">
            <v>86016</v>
          </cell>
          <cell r="C39">
            <v>81920</v>
          </cell>
        </row>
        <row r="40">
          <cell r="A40" t="str">
            <v>ПЕТРОВАКС ФАРМ ООО</v>
          </cell>
          <cell r="B40">
            <v>489142.5</v>
          </cell>
          <cell r="C40">
            <v>465850</v>
          </cell>
        </row>
        <row r="41">
          <cell r="A41" t="str">
            <v>ПРЕМИУМ ЭСТЕЙТ ООО</v>
          </cell>
          <cell r="B41">
            <v>615518.5</v>
          </cell>
          <cell r="C41">
            <v>586208.09523809527</v>
          </cell>
        </row>
        <row r="42">
          <cell r="A42" t="str">
            <v>РОКВУЛ ООО</v>
          </cell>
          <cell r="B42">
            <v>200115.3</v>
          </cell>
          <cell r="C42">
            <v>190585.99999999997</v>
          </cell>
        </row>
        <row r="43">
          <cell r="A43" t="str">
            <v>РОСГОССТРАХ ПАО СК</v>
          </cell>
          <cell r="B43">
            <v>74250</v>
          </cell>
          <cell r="C43">
            <v>70714.28571428571</v>
          </cell>
        </row>
        <row r="44">
          <cell r="A44" t="str">
            <v>РУСКАН АО</v>
          </cell>
          <cell r="B44">
            <v>781095</v>
          </cell>
          <cell r="C44">
            <v>743900</v>
          </cell>
        </row>
        <row r="45">
          <cell r="A45" t="str">
            <v>РУТА АО</v>
          </cell>
          <cell r="B45">
            <v>147997.5</v>
          </cell>
          <cell r="C45">
            <v>140950</v>
          </cell>
        </row>
        <row r="46">
          <cell r="A46" t="str">
            <v>РЭКФОРК ООО</v>
          </cell>
          <cell r="B46">
            <v>153000</v>
          </cell>
          <cell r="C46">
            <v>145714.28571428571</v>
          </cell>
        </row>
        <row r="47">
          <cell r="A47" t="str">
            <v>САМОЛЕТ-ГОСТЕПРИИМСТВО ООО</v>
          </cell>
          <cell r="B47">
            <v>35910</v>
          </cell>
          <cell r="C47">
            <v>34200</v>
          </cell>
        </row>
        <row r="48">
          <cell r="A48" t="str">
            <v>САМОЛЕТ-НЕДВИЖИМОСТЬ МСК ООО</v>
          </cell>
          <cell r="B48">
            <v>10095.07</v>
          </cell>
          <cell r="C48">
            <v>9614.3523809523795</v>
          </cell>
        </row>
        <row r="49">
          <cell r="A49" t="str">
            <v>СЕРВЬЕ АО</v>
          </cell>
          <cell r="B49">
            <v>22050</v>
          </cell>
          <cell r="C49">
            <v>21000</v>
          </cell>
        </row>
        <row r="50">
          <cell r="A50" t="str">
            <v>СЗ БИЗНЕС ПАРК ОСТАНКИНО ООО</v>
          </cell>
          <cell r="B50">
            <v>21997.5</v>
          </cell>
          <cell r="C50">
            <v>20950</v>
          </cell>
        </row>
        <row r="51">
          <cell r="A51" t="str">
            <v>СЗ ЛАЙФ ПАВЕЛЕЦКАЯ АО</v>
          </cell>
          <cell r="B51">
            <v>47234.25</v>
          </cell>
          <cell r="C51">
            <v>44985</v>
          </cell>
        </row>
        <row r="52">
          <cell r="A52" t="str">
            <v>СЗ ПИОНЕР-1 ООО</v>
          </cell>
          <cell r="B52">
            <v>23730</v>
          </cell>
          <cell r="C52">
            <v>22600</v>
          </cell>
        </row>
        <row r="53">
          <cell r="A53" t="str">
            <v>СЗ ШИФТ ООО</v>
          </cell>
          <cell r="B53">
            <v>29823.15</v>
          </cell>
          <cell r="C53">
            <v>28403</v>
          </cell>
        </row>
        <row r="54">
          <cell r="A54" t="str">
            <v>СРП ГРУПП ООО</v>
          </cell>
          <cell r="B54">
            <v>115267.95</v>
          </cell>
          <cell r="C54">
            <v>109778.99999999999</v>
          </cell>
        </row>
        <row r="55">
          <cell r="A55" t="str">
            <v>ТЕХНОНИКОЛЬ-СТРОИТЕЛЬНЫЕ СИСТЕМЫ ООО</v>
          </cell>
          <cell r="B55">
            <v>170362.5</v>
          </cell>
          <cell r="C55">
            <v>162250</v>
          </cell>
        </row>
        <row r="56">
          <cell r="A56" t="str">
            <v>ФГБУК "Государственный академический Большой театр России"</v>
          </cell>
          <cell r="B56">
            <v>22141</v>
          </cell>
          <cell r="C56">
            <v>21086.666666666664</v>
          </cell>
        </row>
        <row r="57">
          <cell r="A57" t="str">
            <v>ХАНТФЛОУ ООО</v>
          </cell>
          <cell r="B57">
            <v>6825</v>
          </cell>
          <cell r="C57">
            <v>6500</v>
          </cell>
        </row>
        <row r="58">
          <cell r="A58" t="str">
            <v>ХЕНДЭ МОТОР СНГ ООО</v>
          </cell>
          <cell r="B58">
            <v>44172.45</v>
          </cell>
          <cell r="C58">
            <v>42068.999999999993</v>
          </cell>
        </row>
        <row r="59">
          <cell r="A59" t="str">
            <v>ЭВОКОМ ООО</v>
          </cell>
          <cell r="B59">
            <v>139440</v>
          </cell>
          <cell r="C59">
            <v>132800</v>
          </cell>
        </row>
        <row r="60">
          <cell r="A60" t="str">
            <v>ЮМАК ООО</v>
          </cell>
          <cell r="B60">
            <v>96167.679999999993</v>
          </cell>
          <cell r="C60">
            <v>91588.266666666663</v>
          </cell>
        </row>
        <row r="61">
          <cell r="A61" t="str">
            <v>ЮНИСЕНДЕР СМАРТ ООО</v>
          </cell>
          <cell r="B61">
            <v>440656.59</v>
          </cell>
          <cell r="C61">
            <v>419672.94285714289</v>
          </cell>
        </row>
        <row r="62">
          <cell r="A62" t="str">
            <v>ЯНДЕКС МУЗЫКА ООО</v>
          </cell>
          <cell r="B62">
            <v>177240</v>
          </cell>
          <cell r="C62">
            <v>168800</v>
          </cell>
        </row>
        <row r="63">
          <cell r="B63">
            <v>10129445.259999998</v>
          </cell>
          <cell r="C63">
            <v>9647090.7238095235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_1"/>
    </sheetNames>
    <sheetDataSet>
      <sheetData sheetId="0">
        <row r="5">
          <cell r="A5" t="str">
            <v>1-Й КРАСНОГВАРДЕЙСКИЙ ООО СЗ</v>
          </cell>
          <cell r="B5">
            <v>21630</v>
          </cell>
          <cell r="C5">
            <v>1030</v>
          </cell>
          <cell r="D5">
            <v>20600</v>
          </cell>
          <cell r="E5" t="str">
            <v>руб.</v>
          </cell>
          <cell r="F5" t="str">
            <v>Евгения Третьякова</v>
          </cell>
        </row>
        <row r="6">
          <cell r="A6" t="str">
            <v>АЙТИБ ООО</v>
          </cell>
          <cell r="B6">
            <v>130252.5</v>
          </cell>
          <cell r="C6">
            <v>6202.5</v>
          </cell>
          <cell r="D6">
            <v>124050</v>
          </cell>
          <cell r="E6" t="str">
            <v>руб.</v>
          </cell>
          <cell r="F6" t="str">
            <v>Мулаева Анастасия Олеговна</v>
          </cell>
        </row>
        <row r="7">
          <cell r="A7" t="str">
            <v>АО ЦВ ПРОТЕК</v>
          </cell>
          <cell r="B7">
            <v>231161.7</v>
          </cell>
          <cell r="C7">
            <v>11007.700000000012</v>
          </cell>
          <cell r="D7">
            <v>220154</v>
          </cell>
          <cell r="E7" t="str">
            <v>руб.</v>
          </cell>
          <cell r="F7" t="str">
            <v>Мулаева Анастасия Олеговна</v>
          </cell>
        </row>
        <row r="8">
          <cell r="A8" t="str">
            <v>Арентов Артём Вячеславович ИП</v>
          </cell>
          <cell r="B8">
            <v>1575</v>
          </cell>
          <cell r="C8">
            <v>75</v>
          </cell>
          <cell r="D8">
            <v>1500</v>
          </cell>
          <cell r="E8" t="str">
            <v>руб.</v>
          </cell>
          <cell r="F8" t="str">
            <v>Мулаева Анастасия Олеговна</v>
          </cell>
        </row>
        <row r="9">
          <cell r="A9" t="str">
            <v>БЛОЧНЫЙ РЕДАКТОР ООО</v>
          </cell>
          <cell r="B9">
            <v>42045.77</v>
          </cell>
          <cell r="C9">
            <v>2002.18</v>
          </cell>
          <cell r="E9" t="str">
            <v>руб.</v>
          </cell>
          <cell r="F9" t="str">
            <v>Мулаева Анастасия Олеговна</v>
          </cell>
        </row>
        <row r="10">
          <cell r="A10" t="str">
            <v>БОРИСХОФ ХОЛДИНГ ООО</v>
          </cell>
          <cell r="B10">
            <v>119889</v>
          </cell>
          <cell r="C10">
            <v>5709</v>
          </cell>
          <cell r="D10">
            <v>114180</v>
          </cell>
          <cell r="E10" t="str">
            <v>руб.</v>
          </cell>
          <cell r="F10" t="str">
            <v>Мулаева Анастасия Олеговна</v>
          </cell>
        </row>
        <row r="11">
          <cell r="A11" t="str">
            <v>БРОНИРОВАНИЕ ГОСТИНИЦ ООО</v>
          </cell>
          <cell r="B11">
            <v>287773.5</v>
          </cell>
          <cell r="C11">
            <v>13703.5</v>
          </cell>
          <cell r="D11">
            <v>274070</v>
          </cell>
          <cell r="E11" t="str">
            <v>руб.</v>
          </cell>
          <cell r="F11" t="str">
            <v>Мулаева Анастасия Олеговна</v>
          </cell>
        </row>
        <row r="12">
          <cell r="A12" t="str">
            <v>БУРГЕР РУС ООО</v>
          </cell>
          <cell r="B12">
            <v>246750</v>
          </cell>
          <cell r="C12">
            <v>11750</v>
          </cell>
          <cell r="D12">
            <v>235000</v>
          </cell>
          <cell r="E12" t="str">
            <v>руб.</v>
          </cell>
          <cell r="F12" t="str">
            <v>Мулаева Анастасия Олеговна</v>
          </cell>
        </row>
        <row r="13">
          <cell r="A13" t="str">
            <v>ВОСТОК-СЕРВИС-СПЕЦКОМПЛЕКТ АО</v>
          </cell>
          <cell r="B13">
            <v>29400</v>
          </cell>
          <cell r="C13">
            <v>1400</v>
          </cell>
          <cell r="D13">
            <v>28000</v>
          </cell>
          <cell r="E13" t="str">
            <v>руб.</v>
          </cell>
          <cell r="F13" t="str">
            <v>Мулаева Анастасия Олеговна</v>
          </cell>
        </row>
        <row r="14">
          <cell r="A14" t="str">
            <v>ГОРОДСКОЙ СУПЕРМАРКЕТ ООО</v>
          </cell>
          <cell r="B14">
            <v>73920</v>
          </cell>
          <cell r="C14">
            <v>3520</v>
          </cell>
          <cell r="D14">
            <v>70400</v>
          </cell>
          <cell r="E14" t="str">
            <v>руб.</v>
          </cell>
          <cell r="F14" t="str">
            <v>Мулаева Анастасия Олеговна</v>
          </cell>
        </row>
        <row r="15">
          <cell r="A15" t="str">
            <v>Государственный академический Большой театр России ФГБУК</v>
          </cell>
          <cell r="B15">
            <v>15815</v>
          </cell>
          <cell r="C15">
            <v>753.09523809523853</v>
          </cell>
          <cell r="D15">
            <v>15061.904761904761</v>
          </cell>
          <cell r="E15" t="str">
            <v>руб.</v>
          </cell>
          <cell r="F15" t="str">
            <v>Мулаева Анастасия Олеговна</v>
          </cell>
        </row>
        <row r="16">
          <cell r="A16" t="str">
            <v>ГУЛЛИВЕР ОНЛАЙН ООО</v>
          </cell>
          <cell r="B16">
            <v>16800</v>
          </cell>
          <cell r="C16">
            <v>800</v>
          </cell>
          <cell r="D16">
            <v>16000</v>
          </cell>
          <cell r="E16" t="str">
            <v>руб.</v>
          </cell>
          <cell r="F16" t="str">
            <v>Евгения Третьякова</v>
          </cell>
        </row>
        <row r="17">
          <cell r="A17" t="str">
            <v>ДЖ.Т.И. РОССИЯ ООО</v>
          </cell>
          <cell r="B17">
            <v>320909.40000000002</v>
          </cell>
          <cell r="C17">
            <v>15281.400000000023</v>
          </cell>
          <cell r="D17">
            <v>305628</v>
          </cell>
          <cell r="E17" t="str">
            <v>руб.</v>
          </cell>
          <cell r="F17" t="str">
            <v>Мулаева Анастасия Олеговна</v>
          </cell>
        </row>
        <row r="18">
          <cell r="A18" t="str">
            <v>ДЖИЭФЭН КЛАУД ИНТЕРНЕТ СЕРВИСИС ООО</v>
          </cell>
          <cell r="B18">
            <v>14280</v>
          </cell>
          <cell r="C18">
            <v>680</v>
          </cell>
          <cell r="D18">
            <v>13600</v>
          </cell>
          <cell r="E18" t="str">
            <v>руб.</v>
          </cell>
          <cell r="F18" t="str">
            <v>Мулаева Анастасия Олеговна</v>
          </cell>
        </row>
        <row r="19">
          <cell r="A19" t="str">
            <v>ДЗЕН.ПЛАТФОРМА ООО</v>
          </cell>
          <cell r="B19">
            <v>12887.7</v>
          </cell>
          <cell r="C19">
            <v>613.70000000000073</v>
          </cell>
          <cell r="D19">
            <v>12274</v>
          </cell>
          <cell r="E19" t="str">
            <v>руб.</v>
          </cell>
          <cell r="F19" t="str">
            <v>Мулаева Анастасия Олеговна</v>
          </cell>
        </row>
        <row r="20">
          <cell r="A20" t="str">
            <v>ДОНОР-СЁРЧ (ПОИСК ДОНОРОВ) АНО</v>
          </cell>
          <cell r="B20">
            <v>40000</v>
          </cell>
          <cell r="C20">
            <v>1904.7619047619082</v>
          </cell>
          <cell r="D20">
            <v>38095.238095238092</v>
          </cell>
          <cell r="E20" t="str">
            <v>руб.</v>
          </cell>
          <cell r="F20" t="str">
            <v>Мулаева Анастасия Олеговна</v>
          </cell>
        </row>
        <row r="21">
          <cell r="A21" t="str">
            <v>ИМПУЛЬС ООО</v>
          </cell>
          <cell r="B21">
            <v>243579</v>
          </cell>
          <cell r="C21">
            <v>11599</v>
          </cell>
          <cell r="D21">
            <v>231980</v>
          </cell>
          <cell r="E21" t="str">
            <v>руб.</v>
          </cell>
          <cell r="F21" t="str">
            <v>Мулаева Анастасия Олеговна</v>
          </cell>
        </row>
        <row r="22">
          <cell r="A22" t="str">
            <v>ИНТЕРФАКС АО</v>
          </cell>
          <cell r="B22">
            <v>190681.1</v>
          </cell>
          <cell r="C22">
            <v>9080.052380952402</v>
          </cell>
          <cell r="D22">
            <v>181601.0476190476</v>
          </cell>
          <cell r="E22" t="str">
            <v>руб.</v>
          </cell>
          <cell r="F22" t="str">
            <v>Евгения Третьякова</v>
          </cell>
        </row>
        <row r="23">
          <cell r="A23" t="str">
            <v>КАЗАНЬ РЕАЛ ЭСТЕЙТ ООО</v>
          </cell>
          <cell r="B23">
            <v>1061093.26</v>
          </cell>
          <cell r="C23">
            <v>50528.250476190471</v>
          </cell>
          <cell r="D23">
            <v>1010565.0095238095</v>
          </cell>
          <cell r="E23" t="str">
            <v>руб.</v>
          </cell>
          <cell r="F23" t="str">
            <v>Мулаева Анастасия Олеговна</v>
          </cell>
        </row>
        <row r="24">
          <cell r="A24" t="str">
            <v>КАПИТАЛ ГРУП ООО</v>
          </cell>
          <cell r="B24">
            <v>152722.5</v>
          </cell>
          <cell r="C24">
            <v>7272.5</v>
          </cell>
          <cell r="D24">
            <v>145450</v>
          </cell>
          <cell r="E24" t="str">
            <v>руб.</v>
          </cell>
          <cell r="F24" t="str">
            <v>Евгения Третьякова</v>
          </cell>
        </row>
        <row r="25">
          <cell r="A25" t="str">
            <v>КАРШЕРИНГ РУССИЯ ПАО</v>
          </cell>
          <cell r="B25">
            <v>132693.75</v>
          </cell>
          <cell r="C25">
            <v>6318.75</v>
          </cell>
          <cell r="D25">
            <v>126375</v>
          </cell>
          <cell r="E25" t="str">
            <v>руб.</v>
          </cell>
          <cell r="F25" t="str">
            <v>Мулаева Анастасия Олеговна</v>
          </cell>
        </row>
        <row r="26">
          <cell r="A26" t="str">
            <v>КИНЕТИКА ООО</v>
          </cell>
          <cell r="B26">
            <v>23100</v>
          </cell>
          <cell r="C26">
            <v>1100</v>
          </cell>
          <cell r="D26">
            <v>22000</v>
          </cell>
          <cell r="E26" t="str">
            <v>руб.</v>
          </cell>
          <cell r="F26" t="str">
            <v>Евгения Третьякова</v>
          </cell>
        </row>
        <row r="27">
          <cell r="A27" t="str">
            <v>КИНОПОИСК ООО</v>
          </cell>
          <cell r="B27">
            <v>630630.84</v>
          </cell>
          <cell r="C27">
            <v>30030.040000000037</v>
          </cell>
          <cell r="D27">
            <v>600600.79999999993</v>
          </cell>
          <cell r="E27" t="str">
            <v>руб.</v>
          </cell>
          <cell r="F27" t="str">
            <v>Мулаева Анастасия Олеговна</v>
          </cell>
        </row>
        <row r="28">
          <cell r="A28" t="str">
            <v>КНАУФ ГИПС ООО</v>
          </cell>
          <cell r="B28">
            <v>55870.5</v>
          </cell>
          <cell r="C28">
            <v>2660.5</v>
          </cell>
          <cell r="D28">
            <v>53210</v>
          </cell>
          <cell r="E28" t="str">
            <v>руб.</v>
          </cell>
          <cell r="F28" t="str">
            <v>Мулаева Анастасия Олеговна</v>
          </cell>
        </row>
        <row r="29">
          <cell r="A29" t="str">
            <v>КОЛЕСА ДАРОМ.РУ ООО</v>
          </cell>
          <cell r="B29">
            <v>262080</v>
          </cell>
          <cell r="C29">
            <v>12480</v>
          </cell>
          <cell r="D29">
            <v>249600</v>
          </cell>
          <cell r="E29" t="str">
            <v>руб.</v>
          </cell>
          <cell r="F29" t="str">
            <v>Мулаева Анастасия Олеговна</v>
          </cell>
        </row>
        <row r="30">
          <cell r="A30" t="str">
            <v>КОНДИТЕРСКАЯ ФАБРИКА ПОБЕДА ООО</v>
          </cell>
          <cell r="B30">
            <v>122257.8</v>
          </cell>
          <cell r="C30">
            <v>5821.8000000000029</v>
          </cell>
          <cell r="D30">
            <v>116436</v>
          </cell>
          <cell r="E30" t="str">
            <v>руб.</v>
          </cell>
          <cell r="F30" t="str">
            <v>Мулаева Анастасия Олеговна</v>
          </cell>
        </row>
        <row r="31">
          <cell r="A31" t="str">
            <v>КРАСНАЯ ПОЛЯНА НАО</v>
          </cell>
          <cell r="B31">
            <v>148681.07</v>
          </cell>
          <cell r="C31">
            <v>7080.0509523809596</v>
          </cell>
          <cell r="D31">
            <v>141601.01904761905</v>
          </cell>
          <cell r="E31" t="str">
            <v>руб.</v>
          </cell>
          <cell r="F31" t="str">
            <v>Мулаева Анастасия Олеговна</v>
          </cell>
        </row>
        <row r="32">
          <cell r="A32" t="str">
            <v>Л'ОРЕАЛЬ АО</v>
          </cell>
          <cell r="B32">
            <v>25246.400000000001</v>
          </cell>
          <cell r="C32">
            <v>1202.2095238095244</v>
          </cell>
          <cell r="D32">
            <v>24044.190476190477</v>
          </cell>
          <cell r="E32" t="str">
            <v>руб.</v>
          </cell>
          <cell r="F32" t="str">
            <v>Евгения Третьякова</v>
          </cell>
        </row>
        <row r="33">
          <cell r="A33" t="str">
            <v>МАЙНДБОКС ООО</v>
          </cell>
          <cell r="B33">
            <v>44613.18</v>
          </cell>
          <cell r="C33">
            <v>2124.4371428571467</v>
          </cell>
          <cell r="D33">
            <v>42488.742857142854</v>
          </cell>
          <cell r="E33" t="str">
            <v>руб.</v>
          </cell>
          <cell r="F33" t="str">
            <v>Мулаева Анастасия Олеговна</v>
          </cell>
          <cell r="H33">
            <v>42488.742857142854</v>
          </cell>
        </row>
        <row r="34">
          <cell r="A34" t="str">
            <v>МАРС ООО</v>
          </cell>
          <cell r="B34">
            <v>286773.40000000002</v>
          </cell>
          <cell r="C34">
            <v>13655.876190476178</v>
          </cell>
          <cell r="D34">
            <v>273117.52380952385</v>
          </cell>
          <cell r="E34" t="str">
            <v>руб.</v>
          </cell>
          <cell r="F34" t="str">
            <v>Мулаева Анастасия Олеговна</v>
          </cell>
        </row>
        <row r="35">
          <cell r="A35" t="str">
            <v>МАРС ООО</v>
          </cell>
          <cell r="B35">
            <v>168525</v>
          </cell>
          <cell r="C35">
            <v>8025</v>
          </cell>
          <cell r="D35">
            <v>160500</v>
          </cell>
          <cell r="E35" t="str">
            <v>руб.</v>
          </cell>
          <cell r="F35" t="str">
            <v>Евгения Третьякова</v>
          </cell>
        </row>
        <row r="36">
          <cell r="A36" t="str">
            <v>НОВАРТИС ФАРМА ООО</v>
          </cell>
          <cell r="B36">
            <v>97982.33</v>
          </cell>
          <cell r="C36">
            <v>4665.8252380952472</v>
          </cell>
          <cell r="D36">
            <v>93316.504761904755</v>
          </cell>
          <cell r="E36" t="str">
            <v>руб.</v>
          </cell>
          <cell r="F36" t="str">
            <v>Мулаева Анастасия Олеговна</v>
          </cell>
        </row>
        <row r="37">
          <cell r="A37" t="str">
            <v>ПЕТРОВАКС ФАРМ ООО</v>
          </cell>
          <cell r="B37">
            <v>568680</v>
          </cell>
          <cell r="C37">
            <v>27080</v>
          </cell>
          <cell r="D37">
            <v>541600</v>
          </cell>
          <cell r="E37" t="str">
            <v>руб.</v>
          </cell>
          <cell r="F37" t="str">
            <v>Мулаева Анастасия Олеговна</v>
          </cell>
        </row>
        <row r="38">
          <cell r="A38" t="str">
            <v>ПРЕМИУМ ЭСТЕЙТ ООО</v>
          </cell>
          <cell r="B38">
            <v>579664</v>
          </cell>
          <cell r="C38">
            <v>27603.047619047691</v>
          </cell>
          <cell r="D38">
            <v>552060.95238095231</v>
          </cell>
          <cell r="E38" t="str">
            <v>руб.</v>
          </cell>
          <cell r="F38" t="str">
            <v>Мулаева Анастасия Олеговна</v>
          </cell>
        </row>
        <row r="39">
          <cell r="A39" t="str">
            <v>РОКВУЛ ООО</v>
          </cell>
          <cell r="B39">
            <v>65627.100000000006</v>
          </cell>
          <cell r="C39">
            <v>3125.1000000000058</v>
          </cell>
          <cell r="D39">
            <v>62502</v>
          </cell>
          <cell r="E39" t="str">
            <v>руб.</v>
          </cell>
          <cell r="F39" t="str">
            <v>Мулаева Анастасия Олеговна</v>
          </cell>
        </row>
        <row r="40">
          <cell r="A40" t="str">
            <v>РОСГОССТРАХ ПАО СК</v>
          </cell>
          <cell r="B40">
            <v>161700</v>
          </cell>
          <cell r="C40">
            <v>7700</v>
          </cell>
          <cell r="D40">
            <v>154000</v>
          </cell>
          <cell r="E40" t="str">
            <v>руб.</v>
          </cell>
          <cell r="F40" t="str">
            <v>Мулаева Анастасия Олеговна</v>
          </cell>
        </row>
        <row r="41">
          <cell r="A41" t="str">
            <v>РУТА АО</v>
          </cell>
          <cell r="B41">
            <v>68061</v>
          </cell>
          <cell r="C41">
            <v>3241</v>
          </cell>
          <cell r="D41">
            <v>64820</v>
          </cell>
          <cell r="E41" t="str">
            <v>руб.</v>
          </cell>
          <cell r="F41" t="str">
            <v>Евгения Третьякова</v>
          </cell>
        </row>
        <row r="42">
          <cell r="A42" t="str">
            <v>СЕРВЬЕ АО</v>
          </cell>
          <cell r="B42">
            <v>44100</v>
          </cell>
          <cell r="C42">
            <v>2100</v>
          </cell>
          <cell r="D42">
            <v>42000</v>
          </cell>
          <cell r="E42" t="str">
            <v>руб.</v>
          </cell>
          <cell r="F42" t="str">
            <v>Мулаева Анастасия Олеговна</v>
          </cell>
        </row>
        <row r="43">
          <cell r="A43" t="str">
            <v>СЗ БИЗНЕС ПАРК ОСТАНКИНО ООО</v>
          </cell>
          <cell r="B43">
            <v>21997.5</v>
          </cell>
          <cell r="C43">
            <v>1047.5</v>
          </cell>
          <cell r="D43">
            <v>20950</v>
          </cell>
          <cell r="E43" t="str">
            <v>руб.</v>
          </cell>
          <cell r="F43" t="str">
            <v>Мулаева Анастасия Олеговна</v>
          </cell>
        </row>
        <row r="44">
          <cell r="A44" t="str">
            <v>СЗ ЛАЙФ ПАВЕЛЕЦКАЯ АО</v>
          </cell>
          <cell r="B44">
            <v>43995</v>
          </cell>
          <cell r="C44">
            <v>2095</v>
          </cell>
          <cell r="D44">
            <v>41900</v>
          </cell>
          <cell r="E44" t="str">
            <v>руб.</v>
          </cell>
          <cell r="F44" t="str">
            <v>Мулаева Анастасия Олеговна</v>
          </cell>
        </row>
        <row r="45">
          <cell r="A45" t="str">
            <v>СЗ ПИОНЕР-1 ООО</v>
          </cell>
          <cell r="B45">
            <v>21997.5</v>
          </cell>
          <cell r="C45">
            <v>1047.5</v>
          </cell>
          <cell r="D45">
            <v>20950</v>
          </cell>
          <cell r="E45" t="str">
            <v>руб.</v>
          </cell>
          <cell r="F45" t="str">
            <v>Мулаева Анастасия Олеговна</v>
          </cell>
        </row>
        <row r="46">
          <cell r="A46" t="str">
            <v>СЗ ШИФТ ООО</v>
          </cell>
          <cell r="B46">
            <v>7428.75</v>
          </cell>
          <cell r="C46">
            <v>353.75</v>
          </cell>
          <cell r="D46">
            <v>7075</v>
          </cell>
          <cell r="E46" t="str">
            <v>руб.</v>
          </cell>
          <cell r="F46" t="str">
            <v>Мулаева Анастасия Олеговна</v>
          </cell>
        </row>
        <row r="47">
          <cell r="A47" t="str">
            <v>СРП ГРУПП ООО</v>
          </cell>
          <cell r="B47">
            <v>254735.16</v>
          </cell>
          <cell r="C47">
            <v>12130.245714285731</v>
          </cell>
          <cell r="D47">
            <v>242604.91428571427</v>
          </cell>
          <cell r="E47" t="str">
            <v>руб.</v>
          </cell>
          <cell r="F47" t="str">
            <v>Мулаева Анастасия Олеговна</v>
          </cell>
        </row>
        <row r="48">
          <cell r="A48" t="str">
            <v>ХЕНДЭ МОТОР СНГ ООО</v>
          </cell>
          <cell r="B48">
            <v>36298.5</v>
          </cell>
          <cell r="C48">
            <v>1728.5</v>
          </cell>
          <cell r="D48">
            <v>34570</v>
          </cell>
          <cell r="E48" t="str">
            <v>руб.</v>
          </cell>
          <cell r="F48" t="str">
            <v>Евгения Третьякова</v>
          </cell>
        </row>
        <row r="49">
          <cell r="A49" t="str">
            <v>ЦЕМЕНТУМ ЦЕНТР ООО</v>
          </cell>
          <cell r="B49">
            <v>222341.86</v>
          </cell>
          <cell r="C49">
            <v>10587.707619047636</v>
          </cell>
          <cell r="D49">
            <v>211754.15238095235</v>
          </cell>
          <cell r="E49" t="str">
            <v>руб.</v>
          </cell>
          <cell r="F49" t="str">
            <v>Мулаева Анастасия Олеговна</v>
          </cell>
        </row>
        <row r="50">
          <cell r="A50" t="str">
            <v>ЦЕНТР ПКС ООО</v>
          </cell>
          <cell r="B50">
            <v>39801.300000000003</v>
          </cell>
          <cell r="C50">
            <v>1895.3000000000029</v>
          </cell>
          <cell r="D50">
            <v>37906</v>
          </cell>
          <cell r="E50" t="str">
            <v>руб.</v>
          </cell>
          <cell r="F50" t="str">
            <v>Мулаева Анастасия Олеговна</v>
          </cell>
        </row>
        <row r="51">
          <cell r="A51" t="str">
            <v>ЭВОКОМ ООО</v>
          </cell>
          <cell r="B51">
            <v>235935</v>
          </cell>
          <cell r="C51">
            <v>11235</v>
          </cell>
          <cell r="D51">
            <v>224700</v>
          </cell>
          <cell r="E51" t="str">
            <v>руб.</v>
          </cell>
          <cell r="F51" t="str">
            <v>Мулаева Анастасия Олеговна</v>
          </cell>
        </row>
        <row r="52">
          <cell r="A52" t="str">
            <v>ЭСПЕРАНС ООО</v>
          </cell>
          <cell r="B52">
            <v>52395</v>
          </cell>
          <cell r="C52">
            <v>2495</v>
          </cell>
          <cell r="D52">
            <v>49900</v>
          </cell>
          <cell r="E52" t="str">
            <v>руб.</v>
          </cell>
          <cell r="F52" t="str">
            <v>Мулаева Анастасия Олеговна</v>
          </cell>
        </row>
        <row r="53">
          <cell r="A53" t="str">
            <v>ЮНИСЕНДЕР СМАРТ ООО</v>
          </cell>
          <cell r="B53">
            <v>540843.99</v>
          </cell>
          <cell r="C53">
            <v>25754.475714285742</v>
          </cell>
          <cell r="D53">
            <v>515089.51428571425</v>
          </cell>
          <cell r="E53" t="str">
            <v>руб.</v>
          </cell>
          <cell r="F53" t="str">
            <v>Аксенова Наталья</v>
          </cell>
        </row>
        <row r="54">
          <cell r="A54" t="str">
            <v>ЯНДЕКС МУЗЫКА ООО</v>
          </cell>
          <cell r="B54">
            <v>134400</v>
          </cell>
          <cell r="C54">
            <v>6400</v>
          </cell>
          <cell r="D54">
            <v>128000</v>
          </cell>
          <cell r="E54" t="str">
            <v>руб.</v>
          </cell>
          <cell r="F54" t="str">
            <v>Мулаева Анастасия Олеговна</v>
          </cell>
        </row>
        <row r="55">
          <cell r="B55">
            <v>8351621.3600000003</v>
          </cell>
          <cell r="C55">
            <v>397696.25571428594</v>
          </cell>
          <cell r="D55">
            <v>7913881.5142857144</v>
          </cell>
        </row>
        <row r="59">
          <cell r="H59">
            <v>151988.74285714285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_1"/>
    </sheetNames>
    <sheetDataSet>
      <sheetData sheetId="0">
        <row r="5">
          <cell r="A5" t="str">
            <v>1-Й КРАСНОГВАРДЕЙСКИЙ ООО СЗ</v>
          </cell>
          <cell r="B5">
            <v>21630</v>
          </cell>
          <cell r="C5">
            <v>20600</v>
          </cell>
          <cell r="D5">
            <v>1030</v>
          </cell>
        </row>
        <row r="6">
          <cell r="A6" t="str">
            <v>АГИМА ИНТЕРАКТИВ ООО</v>
          </cell>
          <cell r="B6">
            <v>1048591.1499999999</v>
          </cell>
          <cell r="C6">
            <v>998658.23809523799</v>
          </cell>
          <cell r="D6">
            <v>49932.911904761917</v>
          </cell>
        </row>
        <row r="7">
          <cell r="A7" t="str">
            <v>АЙТИБ ООО</v>
          </cell>
          <cell r="B7">
            <v>111489</v>
          </cell>
          <cell r="C7">
            <v>106180</v>
          </cell>
          <cell r="D7">
            <v>5309</v>
          </cell>
        </row>
        <row r="8">
          <cell r="A8" t="str">
            <v>Арентов Артём Вячеславович ИП</v>
          </cell>
          <cell r="B8">
            <v>1575</v>
          </cell>
          <cell r="C8">
            <v>1500</v>
          </cell>
          <cell r="D8">
            <v>75</v>
          </cell>
        </row>
        <row r="9">
          <cell r="A9" t="str">
            <v>АРТИС 21 ООО</v>
          </cell>
          <cell r="B9">
            <v>100065</v>
          </cell>
          <cell r="C9">
            <v>95300</v>
          </cell>
          <cell r="D9">
            <v>4765</v>
          </cell>
        </row>
        <row r="10">
          <cell r="A10" t="str">
            <v>Благочевский Павел Андреевич</v>
          </cell>
          <cell r="B10">
            <v>153904</v>
          </cell>
          <cell r="C10">
            <v>146575.23809523808</v>
          </cell>
          <cell r="D10">
            <v>7328.7619047619228</v>
          </cell>
        </row>
        <row r="11">
          <cell r="A11" t="str">
            <v>БЛОЧНЫЙ РЕДАКТОР ООО</v>
          </cell>
          <cell r="B11">
            <v>42045.77</v>
          </cell>
          <cell r="C11">
            <v>40043.590476190475</v>
          </cell>
          <cell r="D11">
            <v>2002.1795238095219</v>
          </cell>
        </row>
        <row r="12">
          <cell r="A12" t="str">
            <v>БОРИСХОФ ХОЛДИНГ ООО</v>
          </cell>
          <cell r="B12">
            <v>140070</v>
          </cell>
          <cell r="C12">
            <v>133400</v>
          </cell>
          <cell r="D12">
            <v>6670</v>
          </cell>
        </row>
        <row r="13">
          <cell r="A13" t="str">
            <v>БРОНИРОВАНИЕ ГОСТИНИЦ ООО</v>
          </cell>
          <cell r="B13">
            <v>26302.5</v>
          </cell>
          <cell r="C13">
            <v>25050</v>
          </cell>
          <cell r="D13">
            <v>1252.5</v>
          </cell>
        </row>
        <row r="14">
          <cell r="A14" t="str">
            <v>БУРГЕР РУС ООО</v>
          </cell>
          <cell r="B14">
            <v>249480</v>
          </cell>
          <cell r="C14">
            <v>237600</v>
          </cell>
          <cell r="D14">
            <v>11880</v>
          </cell>
        </row>
        <row r="15">
          <cell r="A15" t="str">
            <v>ВОСТОК-СЕРВИС-СПЕЦКОМПЛЕКТ АО</v>
          </cell>
          <cell r="B15">
            <v>33600</v>
          </cell>
          <cell r="C15">
            <v>32000</v>
          </cell>
          <cell r="D15">
            <v>1600</v>
          </cell>
        </row>
        <row r="16">
          <cell r="A16" t="str">
            <v>ГОРОДСКОЙ СУПЕРМАРКЕТ ООО</v>
          </cell>
          <cell r="B16">
            <v>71872.5</v>
          </cell>
          <cell r="C16">
            <v>68450</v>
          </cell>
          <cell r="D16">
            <v>3422.5</v>
          </cell>
        </row>
        <row r="17">
          <cell r="A17" t="str">
            <v>Государственный академический Большой театр России ФГБУК</v>
          </cell>
          <cell r="B17">
            <v>23722.5</v>
          </cell>
          <cell r="C17">
            <v>22592.857142857141</v>
          </cell>
          <cell r="D17">
            <v>1129.6428571428587</v>
          </cell>
        </row>
        <row r="18">
          <cell r="A18" t="str">
            <v>ДЖ.Т.И. РОССИЯ ООО</v>
          </cell>
          <cell r="B18">
            <v>465116.09</v>
          </cell>
          <cell r="C18">
            <v>442967.70476190478</v>
          </cell>
          <cell r="D18">
            <v>22148.385238095245</v>
          </cell>
        </row>
        <row r="19">
          <cell r="A19" t="str">
            <v>ДЖОНСОН &amp; ДЖОНСОН ООО</v>
          </cell>
          <cell r="B19">
            <v>971750</v>
          </cell>
          <cell r="C19">
            <v>925476.19047619042</v>
          </cell>
          <cell r="D19">
            <v>46273.809523809585</v>
          </cell>
        </row>
        <row r="20">
          <cell r="A20" t="str">
            <v>ДЗЕН.ПЛАТФОРМА ООО</v>
          </cell>
          <cell r="B20">
            <v>15836.1</v>
          </cell>
          <cell r="C20">
            <v>15082</v>
          </cell>
          <cell r="D20">
            <v>754.10000000000036</v>
          </cell>
        </row>
        <row r="21">
          <cell r="A21" t="str">
            <v>ДОНОР-СЁРЧ (ПОИСК ДОНОРОВ) АНО</v>
          </cell>
          <cell r="B21">
            <v>40000</v>
          </cell>
          <cell r="C21">
            <v>38095.238095238092</v>
          </cell>
          <cell r="D21">
            <v>1904.7619047619082</v>
          </cell>
        </row>
        <row r="22">
          <cell r="A22" t="str">
            <v>ИМПУЛЬС ООО</v>
          </cell>
          <cell r="B22">
            <v>60060</v>
          </cell>
          <cell r="C22">
            <v>57200</v>
          </cell>
          <cell r="D22">
            <v>2860</v>
          </cell>
        </row>
        <row r="23">
          <cell r="A23" t="str">
            <v>КАЗАНЬ РЕАЛ ЭСТЕЙТ ООО</v>
          </cell>
          <cell r="B23">
            <v>822066.01</v>
          </cell>
          <cell r="C23">
            <v>782920.00952380954</v>
          </cell>
          <cell r="D23">
            <v>39146.000476190471</v>
          </cell>
        </row>
        <row r="24">
          <cell r="A24" t="str">
            <v>КАПИТАЛ ГРУП ООО</v>
          </cell>
          <cell r="B24">
            <v>166790.39999999999</v>
          </cell>
          <cell r="C24">
            <v>158848</v>
          </cell>
          <cell r="D24">
            <v>7942.3999999999942</v>
          </cell>
        </row>
        <row r="25">
          <cell r="A25" t="str">
            <v>КАРШЕРИНГ РУССИЯ ПАО</v>
          </cell>
          <cell r="B25">
            <v>155925</v>
          </cell>
          <cell r="C25">
            <v>148500</v>
          </cell>
          <cell r="D25">
            <v>7425</v>
          </cell>
        </row>
        <row r="26">
          <cell r="A26" t="str">
            <v>КИНЕТИКА ООО</v>
          </cell>
          <cell r="B26">
            <v>20475</v>
          </cell>
          <cell r="C26">
            <v>19500</v>
          </cell>
          <cell r="D26">
            <v>975</v>
          </cell>
        </row>
        <row r="27">
          <cell r="A27" t="str">
            <v>КНАУФ ГИПС ООО</v>
          </cell>
          <cell r="B27">
            <v>105456.75</v>
          </cell>
          <cell r="C27">
            <v>100435</v>
          </cell>
          <cell r="D27">
            <v>5021.75</v>
          </cell>
        </row>
        <row r="28">
          <cell r="A28" t="str">
            <v>КОЛЕСА ДАРОМ.РУ ООО</v>
          </cell>
          <cell r="B28">
            <v>315000</v>
          </cell>
          <cell r="C28">
            <v>300000</v>
          </cell>
          <cell r="D28">
            <v>15000</v>
          </cell>
        </row>
        <row r="29">
          <cell r="A29" t="str">
            <v>КОЛЛТРЕКИНГ ООО</v>
          </cell>
          <cell r="B29">
            <v>39532.5</v>
          </cell>
          <cell r="C29">
            <v>37650</v>
          </cell>
          <cell r="D29">
            <v>1882.5</v>
          </cell>
        </row>
        <row r="30">
          <cell r="A30" t="str">
            <v>КОНДИТЕРСКАЯ ФАБРИКА ПОБЕДА ООО</v>
          </cell>
          <cell r="B30">
            <v>146084.4</v>
          </cell>
          <cell r="C30">
            <v>139128</v>
          </cell>
          <cell r="D30">
            <v>6956.3999999999942</v>
          </cell>
        </row>
        <row r="31">
          <cell r="A31" t="str">
            <v>КРАСНАЯ ПОЛЯНА НАО</v>
          </cell>
          <cell r="B31">
            <v>119744.75</v>
          </cell>
          <cell r="C31">
            <v>114042.61904761904</v>
          </cell>
          <cell r="D31">
            <v>5702.1309523809614</v>
          </cell>
        </row>
        <row r="32">
          <cell r="A32" t="str">
            <v>Л'ОРЕАЛЬ АО</v>
          </cell>
          <cell r="B32">
            <v>122945.16</v>
          </cell>
          <cell r="C32">
            <v>117090.62857142858</v>
          </cell>
          <cell r="D32">
            <v>5854.5314285714267</v>
          </cell>
        </row>
        <row r="33">
          <cell r="A33" t="str">
            <v>МАЙНДБОКС ООО</v>
          </cell>
          <cell r="B33">
            <v>40959.410000000003</v>
          </cell>
          <cell r="C33">
            <v>39008.961904761905</v>
          </cell>
          <cell r="D33">
            <v>1950.4480952380982</v>
          </cell>
        </row>
        <row r="34">
          <cell r="A34" t="str">
            <v>МАРС ООО</v>
          </cell>
          <cell r="B34">
            <v>227185.9</v>
          </cell>
          <cell r="C34">
            <v>216367.52380952379</v>
          </cell>
          <cell r="D34">
            <v>10818.376190476207</v>
          </cell>
        </row>
        <row r="35">
          <cell r="A35" t="str">
            <v>МАРС ООО</v>
          </cell>
          <cell r="B35">
            <v>134767.5</v>
          </cell>
          <cell r="C35">
            <v>128350</v>
          </cell>
          <cell r="D35">
            <v>6417.5</v>
          </cell>
        </row>
        <row r="36">
          <cell r="A36" t="str">
            <v>МАРС ООО</v>
          </cell>
          <cell r="B36">
            <v>582474.42000000004</v>
          </cell>
          <cell r="C36">
            <v>554737.54285714286</v>
          </cell>
          <cell r="D36">
            <v>27736.877142857178</v>
          </cell>
        </row>
        <row r="37">
          <cell r="A37" t="str">
            <v>МЕТРО КЭШ ЭНД КЕРРИ ООО</v>
          </cell>
          <cell r="B37">
            <v>76841.100000000006</v>
          </cell>
          <cell r="C37">
            <v>73182</v>
          </cell>
          <cell r="D37">
            <v>3659.1000000000058</v>
          </cell>
        </row>
        <row r="38">
          <cell r="A38" t="str">
            <v>НОВАРТИС ФАРМА ООО</v>
          </cell>
          <cell r="B38">
            <v>89449.5</v>
          </cell>
          <cell r="C38">
            <v>85190</v>
          </cell>
          <cell r="D38">
            <v>4259.5</v>
          </cell>
        </row>
        <row r="39">
          <cell r="A39" t="str">
            <v>Новикова Оксана Евгеньевна</v>
          </cell>
          <cell r="B39">
            <v>82259.100000000006</v>
          </cell>
          <cell r="C39">
            <v>78342</v>
          </cell>
          <cell r="D39">
            <v>3917.1000000000058</v>
          </cell>
        </row>
        <row r="40">
          <cell r="A40" t="str">
            <v>НПФ ГАЗФОНД ПЕНСИОННЫЕ НАКОПЛЕНИЯ АО</v>
          </cell>
          <cell r="B40">
            <v>34718.5</v>
          </cell>
          <cell r="C40">
            <v>33065.238095238092</v>
          </cell>
          <cell r="D40">
            <v>1653.2619047619082</v>
          </cell>
        </row>
        <row r="41">
          <cell r="A41" t="str">
            <v>ОНЛАЙНЕР ООО</v>
          </cell>
          <cell r="B41">
            <v>31500</v>
          </cell>
          <cell r="C41">
            <v>30000</v>
          </cell>
          <cell r="D41">
            <v>1500</v>
          </cell>
        </row>
        <row r="42">
          <cell r="A42" t="str">
            <v>ОРИФЛЭЙМ КОСМЕТИКС ООО</v>
          </cell>
          <cell r="B42">
            <v>462247.6</v>
          </cell>
          <cell r="C42">
            <v>440235.80952380947</v>
          </cell>
          <cell r="D42">
            <v>22011.790476190508</v>
          </cell>
        </row>
        <row r="43">
          <cell r="A43" t="str">
            <v>ПЕТРОВАКС ФАРМ ООО</v>
          </cell>
          <cell r="B43">
            <v>483124.95</v>
          </cell>
          <cell r="C43">
            <v>460119</v>
          </cell>
          <cell r="D43">
            <v>23005.950000000012</v>
          </cell>
        </row>
        <row r="44">
          <cell r="A44" t="str">
            <v>ПРЕМИУМ ЭСТЕЙТ ООО</v>
          </cell>
          <cell r="B44">
            <v>516997</v>
          </cell>
          <cell r="C44">
            <v>492378.09523809521</v>
          </cell>
          <cell r="D44">
            <v>24618.904761904792</v>
          </cell>
        </row>
        <row r="45">
          <cell r="A45" t="str">
            <v>РМК ООО</v>
          </cell>
          <cell r="B45">
            <v>84000</v>
          </cell>
          <cell r="C45">
            <v>80000</v>
          </cell>
          <cell r="D45">
            <v>4000</v>
          </cell>
        </row>
        <row r="46">
          <cell r="A46" t="str">
            <v>РОКВУЛ ООО</v>
          </cell>
          <cell r="B46">
            <v>83853</v>
          </cell>
          <cell r="C46">
            <v>79860</v>
          </cell>
          <cell r="D46">
            <v>3993</v>
          </cell>
        </row>
        <row r="47">
          <cell r="A47" t="str">
            <v>РОСГОССТРАХ ПАО СК</v>
          </cell>
          <cell r="B47">
            <v>56100</v>
          </cell>
          <cell r="C47">
            <v>53428.571428571428</v>
          </cell>
          <cell r="D47">
            <v>2671.4285714285725</v>
          </cell>
        </row>
        <row r="48">
          <cell r="A48" t="str">
            <v>РУСКАН АО</v>
          </cell>
          <cell r="B48">
            <v>709695</v>
          </cell>
          <cell r="C48">
            <v>675900</v>
          </cell>
          <cell r="D48">
            <v>33795</v>
          </cell>
        </row>
        <row r="49">
          <cell r="A49" t="str">
            <v>РУСКАН АО</v>
          </cell>
          <cell r="B49">
            <v>132300</v>
          </cell>
          <cell r="C49">
            <v>126000</v>
          </cell>
          <cell r="D49">
            <v>6300</v>
          </cell>
        </row>
        <row r="50">
          <cell r="A50" t="str">
            <v>РУТА АО</v>
          </cell>
          <cell r="B50">
            <v>8662.5</v>
          </cell>
          <cell r="C50">
            <v>8250</v>
          </cell>
          <cell r="D50">
            <v>412.5</v>
          </cell>
        </row>
        <row r="51">
          <cell r="A51" t="str">
            <v>САМОЛЕТ-ГОСТЕПРИИМСТВО ООО</v>
          </cell>
          <cell r="B51">
            <v>17955</v>
          </cell>
          <cell r="C51">
            <v>17100</v>
          </cell>
          <cell r="D51">
            <v>855</v>
          </cell>
        </row>
        <row r="52">
          <cell r="A52" t="str">
            <v>СЕРВЬЕ АО</v>
          </cell>
          <cell r="B52">
            <v>22050</v>
          </cell>
          <cell r="C52">
            <v>21000</v>
          </cell>
          <cell r="D52">
            <v>1050</v>
          </cell>
        </row>
        <row r="53">
          <cell r="A53" t="str">
            <v>СЗ ЛАЙФ ПАВЕЛЕЦКАЯ АО</v>
          </cell>
          <cell r="B53">
            <v>116952.15</v>
          </cell>
          <cell r="C53">
            <v>111382.99999999999</v>
          </cell>
          <cell r="D53">
            <v>5569.1500000000087</v>
          </cell>
        </row>
        <row r="54">
          <cell r="A54" t="str">
            <v>СЗ ПИОНЕР-1 ООО</v>
          </cell>
          <cell r="B54">
            <v>21997.5</v>
          </cell>
          <cell r="C54">
            <v>20950</v>
          </cell>
          <cell r="D54">
            <v>1047.5</v>
          </cell>
        </row>
        <row r="55">
          <cell r="A55" t="str">
            <v>СЗ ШИФТ ООО</v>
          </cell>
          <cell r="B55">
            <v>34264.65</v>
          </cell>
          <cell r="C55">
            <v>32633</v>
          </cell>
          <cell r="D55">
            <v>1631.6500000000015</v>
          </cell>
        </row>
        <row r="56">
          <cell r="A56" t="str">
            <v>ХАЛСА ООО</v>
          </cell>
          <cell r="B56">
            <v>149244</v>
          </cell>
          <cell r="C56">
            <v>142137.14285714284</v>
          </cell>
          <cell r="D56">
            <v>7106.8571428571595</v>
          </cell>
        </row>
        <row r="57">
          <cell r="A57" t="str">
            <v>ЦЕМЕНТУМ ЦЕНТР ООО</v>
          </cell>
          <cell r="B57">
            <v>165857.79</v>
          </cell>
          <cell r="C57">
            <v>157959.79999999999</v>
          </cell>
          <cell r="D57">
            <v>7897.9900000000198</v>
          </cell>
        </row>
        <row r="58">
          <cell r="A58" t="str">
            <v>ЭВОКОМ ООО</v>
          </cell>
          <cell r="B58">
            <v>145488</v>
          </cell>
          <cell r="C58">
            <v>138560</v>
          </cell>
          <cell r="D58">
            <v>6928</v>
          </cell>
        </row>
        <row r="59">
          <cell r="A59" t="str">
            <v>ЮНИСЕНДЕР СМАРТ ООО</v>
          </cell>
          <cell r="B59">
            <v>751066.01</v>
          </cell>
          <cell r="C59">
            <v>715300.96190476185</v>
          </cell>
          <cell r="D59">
            <v>35765.048095238162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_1"/>
    </sheetNames>
    <sheetDataSet>
      <sheetData sheetId="0">
        <row r="3">
          <cell r="A3" t="str">
            <v>1-Й КРАСНОГВАРДЕЙСКИЙ ООО СЗ</v>
          </cell>
          <cell r="B3">
            <v>21630</v>
          </cell>
          <cell r="C3">
            <v>20600</v>
          </cell>
        </row>
        <row r="4">
          <cell r="A4" t="str">
            <v>АГИМА ИНТЕРАКТИВ ООО</v>
          </cell>
          <cell r="B4">
            <v>215817</v>
          </cell>
          <cell r="C4">
            <v>205540</v>
          </cell>
        </row>
        <row r="5">
          <cell r="A5" t="str">
            <v>АЙТИБ ООО</v>
          </cell>
          <cell r="B5">
            <v>111489</v>
          </cell>
          <cell r="C5">
            <v>106180</v>
          </cell>
        </row>
        <row r="6">
          <cell r="A6" t="str">
            <v>АЛЬТПРОФ ООО</v>
          </cell>
          <cell r="B6">
            <v>52702.65</v>
          </cell>
          <cell r="C6">
            <v>50193</v>
          </cell>
        </row>
        <row r="7">
          <cell r="A7" t="str">
            <v>АО ЦВ ПРОТЕК</v>
          </cell>
          <cell r="B7">
            <v>360000</v>
          </cell>
          <cell r="C7">
            <v>342857.14285714284</v>
          </cell>
        </row>
        <row r="8">
          <cell r="A8" t="str">
            <v>Арентов Артём Вячеславович ИП</v>
          </cell>
          <cell r="B8">
            <v>1575</v>
          </cell>
          <cell r="C8">
            <v>1500</v>
          </cell>
        </row>
        <row r="9">
          <cell r="A9" t="str">
            <v>АРТИС 21 ООО</v>
          </cell>
          <cell r="B9">
            <v>41947.5</v>
          </cell>
          <cell r="C9">
            <v>39950</v>
          </cell>
        </row>
        <row r="10">
          <cell r="A10" t="str">
            <v>БЛОЧНЫЙ РЕДАКТОР ООО</v>
          </cell>
          <cell r="B10">
            <v>42045.77</v>
          </cell>
          <cell r="C10">
            <v>40043.590476190475</v>
          </cell>
        </row>
        <row r="11">
          <cell r="A11" t="str">
            <v>БОРИСХОФ ХОЛДИНГ ООО</v>
          </cell>
          <cell r="B11">
            <v>109368</v>
          </cell>
          <cell r="C11">
            <v>104160</v>
          </cell>
        </row>
        <row r="12">
          <cell r="A12" t="str">
            <v>БРОНИРОВАНИЕ ГОСТИНИЦ ООО</v>
          </cell>
          <cell r="B12">
            <v>22207.5</v>
          </cell>
          <cell r="C12">
            <v>21150</v>
          </cell>
        </row>
        <row r="13">
          <cell r="A13" t="str">
            <v>БУРГЕР РУС ООО</v>
          </cell>
          <cell r="B13">
            <v>245280</v>
          </cell>
          <cell r="C13">
            <v>233600</v>
          </cell>
        </row>
        <row r="14">
          <cell r="A14" t="str">
            <v>ГЕСС? СИАЙЭС ООО</v>
          </cell>
          <cell r="B14">
            <v>300000</v>
          </cell>
          <cell r="C14">
            <v>285714.28571428568</v>
          </cell>
        </row>
        <row r="15">
          <cell r="A15" t="str">
            <v>ГОРОДСКОЙ СУПЕРМАРКЕТ ООО</v>
          </cell>
          <cell r="B15">
            <v>38640</v>
          </cell>
          <cell r="C15">
            <v>36800</v>
          </cell>
        </row>
        <row r="16">
          <cell r="A16" t="str">
            <v>Государственный академический Большой театр России ФГБУК</v>
          </cell>
          <cell r="B16">
            <v>31630</v>
          </cell>
          <cell r="C16">
            <v>30123.809523809523</v>
          </cell>
        </row>
        <row r="17">
          <cell r="A17" t="str">
            <v>ДЖ.Т.И. РОССИЯ ООО</v>
          </cell>
          <cell r="B17">
            <v>453080.36</v>
          </cell>
          <cell r="C17">
            <v>431505.10476190475</v>
          </cell>
        </row>
        <row r="18">
          <cell r="A18" t="str">
            <v>ДЖОНСОН &amp; ДЖОНСОН ООО</v>
          </cell>
          <cell r="B18">
            <v>1068856.6399999999</v>
          </cell>
          <cell r="C18">
            <v>1017958.7047619047</v>
          </cell>
        </row>
        <row r="19">
          <cell r="A19" t="str">
            <v>ДОНОР-СЁРЧ (ПОИСК ДОНОРОВ) АНО</v>
          </cell>
          <cell r="B19">
            <v>40000</v>
          </cell>
          <cell r="C19">
            <v>38095.238095238092</v>
          </cell>
        </row>
        <row r="20">
          <cell r="A20" t="str">
            <v>ИНФОРМАЦИОННОЕ АГЕНТСТВО ИНТЕРФАКС АО</v>
          </cell>
          <cell r="B20">
            <v>37616.25</v>
          </cell>
          <cell r="C20">
            <v>35825</v>
          </cell>
        </row>
        <row r="21">
          <cell r="A21" t="str">
            <v>КАЗАНЬ РЕАЛ ЭСТЕЙТ ООО</v>
          </cell>
          <cell r="B21">
            <v>881695.51</v>
          </cell>
          <cell r="C21">
            <v>839710.00952380954</v>
          </cell>
        </row>
        <row r="22">
          <cell r="A22" t="str">
            <v>КАПИТАЛ ГРУП ООО</v>
          </cell>
          <cell r="B22">
            <v>98227.5</v>
          </cell>
          <cell r="C22">
            <v>93550</v>
          </cell>
        </row>
        <row r="23">
          <cell r="A23" t="str">
            <v>КАРШЕРИНГ РУССИЯ ПАО</v>
          </cell>
          <cell r="B23">
            <v>142695</v>
          </cell>
          <cell r="C23">
            <v>135900</v>
          </cell>
        </row>
        <row r="24">
          <cell r="A24" t="str">
            <v>КИНЕТИКА ООО</v>
          </cell>
          <cell r="B24">
            <v>9975</v>
          </cell>
          <cell r="C24">
            <v>9500</v>
          </cell>
        </row>
        <row r="25">
          <cell r="A25" t="str">
            <v>КНАУФ ГИПС ООО</v>
          </cell>
          <cell r="B25">
            <v>80628.45</v>
          </cell>
          <cell r="C25">
            <v>76789</v>
          </cell>
        </row>
        <row r="26">
          <cell r="A26" t="str">
            <v>КОЛЕСА ДАРОМ.РУ ООО</v>
          </cell>
          <cell r="B26">
            <v>315000</v>
          </cell>
          <cell r="C26">
            <v>300000</v>
          </cell>
        </row>
        <row r="27">
          <cell r="A27" t="str">
            <v>КОНДИТЕРСКАЯ ФАБРИКА ПОБЕДА ООО</v>
          </cell>
          <cell r="B27">
            <v>88347</v>
          </cell>
          <cell r="C27">
            <v>84140</v>
          </cell>
        </row>
        <row r="28">
          <cell r="A28" t="str">
            <v>КРАСНАЯ ПОЛЯНА НАО</v>
          </cell>
          <cell r="B28">
            <v>125714.53</v>
          </cell>
          <cell r="C28">
            <v>119728.12380952381</v>
          </cell>
        </row>
        <row r="29">
          <cell r="A29" t="str">
            <v>Л'ОРЕАЛЬ АО</v>
          </cell>
          <cell r="B29">
            <v>254596.61</v>
          </cell>
          <cell r="C29">
            <v>242472.96190476188</v>
          </cell>
        </row>
        <row r="30">
          <cell r="A30" t="str">
            <v>МАЙНДБОКС ООО</v>
          </cell>
          <cell r="B30">
            <v>41313.879999999997</v>
          </cell>
          <cell r="C30">
            <v>39346.55238095238</v>
          </cell>
        </row>
        <row r="31">
          <cell r="A31" t="str">
            <v>МАРС ООО</v>
          </cell>
          <cell r="B31">
            <v>220833.92000000001</v>
          </cell>
          <cell r="C31">
            <v>210318.01904761905</v>
          </cell>
        </row>
        <row r="32">
          <cell r="A32" t="str">
            <v>МАРС ООО</v>
          </cell>
          <cell r="B32">
            <v>552181.92000000004</v>
          </cell>
          <cell r="C32">
            <v>525887.54285714286</v>
          </cell>
        </row>
        <row r="33">
          <cell r="A33" t="str">
            <v>МАРС ООО</v>
          </cell>
          <cell r="B33">
            <v>226380</v>
          </cell>
          <cell r="C33">
            <v>215600</v>
          </cell>
        </row>
        <row r="34">
          <cell r="A34" t="str">
            <v>Мидиан ООО</v>
          </cell>
          <cell r="B34">
            <v>125875</v>
          </cell>
          <cell r="C34">
            <v>119880.95238095238</v>
          </cell>
        </row>
        <row r="35">
          <cell r="A35" t="str">
            <v>НОВАРТИС ФАРМА ООО</v>
          </cell>
          <cell r="B35">
            <v>92856.75</v>
          </cell>
          <cell r="C35">
            <v>88435</v>
          </cell>
        </row>
        <row r="36">
          <cell r="A36" t="str">
            <v>НПФ ГАЗФОНД ПЕНСИОННЫЕ НАКОПЛЕНИЯ АО</v>
          </cell>
          <cell r="B36">
            <v>47690.5</v>
          </cell>
          <cell r="C36">
            <v>45419.523809523809</v>
          </cell>
        </row>
        <row r="37">
          <cell r="A37" t="str">
            <v>ОРИФЛЭЙМ КОСМЕТИКС ООО</v>
          </cell>
          <cell r="B37">
            <v>664940.6</v>
          </cell>
          <cell r="C37">
            <v>633276.76190476189</v>
          </cell>
        </row>
        <row r="38">
          <cell r="A38" t="str">
            <v>ПЕТРОВАКС ФАРМ ООО</v>
          </cell>
          <cell r="B38">
            <v>609634.19999999995</v>
          </cell>
          <cell r="C38">
            <v>580603.99999999988</v>
          </cell>
        </row>
        <row r="39">
          <cell r="A39" t="str">
            <v>ПРЕМИУМ ЭСТЕЙТ ООО</v>
          </cell>
          <cell r="B39">
            <v>560440</v>
          </cell>
          <cell r="C39">
            <v>533752.38095238095</v>
          </cell>
        </row>
        <row r="40">
          <cell r="A40" t="str">
            <v>РОКВУЛ ООО</v>
          </cell>
          <cell r="B40">
            <v>113143.8</v>
          </cell>
          <cell r="C40">
            <v>107756</v>
          </cell>
        </row>
        <row r="41">
          <cell r="A41" t="str">
            <v>РОСГОССТРАХ ПАО СК</v>
          </cell>
          <cell r="B41">
            <v>6600</v>
          </cell>
          <cell r="C41">
            <v>6285.7142857142853</v>
          </cell>
        </row>
        <row r="42">
          <cell r="A42" t="str">
            <v>РУТА АО</v>
          </cell>
          <cell r="B42">
            <v>24129</v>
          </cell>
          <cell r="C42">
            <v>22980</v>
          </cell>
        </row>
        <row r="43">
          <cell r="A43" t="str">
            <v>СЗ ЛАЙФ ПАВЕЛЕЦКАЯ АО</v>
          </cell>
          <cell r="B43">
            <v>69539.399999999994</v>
          </cell>
          <cell r="C43">
            <v>66227.999999999985</v>
          </cell>
        </row>
        <row r="44">
          <cell r="A44" t="str">
            <v>СЗ ПИОНЕР-1 ООО</v>
          </cell>
          <cell r="B44">
            <v>27506.85</v>
          </cell>
          <cell r="C44">
            <v>26196.999999999996</v>
          </cell>
        </row>
        <row r="45">
          <cell r="A45" t="str">
            <v>СПОРТС.РУ ООО</v>
          </cell>
          <cell r="B45">
            <v>175000</v>
          </cell>
          <cell r="C45">
            <v>166666.66666666666</v>
          </cell>
        </row>
        <row r="46">
          <cell r="A46" t="str">
            <v>СРП ГРУПП ООО</v>
          </cell>
          <cell r="B46">
            <v>138502.04999999999</v>
          </cell>
          <cell r="C46">
            <v>131906.71428571426</v>
          </cell>
        </row>
        <row r="47">
          <cell r="A47" t="str">
            <v>ХАЛСА ООО</v>
          </cell>
          <cell r="B47">
            <v>105300</v>
          </cell>
          <cell r="C47">
            <v>100285.71428571428</v>
          </cell>
        </row>
        <row r="48">
          <cell r="A48" t="str">
            <v>ЦЕМЕНТУМ ЦЕНТР ООО</v>
          </cell>
          <cell r="B48">
            <v>131364.84</v>
          </cell>
          <cell r="C48">
            <v>125109.37142857142</v>
          </cell>
        </row>
        <row r="49">
          <cell r="A49" t="str">
            <v>ЭВОКОМ ООО</v>
          </cell>
          <cell r="B49">
            <v>145200</v>
          </cell>
          <cell r="C49">
            <v>138285.71428571429</v>
          </cell>
        </row>
        <row r="50">
          <cell r="A50" t="str">
            <v>ЮНИСЕНДЕР СМАРТ ООО</v>
          </cell>
          <cell r="B50">
            <v>547296.51</v>
          </cell>
          <cell r="C50">
            <v>521234.77142857143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_1"/>
    </sheetNames>
    <sheetDataSet>
      <sheetData sheetId="0">
        <row r="5">
          <cell r="C5" t="str">
            <v>ЮНИСЕНДЕР СМАРТ ООО</v>
          </cell>
          <cell r="D5">
            <v>496888.32000000001</v>
          </cell>
          <cell r="E5">
            <v>473226.97142857144</v>
          </cell>
        </row>
        <row r="6">
          <cell r="C6" t="str">
            <v>Арентов Артём Вячеславович ИП</v>
          </cell>
          <cell r="D6">
            <v>1575</v>
          </cell>
          <cell r="E6">
            <v>1500</v>
          </cell>
        </row>
        <row r="7">
          <cell r="C7" t="str">
            <v>ВОСТОК-СЕРВИС-СПЕЦКОМПЛЕКТ АО</v>
          </cell>
          <cell r="D7">
            <v>31500</v>
          </cell>
          <cell r="E7">
            <v>30000</v>
          </cell>
        </row>
        <row r="8">
          <cell r="C8" t="str">
            <v>Анциферов Денис Иванович</v>
          </cell>
          <cell r="D8">
            <v>141057</v>
          </cell>
          <cell r="E8">
            <v>134340</v>
          </cell>
        </row>
        <row r="9">
          <cell r="C9" t="str">
            <v>БОРИСХОФ ХОЛДИНГ ООО</v>
          </cell>
          <cell r="D9">
            <v>19665</v>
          </cell>
          <cell r="E9">
            <v>18728.571428571428</v>
          </cell>
        </row>
        <row r="10">
          <cell r="C10" t="str">
            <v>ГУЛЛИВЕР ОНЛАЙН ООО</v>
          </cell>
          <cell r="D10">
            <v>8399.99</v>
          </cell>
          <cell r="E10">
            <v>7999.9904761904754</v>
          </cell>
        </row>
        <row r="11">
          <cell r="C11" t="str">
            <v>РОКВУЛ ООО</v>
          </cell>
          <cell r="D11">
            <v>19635</v>
          </cell>
          <cell r="E11">
            <v>18700</v>
          </cell>
        </row>
        <row r="12">
          <cell r="C12" t="str">
            <v>МАЙНДБОКС ООО</v>
          </cell>
          <cell r="D12">
            <v>40109.360000000001</v>
          </cell>
          <cell r="E12">
            <v>38199.390476190478</v>
          </cell>
        </row>
        <row r="13">
          <cell r="C13" t="str">
            <v>ДЖОНСОН &amp; ДЖОНСОН ООО</v>
          </cell>
          <cell r="D13">
            <v>912950</v>
          </cell>
          <cell r="E13">
            <v>869476.19047619042</v>
          </cell>
        </row>
        <row r="14">
          <cell r="C14" t="str">
            <v>МАРС ООО</v>
          </cell>
          <cell r="D14">
            <v>155573.26999999999</v>
          </cell>
          <cell r="E14">
            <v>148165.01904761902</v>
          </cell>
        </row>
        <row r="15">
          <cell r="C15" t="str">
            <v>КАПИТАЛ ГРУП ООО</v>
          </cell>
          <cell r="D15">
            <v>197557.5</v>
          </cell>
          <cell r="E15">
            <v>188150</v>
          </cell>
        </row>
        <row r="16">
          <cell r="C16" t="str">
            <v>БАЛАНС - СПЕЦЗАСТРОЙЩИК АО</v>
          </cell>
          <cell r="D16">
            <v>30240</v>
          </cell>
          <cell r="E16">
            <v>28800</v>
          </cell>
        </row>
        <row r="17">
          <cell r="C17" t="str">
            <v>АЙТИБ ООО</v>
          </cell>
          <cell r="D17">
            <v>167779.5</v>
          </cell>
          <cell r="E17">
            <v>159790</v>
          </cell>
        </row>
        <row r="18">
          <cell r="C18" t="str">
            <v>КОЛЛТРЕКИНГ ООО</v>
          </cell>
          <cell r="D18">
            <v>71216.25</v>
          </cell>
          <cell r="E18">
            <v>67825</v>
          </cell>
        </row>
        <row r="19">
          <cell r="C19" t="str">
            <v>ДЖИЭФЭН КЛАУД ИНТЕРНЕТ СЕРВИСИС ООО</v>
          </cell>
          <cell r="D19">
            <v>26775</v>
          </cell>
          <cell r="E19">
            <v>25500</v>
          </cell>
        </row>
        <row r="20">
          <cell r="C20" t="str">
            <v>КРАСНАЯ ПОЛЯНА НАО</v>
          </cell>
          <cell r="D20">
            <v>125388.06</v>
          </cell>
          <cell r="E20">
            <v>119417.2</v>
          </cell>
        </row>
        <row r="21">
          <cell r="C21" t="str">
            <v>КОНДИТЕРСКАЯ ФАБРИКА ПОБЕДА ООО</v>
          </cell>
          <cell r="D21">
            <v>127729.35</v>
          </cell>
          <cell r="E21">
            <v>121647</v>
          </cell>
        </row>
        <row r="22">
          <cell r="C22" t="str">
            <v>ЭВОКОМ ООО</v>
          </cell>
          <cell r="D22">
            <v>107415</v>
          </cell>
          <cell r="E22">
            <v>102300</v>
          </cell>
        </row>
        <row r="23">
          <cell r="C23" t="str">
            <v>ХЕНДЭ МОТОР СНГ ООО</v>
          </cell>
          <cell r="D23">
            <v>44142</v>
          </cell>
          <cell r="E23">
            <v>42040</v>
          </cell>
        </row>
        <row r="24">
          <cell r="C24" t="str">
            <v>КОЛЕСА ДАРОМ.РУ ООО</v>
          </cell>
          <cell r="D24">
            <v>303240</v>
          </cell>
          <cell r="E24">
            <v>288800</v>
          </cell>
        </row>
        <row r="25">
          <cell r="C25" t="str">
            <v>КАРШЕРИНГ РУССИЯ ПАО</v>
          </cell>
          <cell r="D25">
            <v>133980</v>
          </cell>
          <cell r="E25">
            <v>127600</v>
          </cell>
        </row>
        <row r="26">
          <cell r="C26" t="str">
            <v>КАЗАНЬ РЕАЛ ЭСТЕЙТ ООО</v>
          </cell>
          <cell r="D26">
            <v>784775.26</v>
          </cell>
          <cell r="E26">
            <v>747405.00952380954</v>
          </cell>
        </row>
        <row r="27">
          <cell r="C27" t="str">
            <v>ДЖ.Т.И. РОССИЯ ООО</v>
          </cell>
          <cell r="D27">
            <v>525779.1</v>
          </cell>
          <cell r="E27">
            <v>500741.99999999994</v>
          </cell>
        </row>
        <row r="28">
          <cell r="C28" t="str">
            <v>ДОНОР-СЁРЧ (ПОИСК ДОНОРОВ) АНО</v>
          </cell>
          <cell r="D28">
            <v>40000</v>
          </cell>
          <cell r="E28">
            <v>38095.238095238092</v>
          </cell>
        </row>
        <row r="29">
          <cell r="C29" t="str">
            <v>БРОНИРОВАНИЕ ГОСТИНИЦ ООО</v>
          </cell>
          <cell r="D29">
            <v>112938</v>
          </cell>
          <cell r="E29">
            <v>107560</v>
          </cell>
        </row>
        <row r="30">
          <cell r="C30" t="str">
            <v>МЕТРО КЭШ ЭНД КЕРРИ ООО</v>
          </cell>
          <cell r="D30">
            <v>76742.399999999994</v>
          </cell>
          <cell r="E30">
            <v>73087.999999999985</v>
          </cell>
        </row>
        <row r="31">
          <cell r="C31" t="str">
            <v>САМОЛЕТ-ГОСТЕПРИИМСТВО ООО</v>
          </cell>
          <cell r="D31">
            <v>23940</v>
          </cell>
          <cell r="E31">
            <v>22800</v>
          </cell>
        </row>
        <row r="32">
          <cell r="C32" t="str">
            <v>Мидиан ООО</v>
          </cell>
          <cell r="D32">
            <v>106593.9</v>
          </cell>
          <cell r="E32">
            <v>101517.99999999999</v>
          </cell>
        </row>
        <row r="33">
          <cell r="C33" t="str">
            <v>СЕРВЬЕ АО</v>
          </cell>
          <cell r="D33">
            <v>22050</v>
          </cell>
          <cell r="E33">
            <v>21000</v>
          </cell>
        </row>
        <row r="34">
          <cell r="C34" t="str">
            <v>ЯНДЕКС МУЗЫКА ООО</v>
          </cell>
          <cell r="D34">
            <v>111930</v>
          </cell>
          <cell r="E34">
            <v>106600</v>
          </cell>
        </row>
        <row r="35">
          <cell r="C35" t="str">
            <v>ЯНДЕКС МУЗЫКА ООО</v>
          </cell>
          <cell r="D35">
            <v>57540</v>
          </cell>
          <cell r="E35">
            <v>54800</v>
          </cell>
        </row>
        <row r="36">
          <cell r="C36" t="str">
            <v>КИНОПОИСК ООО</v>
          </cell>
          <cell r="D36">
            <v>328755</v>
          </cell>
          <cell r="E36">
            <v>313100</v>
          </cell>
        </row>
        <row r="37">
          <cell r="C37" t="str">
            <v>КИНОПОИСК ООО</v>
          </cell>
          <cell r="D37">
            <v>61740</v>
          </cell>
          <cell r="E37">
            <v>58800</v>
          </cell>
        </row>
        <row r="38">
          <cell r="C38" t="str">
            <v>ДЗЕН.ПЛАТФОРМА ООО</v>
          </cell>
          <cell r="D38">
            <v>6195</v>
          </cell>
          <cell r="E38">
            <v>5900</v>
          </cell>
        </row>
        <row r="39">
          <cell r="C39" t="str">
            <v>КАЗАНЬ РЕАЛ ЭСТЕЙТ ООО</v>
          </cell>
          <cell r="D39">
            <v>86695.88</v>
          </cell>
          <cell r="E39">
            <v>82567.504761904769</v>
          </cell>
        </row>
        <row r="40">
          <cell r="C40" t="str">
            <v>КАЗАНЬ РЕАЛ ЭСТЕЙТ ООО</v>
          </cell>
          <cell r="D40">
            <v>23289</v>
          </cell>
          <cell r="E40">
            <v>22180</v>
          </cell>
        </row>
        <row r="41">
          <cell r="C41" t="str">
            <v>АРТИС 21 ООО</v>
          </cell>
          <cell r="D41">
            <v>72870</v>
          </cell>
          <cell r="E41">
            <v>69400</v>
          </cell>
        </row>
        <row r="42">
          <cell r="C42" t="str">
            <v>КИНЕТИКА ООО</v>
          </cell>
          <cell r="D42">
            <v>9975</v>
          </cell>
          <cell r="E42">
            <v>9500</v>
          </cell>
        </row>
        <row r="43">
          <cell r="C43" t="str">
            <v>ИМПУЛЬС ООО</v>
          </cell>
          <cell r="D43">
            <v>53760</v>
          </cell>
          <cell r="E43">
            <v>51200</v>
          </cell>
        </row>
        <row r="44">
          <cell r="C44" t="str">
            <v>РОСГОССТРАХ ПАО СК</v>
          </cell>
          <cell r="D44">
            <v>77550</v>
          </cell>
          <cell r="E44">
            <v>73857.142857142855</v>
          </cell>
        </row>
        <row r="45">
          <cell r="C45" t="str">
            <v>РОКВУЛ ООО</v>
          </cell>
          <cell r="D45">
            <v>16239.3</v>
          </cell>
          <cell r="E45">
            <v>15465.999999999998</v>
          </cell>
        </row>
        <row r="46">
          <cell r="C46" t="str">
            <v>Государственный академический Большой театр России ФГБУК</v>
          </cell>
          <cell r="D46">
            <v>7187.5</v>
          </cell>
          <cell r="E46">
            <v>6845.2380952380945</v>
          </cell>
        </row>
        <row r="47">
          <cell r="C47" t="str">
            <v>ЦЕМЕНТУМ ЦЕНТР ООО</v>
          </cell>
          <cell r="D47">
            <v>196633.27</v>
          </cell>
          <cell r="E47">
            <v>187269.78095238094</v>
          </cell>
        </row>
        <row r="48">
          <cell r="C48" t="str">
            <v>БЛОЧНЫЙ РЕДАКТОР ООО</v>
          </cell>
          <cell r="D48">
            <v>42045.77</v>
          </cell>
          <cell r="E48">
            <v>40043.590476190475</v>
          </cell>
        </row>
        <row r="49">
          <cell r="C49" t="str">
            <v>СЗ ЛАЙФ ПАВЕЛЕЦКАЯ АО</v>
          </cell>
          <cell r="D49">
            <v>62607.3</v>
          </cell>
          <cell r="E49">
            <v>59626</v>
          </cell>
        </row>
        <row r="50">
          <cell r="C50" t="str">
            <v>СЗ ПИОНЕР-1 ООО</v>
          </cell>
          <cell r="D50">
            <v>21997.5</v>
          </cell>
          <cell r="E50">
            <v>20950</v>
          </cell>
        </row>
        <row r="51">
          <cell r="C51" t="str">
            <v>СЗ БИЗНЕС ПАРК ОСТАНКИНО ООО</v>
          </cell>
          <cell r="D51">
            <v>21997.5</v>
          </cell>
          <cell r="E51">
            <v>20950</v>
          </cell>
        </row>
        <row r="52">
          <cell r="C52" t="str">
            <v>БУРГЕР РУС ООО</v>
          </cell>
          <cell r="D52">
            <v>248850</v>
          </cell>
          <cell r="E52">
            <v>237000</v>
          </cell>
        </row>
        <row r="53">
          <cell r="C53" t="str">
            <v>СЗ ШИФТ ООО</v>
          </cell>
          <cell r="D53">
            <v>7428.75</v>
          </cell>
          <cell r="E53">
            <v>7075</v>
          </cell>
        </row>
        <row r="54">
          <cell r="C54" t="str">
            <v>ГОРОДСКОЙ СУПЕРМАРКЕТ ООО</v>
          </cell>
          <cell r="D54">
            <v>87517.5</v>
          </cell>
          <cell r="E54">
            <v>83350</v>
          </cell>
        </row>
        <row r="55">
          <cell r="C55" t="str">
            <v>МАРС ООО</v>
          </cell>
          <cell r="D55">
            <v>476700.08</v>
          </cell>
          <cell r="E55">
            <v>454000.07619047619</v>
          </cell>
        </row>
        <row r="56">
          <cell r="C56" t="str">
            <v>НПФ ГАЗФОНД ПЕНСИОННЫЕ НАКОПЛЕНИЯ АО</v>
          </cell>
          <cell r="D56">
            <v>78764.55</v>
          </cell>
          <cell r="E56">
            <v>75013.857142857145</v>
          </cell>
        </row>
        <row r="57">
          <cell r="C57" t="str">
            <v>ВИРТА ООО</v>
          </cell>
          <cell r="D57">
            <v>55592.25</v>
          </cell>
          <cell r="E57">
            <v>52945</v>
          </cell>
        </row>
        <row r="58">
          <cell r="C58" t="str">
            <v>ОНЛАЙНЕР ООО</v>
          </cell>
          <cell r="D58">
            <v>31500</v>
          </cell>
          <cell r="E58">
            <v>30000</v>
          </cell>
        </row>
        <row r="59">
          <cell r="C59" t="str">
            <v>НОВАРТИС ФАРМА ООО</v>
          </cell>
          <cell r="D59">
            <v>30975</v>
          </cell>
          <cell r="E59">
            <v>29500</v>
          </cell>
        </row>
        <row r="60">
          <cell r="C60" t="str">
            <v>АО ЦВ ПРОТЕК</v>
          </cell>
          <cell r="D60">
            <v>19477.5</v>
          </cell>
          <cell r="E60">
            <v>18550</v>
          </cell>
        </row>
        <row r="61">
          <cell r="C61" t="str">
            <v>ДЖОНСОН &amp; ДЖОНСОН ООО</v>
          </cell>
          <cell r="D61">
            <v>120500</v>
          </cell>
          <cell r="E61">
            <v>114761.90476190476</v>
          </cell>
        </row>
        <row r="62">
          <cell r="C62" t="str">
            <v>БОРИСХОФ ХОЛДИНГ ООО</v>
          </cell>
          <cell r="D62">
            <v>133350</v>
          </cell>
          <cell r="E62">
            <v>127000</v>
          </cell>
        </row>
        <row r="63">
          <cell r="C63" t="str">
            <v>ЭМДЖИКОМ ООО</v>
          </cell>
          <cell r="D63">
            <v>200000</v>
          </cell>
          <cell r="E63">
            <v>190476.19047619047</v>
          </cell>
        </row>
        <row r="64">
          <cell r="C64" t="str">
            <v>ОРИФЛЭЙМ КОСМЕТИКС ООО</v>
          </cell>
          <cell r="D64">
            <v>345050</v>
          </cell>
          <cell r="E64">
            <v>328619.04761904763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_1"/>
    </sheetNames>
    <sheetDataSet>
      <sheetData sheetId="0">
        <row r="3">
          <cell r="A3" t="str">
            <v>АЙТИБ ООО</v>
          </cell>
          <cell r="B3" t="str">
            <v>30.09.2025</v>
          </cell>
          <cell r="C3">
            <v>111489</v>
          </cell>
          <cell r="D3">
            <v>106180</v>
          </cell>
          <cell r="E3">
            <v>5309</v>
          </cell>
        </row>
        <row r="4">
          <cell r="A4" t="str">
            <v>АМ КРАСНОГОРСК ООО</v>
          </cell>
          <cell r="B4" t="str">
            <v>30.09.2025</v>
          </cell>
          <cell r="C4">
            <v>158812.5</v>
          </cell>
          <cell r="D4">
            <v>151250</v>
          </cell>
          <cell r="E4">
            <v>7562.5</v>
          </cell>
        </row>
        <row r="5">
          <cell r="A5" t="str">
            <v>Арентов Артём Вячеславович ИП</v>
          </cell>
          <cell r="B5" t="str">
            <v>19.09.2025</v>
          </cell>
          <cell r="C5">
            <v>1575</v>
          </cell>
          <cell r="D5">
            <v>1500</v>
          </cell>
          <cell r="E5">
            <v>75</v>
          </cell>
        </row>
        <row r="6">
          <cell r="A6" t="str">
            <v>АРТИС 21 ООО</v>
          </cell>
          <cell r="B6" t="str">
            <v>30.09.2025</v>
          </cell>
          <cell r="C6">
            <v>72870</v>
          </cell>
          <cell r="D6">
            <v>69400</v>
          </cell>
          <cell r="E6">
            <v>3470</v>
          </cell>
        </row>
        <row r="7">
          <cell r="A7" t="str">
            <v>БАЛАНС - СПЕЦЗАСТРОЙЩИК АО</v>
          </cell>
          <cell r="B7" t="str">
            <v>30.09.2025</v>
          </cell>
          <cell r="C7">
            <v>60480</v>
          </cell>
          <cell r="D7">
            <v>57600</v>
          </cell>
          <cell r="E7">
            <v>2880</v>
          </cell>
        </row>
        <row r="8">
          <cell r="A8" t="str">
            <v>БЕРЕГОВОЙ - СПЕЦЗАСТРОЙЩИК АО</v>
          </cell>
          <cell r="B8" t="str">
            <v>30.09.2025</v>
          </cell>
          <cell r="C8">
            <v>30240</v>
          </cell>
          <cell r="D8">
            <v>28800</v>
          </cell>
          <cell r="E8">
            <v>1440</v>
          </cell>
        </row>
        <row r="9">
          <cell r="A9" t="str">
            <v>БЛОЧНЫЙ РЕДАКТОР ООО</v>
          </cell>
          <cell r="B9" t="str">
            <v>30.09.2025</v>
          </cell>
          <cell r="C9">
            <v>42045.77</v>
          </cell>
          <cell r="D9">
            <v>40043.590476190475</v>
          </cell>
          <cell r="E9">
            <v>2002.1795238095219</v>
          </cell>
        </row>
        <row r="10">
          <cell r="A10" t="str">
            <v>БОРИСХОФ ХОЛДИНГ ООО</v>
          </cell>
          <cell r="B10" t="str">
            <v>30.09.2025</v>
          </cell>
          <cell r="C10">
            <v>125874</v>
          </cell>
          <cell r="D10">
            <v>119880</v>
          </cell>
          <cell r="E10">
            <v>5994</v>
          </cell>
        </row>
        <row r="11">
          <cell r="A11" t="str">
            <v>БРОНИРОВАНИЕ ГОСТИНИЦ ООО</v>
          </cell>
          <cell r="B11" t="str">
            <v>30.09.2025</v>
          </cell>
          <cell r="C11">
            <v>81217.5</v>
          </cell>
          <cell r="D11">
            <v>77350</v>
          </cell>
          <cell r="E11">
            <v>3867.5</v>
          </cell>
        </row>
        <row r="12">
          <cell r="A12" t="str">
            <v>БУРГЕР РУС ООО</v>
          </cell>
          <cell r="B12" t="str">
            <v>24.09.2025</v>
          </cell>
          <cell r="C12">
            <v>248325</v>
          </cell>
          <cell r="D12">
            <v>236500</v>
          </cell>
          <cell r="E12">
            <v>11825</v>
          </cell>
        </row>
        <row r="13">
          <cell r="A13" t="str">
            <v>ВИРТА ООО</v>
          </cell>
          <cell r="B13" t="str">
            <v>30.09.2025</v>
          </cell>
          <cell r="C13">
            <v>26579.18</v>
          </cell>
          <cell r="D13">
            <v>25313.504761904762</v>
          </cell>
          <cell r="E13">
            <v>1265.6752380952385</v>
          </cell>
        </row>
        <row r="14">
          <cell r="A14" t="str">
            <v>ВОСТОК-СЕРВИС-СПЕЦКОМПЛЕКТ АО</v>
          </cell>
          <cell r="B14" t="str">
            <v>19.09.2025</v>
          </cell>
          <cell r="C14">
            <v>31500</v>
          </cell>
          <cell r="D14">
            <v>30000</v>
          </cell>
          <cell r="E14">
            <v>1500</v>
          </cell>
        </row>
        <row r="15">
          <cell r="A15" t="str">
            <v>ГОРОДСКОЙ СУПЕРМАРКЕТ ООО</v>
          </cell>
          <cell r="B15" t="str">
            <v>30.09.2025</v>
          </cell>
          <cell r="C15">
            <v>115500</v>
          </cell>
          <cell r="D15">
            <v>110000</v>
          </cell>
          <cell r="E15">
            <v>5500</v>
          </cell>
        </row>
        <row r="16">
          <cell r="A16" t="str">
            <v>Государственный академический Большой театр России ФГБУК</v>
          </cell>
          <cell r="B16" t="str">
            <v>30.09.2025</v>
          </cell>
          <cell r="C16">
            <v>15815</v>
          </cell>
          <cell r="D16">
            <v>15061.904761904761</v>
          </cell>
          <cell r="E16">
            <v>753.09523809523853</v>
          </cell>
        </row>
        <row r="17">
          <cell r="A17" t="str">
            <v>ДЖ.Т.И. РОССИЯ ООО</v>
          </cell>
          <cell r="B17" t="str">
            <v>30.09.2025</v>
          </cell>
          <cell r="C17">
            <v>534622.1</v>
          </cell>
          <cell r="D17">
            <v>509163.90476190473</v>
          </cell>
          <cell r="E17">
            <v>25458.195238095243</v>
          </cell>
        </row>
        <row r="18">
          <cell r="A18" t="str">
            <v>ДЖОНСОН &amp; ДЖОНСОН ООО</v>
          </cell>
          <cell r="B18" t="str">
            <v>30.09.2025</v>
          </cell>
          <cell r="C18">
            <v>1088750</v>
          </cell>
          <cell r="D18">
            <v>1036904.7619047619</v>
          </cell>
          <cell r="E18">
            <v>51845.238095238106</v>
          </cell>
        </row>
        <row r="19">
          <cell r="A19" t="str">
            <v>ДЗЕН.ПЛАТФОРМА ООО</v>
          </cell>
          <cell r="B19" t="str">
            <v>30.09.2025</v>
          </cell>
          <cell r="C19">
            <v>25477.200000000001</v>
          </cell>
          <cell r="D19">
            <v>24264</v>
          </cell>
          <cell r="E19">
            <v>1213.2000000000007</v>
          </cell>
        </row>
        <row r="20">
          <cell r="A20" t="str">
            <v>ДОНОР-СЁРЧ (ПОИСК ДОНОРОВ) АНО</v>
          </cell>
          <cell r="B20" t="str">
            <v>30.09.2025</v>
          </cell>
          <cell r="C20">
            <v>40000</v>
          </cell>
          <cell r="D20">
            <v>38095.238095238092</v>
          </cell>
          <cell r="E20">
            <v>1904.7619047619082</v>
          </cell>
        </row>
        <row r="21">
          <cell r="A21" t="str">
            <v>ИНТЕРНЕТ-ПРОЕКТЫ АО</v>
          </cell>
          <cell r="B21" t="str">
            <v>30.09.2025</v>
          </cell>
          <cell r="C21">
            <v>677.25</v>
          </cell>
          <cell r="D21">
            <v>645</v>
          </cell>
          <cell r="E21">
            <v>32.25</v>
          </cell>
        </row>
        <row r="22">
          <cell r="A22" t="str">
            <v>ИНТЕРФАКС АО</v>
          </cell>
          <cell r="B22" t="str">
            <v>30.09.2025</v>
          </cell>
          <cell r="C22">
            <v>272802.28999999998</v>
          </cell>
          <cell r="D22">
            <v>259811.70476190472</v>
          </cell>
          <cell r="E22">
            <v>12990.585238095256</v>
          </cell>
        </row>
        <row r="23">
          <cell r="A23" t="str">
            <v>ИНФОРМАЦИОННОЕ АГЕНТСТВО ИНТЕРФАКС АО</v>
          </cell>
          <cell r="B23" t="str">
            <v>30.09.2025</v>
          </cell>
          <cell r="C23">
            <v>249450.61</v>
          </cell>
          <cell r="D23">
            <v>237572.00952380951</v>
          </cell>
          <cell r="E23">
            <v>11878.600476190477</v>
          </cell>
        </row>
        <row r="24">
          <cell r="A24" t="str">
            <v>КАЗАНЬ РЕАЛ ЭСТЕЙТ ООО</v>
          </cell>
          <cell r="B24" t="str">
            <v>30.09.2025</v>
          </cell>
          <cell r="C24">
            <v>998103.76</v>
          </cell>
          <cell r="D24">
            <v>950575.00952380954</v>
          </cell>
          <cell r="E24">
            <v>47528.750476190471</v>
          </cell>
        </row>
        <row r="25">
          <cell r="A25" t="str">
            <v>КАПИТАЛ ГРУП ООО</v>
          </cell>
          <cell r="B25" t="str">
            <v>30.09.2025</v>
          </cell>
          <cell r="C25">
            <v>98227.5</v>
          </cell>
          <cell r="D25">
            <v>93550</v>
          </cell>
          <cell r="E25">
            <v>4677.5</v>
          </cell>
        </row>
        <row r="26">
          <cell r="A26" t="str">
            <v>КАРШЕРИНГ РУССИЯ ПАО</v>
          </cell>
          <cell r="B26" t="str">
            <v>30.09.2025</v>
          </cell>
          <cell r="C26">
            <v>204120</v>
          </cell>
          <cell r="D26">
            <v>194400</v>
          </cell>
          <cell r="E26">
            <v>9720</v>
          </cell>
        </row>
        <row r="27">
          <cell r="A27" t="str">
            <v>КИНЕТИКА ООО</v>
          </cell>
          <cell r="B27" t="str">
            <v>15.09.2025</v>
          </cell>
          <cell r="C27">
            <v>16800</v>
          </cell>
          <cell r="D27">
            <v>16000</v>
          </cell>
          <cell r="E27">
            <v>800</v>
          </cell>
        </row>
        <row r="28">
          <cell r="A28" t="str">
            <v>КИНОПОИСК ООО</v>
          </cell>
          <cell r="B28" t="str">
            <v>30.09.2025</v>
          </cell>
          <cell r="C28">
            <v>416220</v>
          </cell>
          <cell r="D28">
            <v>396400</v>
          </cell>
          <cell r="E28">
            <v>19820</v>
          </cell>
        </row>
        <row r="29">
          <cell r="A29" t="str">
            <v>КОЛЕСА ДАРОМ.РУ ООО</v>
          </cell>
          <cell r="B29" t="str">
            <v>30.09.2025</v>
          </cell>
          <cell r="C29">
            <v>315000</v>
          </cell>
          <cell r="D29">
            <v>300000</v>
          </cell>
          <cell r="E29">
            <v>15000</v>
          </cell>
        </row>
        <row r="30">
          <cell r="A30" t="str">
            <v>КОЛЛТРЕКИНГ ООО</v>
          </cell>
          <cell r="B30" t="str">
            <v>30.09.2025</v>
          </cell>
          <cell r="C30">
            <v>136263.75</v>
          </cell>
          <cell r="D30">
            <v>129775</v>
          </cell>
          <cell r="E30">
            <v>6488.75</v>
          </cell>
        </row>
        <row r="31">
          <cell r="A31" t="str">
            <v>КРАСНАЯ ПОЛЯНА НАО</v>
          </cell>
          <cell r="B31" t="str">
            <v>30.09.2025</v>
          </cell>
          <cell r="C31">
            <v>130087.65</v>
          </cell>
          <cell r="D31">
            <v>123892.99999999999</v>
          </cell>
          <cell r="E31">
            <v>6194.6500000000087</v>
          </cell>
        </row>
        <row r="32">
          <cell r="A32" t="str">
            <v>Крысов Анатолий Вадимович</v>
          </cell>
          <cell r="B32" t="str">
            <v>15.09.2025</v>
          </cell>
          <cell r="C32">
            <v>26722.5</v>
          </cell>
          <cell r="D32">
            <v>25450</v>
          </cell>
          <cell r="E32">
            <v>1272.5</v>
          </cell>
        </row>
        <row r="33">
          <cell r="A33" t="str">
            <v>Л'ОРЕАЛЬ АО</v>
          </cell>
          <cell r="B33" t="str">
            <v>30.09.2025</v>
          </cell>
          <cell r="C33">
            <v>47396.23</v>
          </cell>
          <cell r="D33">
            <v>45139.26666666667</v>
          </cell>
          <cell r="E33">
            <v>2256.9633333333331</v>
          </cell>
        </row>
        <row r="34">
          <cell r="A34" t="str">
            <v>Лупейко Виктор Владимирович</v>
          </cell>
          <cell r="B34" t="str">
            <v>30.09.2025</v>
          </cell>
          <cell r="C34">
            <v>219135</v>
          </cell>
          <cell r="D34">
            <v>208700</v>
          </cell>
          <cell r="E34">
            <v>10435</v>
          </cell>
        </row>
        <row r="35">
          <cell r="A35" t="str">
            <v>МАЙНДБОКС ООО</v>
          </cell>
          <cell r="B35" t="str">
            <v>30.09.2025</v>
          </cell>
          <cell r="C35">
            <v>40494.019999999997</v>
          </cell>
          <cell r="D35">
            <v>38565.73333333333</v>
          </cell>
          <cell r="E35">
            <v>1928.2866666666669</v>
          </cell>
        </row>
        <row r="36">
          <cell r="A36" t="str">
            <v>МАРС ООО</v>
          </cell>
          <cell r="B36" t="str">
            <v>05.09.2025</v>
          </cell>
          <cell r="C36">
            <v>155573.26999999999</v>
          </cell>
          <cell r="D36">
            <v>148165.01904761902</v>
          </cell>
          <cell r="E36">
            <v>7408.2509523809713</v>
          </cell>
        </row>
        <row r="37">
          <cell r="A37" t="str">
            <v>МАРС ООО</v>
          </cell>
          <cell r="B37" t="str">
            <v>30.09.2025</v>
          </cell>
          <cell r="C37">
            <v>166587.75</v>
          </cell>
          <cell r="D37">
            <v>158655</v>
          </cell>
          <cell r="E37">
            <v>7932.75</v>
          </cell>
        </row>
        <row r="38">
          <cell r="A38" t="str">
            <v>МЕТРО КЭШ ЭНД КЕРРИ ООО</v>
          </cell>
          <cell r="B38" t="str">
            <v>30.09.2025</v>
          </cell>
          <cell r="C38">
            <v>76742.399999999994</v>
          </cell>
          <cell r="D38">
            <v>73087.999999999985</v>
          </cell>
          <cell r="E38">
            <v>3654.4000000000087</v>
          </cell>
        </row>
        <row r="39">
          <cell r="A39" t="str">
            <v>МОБИЛЬНАЯ КАРТА ООО НКО</v>
          </cell>
          <cell r="B39" t="str">
            <v>30.09.2025</v>
          </cell>
          <cell r="C39">
            <v>98044.08</v>
          </cell>
          <cell r="D39">
            <v>93375.314285714281</v>
          </cell>
          <cell r="E39">
            <v>4668.7657142857206</v>
          </cell>
        </row>
        <row r="40">
          <cell r="A40" t="str">
            <v>НОВАРТИС ФАРМА ООО</v>
          </cell>
          <cell r="B40" t="str">
            <v>05.09.2025</v>
          </cell>
          <cell r="C40">
            <v>49717.5</v>
          </cell>
          <cell r="D40">
            <v>47350</v>
          </cell>
          <cell r="E40">
            <v>2367.5</v>
          </cell>
        </row>
        <row r="41">
          <cell r="A41" t="str">
            <v>НПФ ГАЗФОНД ПЕНСИОННЫЕ НАКОПЛЕНИЯ АО</v>
          </cell>
          <cell r="B41" t="str">
            <v>30.09.2025</v>
          </cell>
          <cell r="C41">
            <v>62089</v>
          </cell>
          <cell r="D41">
            <v>59132.380952380947</v>
          </cell>
          <cell r="E41">
            <v>2956.6190476190532</v>
          </cell>
        </row>
        <row r="42">
          <cell r="A42" t="str">
            <v>ОРИФЛЭЙМ КОСМЕТИКС ООО</v>
          </cell>
          <cell r="B42" t="str">
            <v>30.09.2025</v>
          </cell>
          <cell r="C42">
            <v>653731.4</v>
          </cell>
          <cell r="D42">
            <v>622601.33333333337</v>
          </cell>
          <cell r="E42">
            <v>31130.066666666651</v>
          </cell>
        </row>
        <row r="43">
          <cell r="A43" t="str">
            <v>ПЕТРОВАКС ФАРМ ООО</v>
          </cell>
          <cell r="B43" t="str">
            <v>30.09.2025</v>
          </cell>
          <cell r="C43">
            <v>376790.4</v>
          </cell>
          <cell r="D43">
            <v>358848</v>
          </cell>
          <cell r="E43">
            <v>17942.400000000023</v>
          </cell>
        </row>
        <row r="44">
          <cell r="A44" t="str">
            <v>ПРЕМИУМ ЭСТЕЙТ ООО</v>
          </cell>
          <cell r="B44" t="str">
            <v>30.09.2025</v>
          </cell>
          <cell r="C44">
            <v>536796</v>
          </cell>
          <cell r="D44">
            <v>511234.28571428568</v>
          </cell>
          <cell r="E44">
            <v>25561.714285714319</v>
          </cell>
        </row>
        <row r="45">
          <cell r="A45" t="str">
            <v>РОКВУЛ ООО</v>
          </cell>
          <cell r="B45" t="str">
            <v>30.09.2025</v>
          </cell>
          <cell r="C45">
            <v>42111.3</v>
          </cell>
          <cell r="D45">
            <v>40106</v>
          </cell>
          <cell r="E45">
            <v>2005.3000000000029</v>
          </cell>
        </row>
        <row r="46">
          <cell r="A46" t="str">
            <v>РОСГОССТРАХ ПАО СК</v>
          </cell>
          <cell r="B46" t="str">
            <v>30.09.2025</v>
          </cell>
          <cell r="C46">
            <v>87450</v>
          </cell>
          <cell r="D46">
            <v>83285.714285714275</v>
          </cell>
          <cell r="E46">
            <v>4164.2857142857247</v>
          </cell>
        </row>
        <row r="47">
          <cell r="A47" t="str">
            <v>РУТА АО</v>
          </cell>
          <cell r="B47" t="str">
            <v>30.09.2025</v>
          </cell>
          <cell r="C47">
            <v>108125.85</v>
          </cell>
          <cell r="D47">
            <v>102977</v>
          </cell>
          <cell r="E47">
            <v>5148.8500000000058</v>
          </cell>
        </row>
        <row r="48">
          <cell r="A48" t="str">
            <v>СЕРВЬЕ АО</v>
          </cell>
          <cell r="B48" t="str">
            <v>30.09.2025</v>
          </cell>
          <cell r="C48">
            <v>22050</v>
          </cell>
          <cell r="D48">
            <v>21000</v>
          </cell>
          <cell r="E48">
            <v>1050</v>
          </cell>
        </row>
        <row r="49">
          <cell r="A49" t="str">
            <v>СЗ БИЗНЕС ПАРК ОСТАНКИНО ООО</v>
          </cell>
          <cell r="B49" t="str">
            <v>30.09.2025</v>
          </cell>
          <cell r="C49">
            <v>46423.65</v>
          </cell>
          <cell r="D49">
            <v>44213</v>
          </cell>
          <cell r="E49">
            <v>2210.6500000000015</v>
          </cell>
        </row>
        <row r="50">
          <cell r="A50" t="str">
            <v>СЗ ЛАЙФ ПАВЕЛЕЦКАЯ АО</v>
          </cell>
          <cell r="B50" t="str">
            <v>30.09.2025</v>
          </cell>
          <cell r="C50">
            <v>91456.05</v>
          </cell>
          <cell r="D50">
            <v>87101</v>
          </cell>
          <cell r="E50">
            <v>4355.0500000000029</v>
          </cell>
        </row>
        <row r="51">
          <cell r="A51" t="str">
            <v>СЗ ПИОНЕР-1 ООО</v>
          </cell>
          <cell r="B51" t="str">
            <v>30.09.2025</v>
          </cell>
          <cell r="C51">
            <v>27027</v>
          </cell>
          <cell r="D51">
            <v>25740</v>
          </cell>
          <cell r="E51">
            <v>1287</v>
          </cell>
        </row>
        <row r="52">
          <cell r="A52" t="str">
            <v>ХАЛСА ООО</v>
          </cell>
          <cell r="B52" t="str">
            <v>30.09.2025</v>
          </cell>
          <cell r="C52">
            <v>135799</v>
          </cell>
          <cell r="D52">
            <v>129332.38095238095</v>
          </cell>
          <cell r="E52">
            <v>6466.6190476190532</v>
          </cell>
        </row>
        <row r="53">
          <cell r="A53" t="str">
            <v>ХЕНДЭ МОТОР СНГ ООО</v>
          </cell>
          <cell r="B53" t="str">
            <v>30.09.2025</v>
          </cell>
          <cell r="C53">
            <v>23310</v>
          </cell>
          <cell r="D53">
            <v>22200</v>
          </cell>
          <cell r="E53">
            <v>1110</v>
          </cell>
        </row>
        <row r="54">
          <cell r="A54" t="str">
            <v>ЦЕМЕНТУМ ЦЕНТР ООО</v>
          </cell>
          <cell r="B54" t="str">
            <v>30.09.2025</v>
          </cell>
          <cell r="C54">
            <v>198770.75</v>
          </cell>
          <cell r="D54">
            <v>189305.47619047618</v>
          </cell>
          <cell r="E54">
            <v>9465.2738095238165</v>
          </cell>
        </row>
        <row r="55">
          <cell r="A55" t="str">
            <v>ЭВОКОМ ООО</v>
          </cell>
          <cell r="B55" t="str">
            <v>30.09.2025</v>
          </cell>
          <cell r="C55">
            <v>313950</v>
          </cell>
          <cell r="D55">
            <v>299000</v>
          </cell>
          <cell r="E55">
            <v>14950</v>
          </cell>
        </row>
        <row r="56">
          <cell r="A56" t="str">
            <v>ЯНДЕКС МУЗЫКА ООО</v>
          </cell>
          <cell r="B56" t="str">
            <v>30.09.2025</v>
          </cell>
          <cell r="C56">
            <v>166530</v>
          </cell>
          <cell r="D56">
            <v>158600</v>
          </cell>
          <cell r="E56">
            <v>7930</v>
          </cell>
        </row>
        <row r="57">
          <cell r="C57">
            <v>9421748.2100000028</v>
          </cell>
          <cell r="D57">
            <v>8973093.5333333313</v>
          </cell>
          <cell r="E57">
            <v>448654.67666666687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штатка план-факт"/>
      <sheetName val="расшифровка"/>
      <sheetName val="Лист1"/>
    </sheetNames>
    <sheetDataSet>
      <sheetData sheetId="0" refreshError="1"/>
      <sheetData sheetId="1">
        <row r="72">
          <cell r="D72">
            <v>82215</v>
          </cell>
        </row>
        <row r="78">
          <cell r="D78">
            <v>82215</v>
          </cell>
        </row>
        <row r="79">
          <cell r="D79">
            <v>80040</v>
          </cell>
        </row>
        <row r="80">
          <cell r="D80">
            <v>70035</v>
          </cell>
        </row>
        <row r="81">
          <cell r="D81">
            <v>70035</v>
          </cell>
        </row>
        <row r="83">
          <cell r="D83">
            <v>65000</v>
          </cell>
        </row>
        <row r="84">
          <cell r="D84">
            <v>70035</v>
          </cell>
        </row>
        <row r="85">
          <cell r="D85">
            <v>70000</v>
          </cell>
        </row>
        <row r="86">
          <cell r="D86">
            <v>70000</v>
          </cell>
        </row>
        <row r="87">
          <cell r="D87">
            <v>60030</v>
          </cell>
        </row>
        <row r="88">
          <cell r="D88">
            <v>60030</v>
          </cell>
        </row>
        <row r="89">
          <cell r="D89">
            <v>70000</v>
          </cell>
        </row>
        <row r="94">
          <cell r="D94">
            <v>95260</v>
          </cell>
        </row>
        <row r="95">
          <cell r="D95">
            <v>80040</v>
          </cell>
        </row>
        <row r="97">
          <cell r="D97">
            <v>70035</v>
          </cell>
        </row>
        <row r="98">
          <cell r="D98">
            <v>70000</v>
          </cell>
        </row>
        <row r="99">
          <cell r="D99">
            <v>60030</v>
          </cell>
        </row>
        <row r="100">
          <cell r="D100">
            <v>60030</v>
          </cell>
        </row>
        <row r="101">
          <cell r="D101">
            <v>40020</v>
          </cell>
        </row>
        <row r="102">
          <cell r="D102">
            <v>18000</v>
          </cell>
        </row>
        <row r="103">
          <cell r="D103">
            <v>18000</v>
          </cell>
        </row>
        <row r="106">
          <cell r="D106">
            <v>70000</v>
          </cell>
        </row>
        <row r="107">
          <cell r="D107">
            <v>26460</v>
          </cell>
        </row>
        <row r="113">
          <cell r="D113">
            <v>100000</v>
          </cell>
        </row>
        <row r="115">
          <cell r="D115">
            <v>60465</v>
          </cell>
        </row>
        <row r="116">
          <cell r="D116">
            <v>60030</v>
          </cell>
        </row>
        <row r="117">
          <cell r="D117">
            <v>50460</v>
          </cell>
        </row>
      </sheetData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5"/>
    </sheetNames>
    <sheetDataSet>
      <sheetData sheetId="0">
        <row r="10">
          <cell r="A10" t="str">
            <v>Аблов Андрей Дмитриевич</v>
          </cell>
          <cell r="B10">
            <v>100050</v>
          </cell>
          <cell r="C10">
            <v>23920</v>
          </cell>
        </row>
        <row r="11">
          <cell r="A11" t="str">
            <v>Абрамова Екатерина Владимировна</v>
          </cell>
          <cell r="B11">
            <v>110021.85</v>
          </cell>
          <cell r="C11">
            <v>26365.040000000001</v>
          </cell>
        </row>
        <row r="12">
          <cell r="A12" t="str">
            <v>Аксенова Наталья Валериевна</v>
          </cell>
          <cell r="B12">
            <v>144788.94960000002</v>
          </cell>
          <cell r="C12">
            <v>34616.208639999997</v>
          </cell>
        </row>
        <row r="13">
          <cell r="A13" t="str">
            <v>Андреева Валентина Юрьевна</v>
          </cell>
          <cell r="B13">
            <v>90011.85</v>
          </cell>
          <cell r="C13">
            <v>21581.040000000001</v>
          </cell>
        </row>
        <row r="14">
          <cell r="A14" t="str">
            <v>Антонюк Дарья Дмитриевна</v>
          </cell>
          <cell r="B14">
            <v>80040</v>
          </cell>
          <cell r="C14">
            <v>19136</v>
          </cell>
        </row>
        <row r="15">
          <cell r="A15" t="str">
            <v>Балабанова Евгения Юрьевна</v>
          </cell>
          <cell r="B15">
            <v>60394</v>
          </cell>
          <cell r="C15">
            <v>13988</v>
          </cell>
        </row>
        <row r="16">
          <cell r="A16" t="str">
            <v>Баландина Наталия Владимировна</v>
          </cell>
          <cell r="B16">
            <v>18470.728900000002</v>
          </cell>
          <cell r="C16">
            <v>2025.1857599999998</v>
          </cell>
        </row>
        <row r="17">
          <cell r="A17" t="str">
            <v>Бобров Виктор Александрович</v>
          </cell>
          <cell r="B17">
            <v>115014</v>
          </cell>
          <cell r="C17">
            <v>27497.599999999999</v>
          </cell>
        </row>
        <row r="18">
          <cell r="A18" t="str">
            <v>Бойко Мария Сергеевна</v>
          </cell>
          <cell r="B18">
            <v>71093.850000000006</v>
          </cell>
          <cell r="C18">
            <v>15705.039999999999</v>
          </cell>
        </row>
        <row r="19">
          <cell r="A19" t="str">
            <v>Боровова Дарья Алексеевна</v>
          </cell>
          <cell r="B19">
            <v>30015</v>
          </cell>
          <cell r="C19">
            <v>7176</v>
          </cell>
        </row>
        <row r="20">
          <cell r="A20" t="str">
            <v>Бурмистров Георгий Романович</v>
          </cell>
          <cell r="B20">
            <v>55245</v>
          </cell>
          <cell r="C20">
            <v>13208</v>
          </cell>
        </row>
        <row r="21">
          <cell r="A21" t="str">
            <v>Власова Марина Сергеевна</v>
          </cell>
          <cell r="B21">
            <v>110055</v>
          </cell>
          <cell r="C21">
            <v>26312</v>
          </cell>
        </row>
        <row r="22">
          <cell r="A22" t="str">
            <v>Волков Александр</v>
          </cell>
          <cell r="B22">
            <v>19509.75</v>
          </cell>
          <cell r="C22">
            <v>4619.55</v>
          </cell>
        </row>
        <row r="23">
          <cell r="A23" t="str">
            <v>Галиулин Сергей Ильич</v>
          </cell>
          <cell r="B23">
            <v>27013.5</v>
          </cell>
          <cell r="C23">
            <v>6396.2999999999993</v>
          </cell>
        </row>
        <row r="24">
          <cell r="A24" t="str">
            <v>Горина Ирина Николаевна</v>
          </cell>
          <cell r="B24">
            <v>0</v>
          </cell>
          <cell r="C24">
            <v>0</v>
          </cell>
        </row>
        <row r="25">
          <cell r="A25" t="str">
            <v>Гутина Юлия Игоревна</v>
          </cell>
          <cell r="B25">
            <v>55245</v>
          </cell>
          <cell r="C25">
            <v>13208</v>
          </cell>
        </row>
        <row r="26">
          <cell r="A26" t="str">
            <v>Давтян Инга Галиковна</v>
          </cell>
          <cell r="B26">
            <v>75221.850000000006</v>
          </cell>
          <cell r="C26">
            <v>18045.04</v>
          </cell>
        </row>
        <row r="27">
          <cell r="A27" t="str">
            <v>Дембовская Михаэла</v>
          </cell>
          <cell r="B27">
            <v>50025</v>
          </cell>
          <cell r="C27">
            <v>11960</v>
          </cell>
        </row>
        <row r="28">
          <cell r="A28" t="str">
            <v>Еремин Михаил Сергеевич</v>
          </cell>
          <cell r="B28">
            <v>80006.850000000006</v>
          </cell>
          <cell r="C28">
            <v>19189.04</v>
          </cell>
        </row>
        <row r="29">
          <cell r="A29" t="str">
            <v>Залипаев Сергей Сергеевич</v>
          </cell>
          <cell r="B29">
            <v>83955</v>
          </cell>
          <cell r="C29">
            <v>20072</v>
          </cell>
        </row>
        <row r="30">
          <cell r="A30" t="str">
            <v>Иванов Всеволод Игоревич</v>
          </cell>
          <cell r="B30">
            <v>60030</v>
          </cell>
          <cell r="C30">
            <v>14352</v>
          </cell>
        </row>
        <row r="31">
          <cell r="A31" t="str">
            <v>Ильин Иван Константинович</v>
          </cell>
          <cell r="B31">
            <v>588639</v>
          </cell>
          <cell r="C31">
            <v>155181</v>
          </cell>
        </row>
        <row r="32">
          <cell r="A32" t="str">
            <v>Ильин Константин Иванович</v>
          </cell>
          <cell r="B32">
            <v>8765.25</v>
          </cell>
          <cell r="C32">
            <v>2095.6</v>
          </cell>
        </row>
        <row r="33">
          <cell r="A33" t="str">
            <v>Ионкина Вера Сеергеевна</v>
          </cell>
          <cell r="B33">
            <v>100050</v>
          </cell>
          <cell r="C33">
            <v>23920</v>
          </cell>
        </row>
        <row r="34">
          <cell r="A34" t="str">
            <v>Исмаилова Людмила Юрьевна</v>
          </cell>
          <cell r="B34">
            <v>71093.850000000006</v>
          </cell>
          <cell r="C34">
            <v>15705.04</v>
          </cell>
        </row>
        <row r="35">
          <cell r="A35" t="str">
            <v>Калягина Анна Сергеевна</v>
          </cell>
          <cell r="B35">
            <v>70035</v>
          </cell>
          <cell r="C35">
            <v>16744</v>
          </cell>
        </row>
        <row r="36">
          <cell r="A36" t="str">
            <v>Кириченко Валерия Николаевна</v>
          </cell>
          <cell r="B36">
            <v>60030</v>
          </cell>
          <cell r="C36">
            <v>14352</v>
          </cell>
        </row>
        <row r="37">
          <cell r="A37" t="str">
            <v>Кириченко Виктория Николаевна</v>
          </cell>
          <cell r="B37">
            <v>58290</v>
          </cell>
          <cell r="C37">
            <v>13936</v>
          </cell>
        </row>
        <row r="38">
          <cell r="A38" t="str">
            <v>Кнутов Артём Виталиевич</v>
          </cell>
          <cell r="B38">
            <v>36199.057800000002</v>
          </cell>
          <cell r="C38">
            <v>7301.4115199999997</v>
          </cell>
        </row>
        <row r="39">
          <cell r="A39" t="str">
            <v>Князев Дмитрий Игоревич</v>
          </cell>
          <cell r="B39">
            <v>100016.85</v>
          </cell>
          <cell r="C39">
            <v>23973.039999999997</v>
          </cell>
        </row>
        <row r="40">
          <cell r="A40" t="str">
            <v>Коваленко Ольга Владимировна</v>
          </cell>
          <cell r="B40">
            <v>71688.228900000002</v>
          </cell>
          <cell r="C40">
            <v>15836.385759999999</v>
          </cell>
        </row>
        <row r="41">
          <cell r="A41" t="str">
            <v>Козикова Анастасия Валерьевна</v>
          </cell>
          <cell r="B41">
            <v>70035</v>
          </cell>
          <cell r="C41">
            <v>16744</v>
          </cell>
        </row>
        <row r="42">
          <cell r="A42" t="str">
            <v>Копаева Юлия Андреевна</v>
          </cell>
          <cell r="B42">
            <v>70001.850000000006</v>
          </cell>
          <cell r="C42">
            <v>16797.04</v>
          </cell>
        </row>
        <row r="43">
          <cell r="A43" t="str">
            <v>Коробач Евгений Сергеевич</v>
          </cell>
          <cell r="B43">
            <v>72970.089900000006</v>
          </cell>
          <cell r="C43">
            <v>17506.688159999998</v>
          </cell>
        </row>
        <row r="44">
          <cell r="A44" t="str">
            <v>Котов Александр Владимирович</v>
          </cell>
          <cell r="B44">
            <v>70001.850000000006</v>
          </cell>
          <cell r="C44">
            <v>16797.04</v>
          </cell>
        </row>
        <row r="45">
          <cell r="A45" t="str">
            <v>Крутяков Алексей Александрович</v>
          </cell>
          <cell r="B45">
            <v>40020</v>
          </cell>
          <cell r="C45">
            <v>9568</v>
          </cell>
        </row>
        <row r="46">
          <cell r="A46" t="str">
            <v>Крыгина Наталья Сергеевна</v>
          </cell>
          <cell r="B46">
            <v>35164</v>
          </cell>
          <cell r="C46">
            <v>7955.9999999999991</v>
          </cell>
        </row>
        <row r="47">
          <cell r="A47" t="str">
            <v>Куракин Валерий Сергеевич</v>
          </cell>
          <cell r="B47">
            <v>100050</v>
          </cell>
          <cell r="C47">
            <v>23920</v>
          </cell>
        </row>
        <row r="48">
          <cell r="A48" t="str">
            <v>Лобанов Артем Николаеич</v>
          </cell>
          <cell r="B48">
            <v>82181.850000000006</v>
          </cell>
          <cell r="C48">
            <v>19709.04</v>
          </cell>
        </row>
        <row r="49">
          <cell r="A49" t="str">
            <v>Логвинова Уэзерфилд Линас</v>
          </cell>
          <cell r="B49">
            <v>65216.85</v>
          </cell>
          <cell r="C49">
            <v>15653.039999999999</v>
          </cell>
        </row>
        <row r="50">
          <cell r="A50" t="str">
            <v>Малыхина Юлия Эдуардовна</v>
          </cell>
          <cell r="B50">
            <v>0</v>
          </cell>
          <cell r="C50">
            <v>0</v>
          </cell>
        </row>
        <row r="51">
          <cell r="A51" t="str">
            <v>Марилова Ольга Сергеевна</v>
          </cell>
          <cell r="B51">
            <v>60030</v>
          </cell>
          <cell r="C51">
            <v>14352</v>
          </cell>
        </row>
        <row r="52">
          <cell r="A52" t="str">
            <v>Маркова Светлана Геннадьевна</v>
          </cell>
          <cell r="B52">
            <v>91572</v>
          </cell>
          <cell r="C52">
            <v>20540</v>
          </cell>
        </row>
        <row r="53">
          <cell r="A53" t="str">
            <v>Масленникова Наталья Федоровна</v>
          </cell>
          <cell r="B53">
            <v>80006.850000000006</v>
          </cell>
          <cell r="C53">
            <v>19189.04</v>
          </cell>
        </row>
        <row r="54">
          <cell r="A54" t="str">
            <v>Масько Анастасия Александровна</v>
          </cell>
          <cell r="B54">
            <v>47033.85</v>
          </cell>
          <cell r="C54">
            <v>11305.84</v>
          </cell>
        </row>
        <row r="55">
          <cell r="A55" t="str">
            <v xml:space="preserve">Миронова Алина Владимировна </v>
          </cell>
          <cell r="B55">
            <v>55245</v>
          </cell>
          <cell r="C55">
            <v>13208</v>
          </cell>
        </row>
        <row r="56">
          <cell r="A56" t="str">
            <v>Мирошникова Елена Владимировна</v>
          </cell>
          <cell r="B56">
            <v>80006.850000000006</v>
          </cell>
          <cell r="C56">
            <v>19189.04</v>
          </cell>
        </row>
        <row r="57">
          <cell r="A57" t="str">
            <v>Михина Надежда Алексеевна</v>
          </cell>
          <cell r="B57">
            <v>94658.85</v>
          </cell>
          <cell r="C57">
            <v>17473.04</v>
          </cell>
        </row>
        <row r="58">
          <cell r="A58" t="str">
            <v>Морозова  Анастасия Леонидовна</v>
          </cell>
          <cell r="B58">
            <v>8470.7289000000001</v>
          </cell>
          <cell r="C58">
            <v>2025.1857599999996</v>
          </cell>
        </row>
        <row r="59">
          <cell r="A59" t="str">
            <v>Моряков Дмитрий Владимирович</v>
          </cell>
          <cell r="B59">
            <v>100050</v>
          </cell>
          <cell r="C59">
            <v>23920</v>
          </cell>
        </row>
        <row r="60">
          <cell r="A60" t="str">
            <v>Новикова Екатерина Вадимовна</v>
          </cell>
          <cell r="B60">
            <v>59996.85</v>
          </cell>
          <cell r="C60">
            <v>14405.04</v>
          </cell>
        </row>
        <row r="61">
          <cell r="A61" t="str">
            <v>Орлова Алла Александровна</v>
          </cell>
          <cell r="B61">
            <v>60431.85</v>
          </cell>
          <cell r="C61">
            <v>14509.039999999999</v>
          </cell>
        </row>
        <row r="62">
          <cell r="A62" t="str">
            <v>Осепян Артем Андреевич</v>
          </cell>
          <cell r="B62">
            <v>26909.1</v>
          </cell>
          <cell r="C62">
            <v>6371.58</v>
          </cell>
        </row>
        <row r="63">
          <cell r="A63" t="str">
            <v>Паршакина Ольга Сергеевна</v>
          </cell>
          <cell r="B63">
            <v>75619</v>
          </cell>
          <cell r="C63">
            <v>17628</v>
          </cell>
        </row>
        <row r="64">
          <cell r="A64" t="str">
            <v>Петрухина Дарья Александровна</v>
          </cell>
          <cell r="B64">
            <v>0</v>
          </cell>
          <cell r="C64">
            <v>0</v>
          </cell>
        </row>
        <row r="65">
          <cell r="A65" t="str">
            <v>Пикулина София Владимировна</v>
          </cell>
          <cell r="B65">
            <v>50025</v>
          </cell>
          <cell r="C65">
            <v>11960</v>
          </cell>
        </row>
        <row r="66">
          <cell r="A66" t="str">
            <v>Пискунова Надежда Константиновна</v>
          </cell>
          <cell r="B66">
            <v>107746</v>
          </cell>
          <cell r="C66">
            <v>16224</v>
          </cell>
        </row>
        <row r="67">
          <cell r="A67" t="str">
            <v>Попова Юлия Андреевна</v>
          </cell>
          <cell r="B67">
            <v>65042.85</v>
          </cell>
          <cell r="C67">
            <v>15611.439999999999</v>
          </cell>
        </row>
        <row r="68">
          <cell r="A68" t="str">
            <v>Попова Юлия Владимировна</v>
          </cell>
          <cell r="B68">
            <v>59996.85</v>
          </cell>
          <cell r="C68">
            <v>14405.04</v>
          </cell>
        </row>
        <row r="69">
          <cell r="A69" t="str">
            <v>Потковский Иван Владимирович</v>
          </cell>
          <cell r="B69">
            <v>59996.85</v>
          </cell>
          <cell r="C69">
            <v>14405.039999999999</v>
          </cell>
        </row>
        <row r="70">
          <cell r="A70" t="str">
            <v>Пушкина Юлия Игоревна</v>
          </cell>
          <cell r="B70">
            <v>71127</v>
          </cell>
          <cell r="C70">
            <v>15652</v>
          </cell>
        </row>
        <row r="71">
          <cell r="A71" t="str">
            <v>Пьянзина Наталья Викторовна</v>
          </cell>
          <cell r="B71">
            <v>90011.85</v>
          </cell>
          <cell r="C71">
            <v>21581.040000000001</v>
          </cell>
        </row>
        <row r="72">
          <cell r="A72" t="str">
            <v>Редецкая Лика Дмитриевна</v>
          </cell>
          <cell r="B72">
            <v>42021</v>
          </cell>
          <cell r="C72">
            <v>10046.4</v>
          </cell>
        </row>
        <row r="73">
          <cell r="A73" t="str">
            <v>Реутов Алексей Александрович</v>
          </cell>
          <cell r="B73">
            <v>50426.85</v>
          </cell>
          <cell r="C73">
            <v>12117.04</v>
          </cell>
        </row>
        <row r="74">
          <cell r="A74" t="str">
            <v>Родяева Валерия Анатоль.</v>
          </cell>
          <cell r="B74">
            <v>138341.2585</v>
          </cell>
          <cell r="C74">
            <v>32623.666399999998</v>
          </cell>
        </row>
        <row r="75">
          <cell r="A75" t="str">
            <v>Рыкова Анастасия Николаевна</v>
          </cell>
          <cell r="B75">
            <v>86352</v>
          </cell>
          <cell r="C75">
            <v>19292</v>
          </cell>
        </row>
        <row r="76">
          <cell r="A76" t="str">
            <v>Рязанцев Андрей Николаевич</v>
          </cell>
          <cell r="B76">
            <v>59996.85</v>
          </cell>
          <cell r="C76">
            <v>14405.04</v>
          </cell>
        </row>
        <row r="77">
          <cell r="A77" t="str">
            <v>Сафоничев Александр Павлович</v>
          </cell>
          <cell r="B77">
            <v>120007.8</v>
          </cell>
          <cell r="C77">
            <v>28691.52</v>
          </cell>
        </row>
        <row r="78">
          <cell r="A78" t="str">
            <v>Светкина Мария Сергеевна</v>
          </cell>
          <cell r="B78">
            <v>77438.204100000003</v>
          </cell>
          <cell r="C78">
            <v>18513.961439999999</v>
          </cell>
        </row>
        <row r="79">
          <cell r="A79" t="str">
            <v>Свиридов Артем Геннадьевич</v>
          </cell>
          <cell r="B79">
            <v>40020</v>
          </cell>
          <cell r="C79">
            <v>9568</v>
          </cell>
        </row>
        <row r="80">
          <cell r="A80" t="str">
            <v>Свистунов Даниил Иванович</v>
          </cell>
          <cell r="B80">
            <v>130065</v>
          </cell>
          <cell r="C80">
            <v>31096</v>
          </cell>
        </row>
        <row r="81">
          <cell r="A81" t="str">
            <v>Семикин Сергей Юрьевич</v>
          </cell>
          <cell r="B81">
            <v>0</v>
          </cell>
          <cell r="C81">
            <v>0</v>
          </cell>
        </row>
        <row r="82">
          <cell r="A82" t="str">
            <v>Скрябина Елена Сергеевна</v>
          </cell>
          <cell r="B82">
            <v>60360.85</v>
          </cell>
          <cell r="C82">
            <v>14041.04</v>
          </cell>
        </row>
        <row r="83">
          <cell r="A83" t="str">
            <v>Соболевский Сергей Сергеевич</v>
          </cell>
          <cell r="B83">
            <v>120060</v>
          </cell>
          <cell r="C83">
            <v>28704</v>
          </cell>
        </row>
        <row r="84">
          <cell r="A84" t="str">
            <v>Старостин Роман Олегович</v>
          </cell>
          <cell r="B84">
            <v>0</v>
          </cell>
          <cell r="C84">
            <v>0</v>
          </cell>
        </row>
        <row r="85">
          <cell r="A85" t="str">
            <v>Страхов Никита Евгеньевич</v>
          </cell>
          <cell r="B85">
            <v>190070.5356</v>
          </cell>
          <cell r="C85">
            <v>45442.151039999997</v>
          </cell>
        </row>
        <row r="86">
          <cell r="A86" t="str">
            <v>Тараскин Алексей Андреевич</v>
          </cell>
          <cell r="B86">
            <v>70035</v>
          </cell>
          <cell r="C86">
            <v>16744</v>
          </cell>
        </row>
        <row r="87">
          <cell r="A87" t="str">
            <v>Тюленев Юрий Юрьевич</v>
          </cell>
          <cell r="B87">
            <v>170085</v>
          </cell>
          <cell r="C87">
            <v>40664</v>
          </cell>
        </row>
        <row r="88">
          <cell r="A88" t="str">
            <v>Федярова Карина Сергеевна</v>
          </cell>
          <cell r="B88">
            <v>60030</v>
          </cell>
          <cell r="C88">
            <v>14352</v>
          </cell>
        </row>
        <row r="89">
          <cell r="A89" t="str">
            <v>Филин Александр  Александрович</v>
          </cell>
          <cell r="B89">
            <v>120060</v>
          </cell>
          <cell r="C89">
            <v>28428</v>
          </cell>
        </row>
        <row r="90">
          <cell r="A90" t="str">
            <v>Филиппова Екатерина Николаевна</v>
          </cell>
          <cell r="B90">
            <v>150405.85</v>
          </cell>
          <cell r="C90">
            <v>35569.040000000001</v>
          </cell>
        </row>
        <row r="91">
          <cell r="A91" t="str">
            <v>Чернова Светлана Александровна</v>
          </cell>
          <cell r="B91">
            <v>70000.2</v>
          </cell>
          <cell r="C91">
            <v>16574.759999999998</v>
          </cell>
        </row>
        <row r="92">
          <cell r="A92" t="str">
            <v>Чирков Станислав Станиславович</v>
          </cell>
          <cell r="B92">
            <v>40020</v>
          </cell>
          <cell r="C92">
            <v>9568</v>
          </cell>
        </row>
        <row r="93">
          <cell r="A93" t="str">
            <v>Чиркова Алевтина Владимировна</v>
          </cell>
          <cell r="B93">
            <v>81098.850000000006</v>
          </cell>
          <cell r="C93">
            <v>18097.04</v>
          </cell>
        </row>
        <row r="94">
          <cell r="A94" t="str">
            <v>Чуркина Татьяна Сергеевна</v>
          </cell>
          <cell r="B94">
            <v>59996.85</v>
          </cell>
          <cell r="C94">
            <v>14405.039999999999</v>
          </cell>
        </row>
        <row r="95">
          <cell r="A95" t="str">
            <v>Швецов Никита Георгиевич</v>
          </cell>
          <cell r="B95">
            <v>100050</v>
          </cell>
          <cell r="C95">
            <v>23920</v>
          </cell>
        </row>
        <row r="96">
          <cell r="A96" t="str">
            <v>Юмакулова Аида Александровна</v>
          </cell>
          <cell r="B96">
            <v>41933.263500000001</v>
          </cell>
          <cell r="C96">
            <v>10068.4584</v>
          </cell>
        </row>
        <row r="97">
          <cell r="A97" t="str">
            <v>Юрченкова Марина Александровна</v>
          </cell>
          <cell r="B97">
            <v>100380.85</v>
          </cell>
          <cell r="C97">
            <v>23609.040000000001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за месяц 2025 (2)"/>
      <sheetName val="за месяц 2025"/>
      <sheetName val="2025"/>
      <sheetName val="2024"/>
    </sheetNames>
    <sheetDataSet>
      <sheetData sheetId="0">
        <row r="8">
          <cell r="A8" t="str">
            <v>Аблов Андрей Дмитриевич</v>
          </cell>
          <cell r="B8">
            <v>90045</v>
          </cell>
          <cell r="C8">
            <v>21528</v>
          </cell>
          <cell r="D8">
            <v>0</v>
          </cell>
          <cell r="E8">
            <v>0</v>
          </cell>
        </row>
        <row r="9">
          <cell r="A9" t="str">
            <v>Абрамова Екатерина Владимировна</v>
          </cell>
          <cell r="B9">
            <v>104508.87119999999</v>
          </cell>
          <cell r="C9">
            <v>25039.822079999998</v>
          </cell>
          <cell r="D9">
            <v>0</v>
          </cell>
          <cell r="E9">
            <v>0</v>
          </cell>
        </row>
        <row r="10">
          <cell r="A10" t="str">
            <v>Аксенова Наталья Валериевна</v>
          </cell>
          <cell r="B10">
            <v>55027.5</v>
          </cell>
          <cell r="C10">
            <v>13156</v>
          </cell>
          <cell r="D10">
            <v>0</v>
          </cell>
          <cell r="E10">
            <v>0</v>
          </cell>
        </row>
        <row r="11">
          <cell r="A11" t="str">
            <v>Андреева Валентина Юрьевна</v>
          </cell>
          <cell r="B11">
            <v>90006</v>
          </cell>
          <cell r="C11">
            <v>21590.399999999998</v>
          </cell>
          <cell r="D11">
            <v>0</v>
          </cell>
          <cell r="E11">
            <v>0</v>
          </cell>
        </row>
        <row r="12">
          <cell r="A12" t="str">
            <v>Антонюк Дарья Дмитриевна</v>
          </cell>
          <cell r="B12">
            <v>80040</v>
          </cell>
          <cell r="C12">
            <v>19136</v>
          </cell>
          <cell r="D12">
            <v>0</v>
          </cell>
          <cell r="E12">
            <v>0</v>
          </cell>
        </row>
        <row r="13">
          <cell r="A13" t="str">
            <v>Балабанова Евгения Юрьевна</v>
          </cell>
          <cell r="B13">
            <v>60212</v>
          </cell>
          <cell r="C13">
            <v>14170</v>
          </cell>
          <cell r="D13">
            <v>0</v>
          </cell>
          <cell r="E13">
            <v>0</v>
          </cell>
        </row>
        <row r="14">
          <cell r="A14" t="str">
            <v>Баландина Наталия Владимировна</v>
          </cell>
          <cell r="B14">
            <v>25659.762599999998</v>
          </cell>
          <cell r="C14">
            <v>6134.74784</v>
          </cell>
          <cell r="D14">
            <v>0</v>
          </cell>
          <cell r="E14">
            <v>0</v>
          </cell>
        </row>
        <row r="15">
          <cell r="A15" t="str">
            <v>Бобров Виктор Александрович</v>
          </cell>
          <cell r="B15">
            <v>115014</v>
          </cell>
          <cell r="C15">
            <v>27497.599999999999</v>
          </cell>
          <cell r="D15">
            <v>0</v>
          </cell>
          <cell r="E15">
            <v>0</v>
          </cell>
        </row>
        <row r="16">
          <cell r="A16" t="str">
            <v>Бойко Мария Сергеевна</v>
          </cell>
          <cell r="B16">
            <v>55980.581099999996</v>
          </cell>
          <cell r="C16">
            <v>12497.748900000001</v>
          </cell>
          <cell r="D16">
            <v>0</v>
          </cell>
          <cell r="E16">
            <v>0</v>
          </cell>
        </row>
        <row r="17">
          <cell r="A17" t="str">
            <v>Боровова Дарья Алексеевна</v>
          </cell>
          <cell r="B17">
            <v>30015</v>
          </cell>
          <cell r="C17">
            <v>7176</v>
          </cell>
          <cell r="D17">
            <v>0</v>
          </cell>
          <cell r="E17">
            <v>0</v>
          </cell>
        </row>
        <row r="18">
          <cell r="A18" t="str">
            <v>Бурмистров Георгий Романович</v>
          </cell>
          <cell r="B18">
            <v>55245</v>
          </cell>
          <cell r="C18">
            <v>13208</v>
          </cell>
          <cell r="D18">
            <v>0</v>
          </cell>
          <cell r="E18">
            <v>0</v>
          </cell>
        </row>
        <row r="19">
          <cell r="A19" t="str">
            <v>Бычкова Елена</v>
          </cell>
          <cell r="B19">
            <v>34517.25</v>
          </cell>
          <cell r="C19">
            <v>8173.0499999999993</v>
          </cell>
          <cell r="D19">
            <v>0</v>
          </cell>
          <cell r="E19">
            <v>0</v>
          </cell>
        </row>
        <row r="20">
          <cell r="A20" t="str">
            <v>Власова Марина Сергеевна</v>
          </cell>
          <cell r="B20">
            <v>110055</v>
          </cell>
          <cell r="C20">
            <v>26312</v>
          </cell>
          <cell r="D20">
            <v>0</v>
          </cell>
          <cell r="E20">
            <v>0</v>
          </cell>
        </row>
        <row r="21">
          <cell r="A21" t="str">
            <v>Волков Александр</v>
          </cell>
          <cell r="B21">
            <v>33816.9</v>
          </cell>
          <cell r="C21">
            <v>8007.22</v>
          </cell>
          <cell r="D21">
            <v>0</v>
          </cell>
          <cell r="E21">
            <v>0</v>
          </cell>
        </row>
        <row r="22">
          <cell r="A22" t="str">
            <v>Галиулин Сергей Ильич</v>
          </cell>
          <cell r="B22">
            <v>24012</v>
          </cell>
          <cell r="C22">
            <v>5685.6</v>
          </cell>
          <cell r="D22">
            <v>0</v>
          </cell>
          <cell r="E22">
            <v>0</v>
          </cell>
        </row>
        <row r="23">
          <cell r="A23" t="str">
            <v>Горина Ирина Николаевна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A24" t="str">
            <v>Гутина Юлия Игоревна</v>
          </cell>
          <cell r="B24">
            <v>55245</v>
          </cell>
          <cell r="C24">
            <v>13208</v>
          </cell>
          <cell r="D24">
            <v>0</v>
          </cell>
          <cell r="E24">
            <v>0</v>
          </cell>
        </row>
        <row r="25">
          <cell r="A25" t="str">
            <v>Давтян Инга Галиковна</v>
          </cell>
          <cell r="B25">
            <v>75216</v>
          </cell>
          <cell r="C25">
            <v>18054.399999999998</v>
          </cell>
          <cell r="D25">
            <v>0</v>
          </cell>
          <cell r="E25">
            <v>0</v>
          </cell>
        </row>
        <row r="26">
          <cell r="A26" t="str">
            <v>Дембовская Михаэла</v>
          </cell>
          <cell r="B26">
            <v>50025</v>
          </cell>
          <cell r="C26">
            <v>11960</v>
          </cell>
          <cell r="D26">
            <v>0</v>
          </cell>
          <cell r="E26">
            <v>0</v>
          </cell>
        </row>
        <row r="27">
          <cell r="A27" t="str">
            <v>Еремин Михаил Сергеевич</v>
          </cell>
          <cell r="B27">
            <v>77449.693499999994</v>
          </cell>
          <cell r="C27">
            <v>18552.570400000001</v>
          </cell>
          <cell r="D27">
            <v>0</v>
          </cell>
          <cell r="E27">
            <v>0</v>
          </cell>
        </row>
        <row r="28">
          <cell r="A28" t="str">
            <v>Залипаев Сергей Сергеевич</v>
          </cell>
          <cell r="B28">
            <v>307057.82610000001</v>
          </cell>
          <cell r="C28">
            <v>73411.526240000007</v>
          </cell>
          <cell r="D28">
            <v>0</v>
          </cell>
          <cell r="E28">
            <v>0</v>
          </cell>
        </row>
        <row r="29">
          <cell r="A29" t="str">
            <v>Иванов Всеволод Игоревич</v>
          </cell>
          <cell r="B29">
            <v>55457.001600000003</v>
          </cell>
          <cell r="C29">
            <v>13258.685439999997</v>
          </cell>
          <cell r="D29">
            <v>0</v>
          </cell>
          <cell r="E29">
            <v>0</v>
          </cell>
        </row>
        <row r="30">
          <cell r="A30" t="str">
            <v>Ильин Иван Константинович</v>
          </cell>
          <cell r="B30">
            <v>590094</v>
          </cell>
          <cell r="C30">
            <v>153726</v>
          </cell>
          <cell r="D30">
            <v>0</v>
          </cell>
          <cell r="E30">
            <v>0</v>
          </cell>
        </row>
        <row r="31">
          <cell r="A31" t="str">
            <v>Ильина Кира Александровна</v>
          </cell>
          <cell r="B31">
            <v>4176</v>
          </cell>
          <cell r="C31">
            <v>998.4</v>
          </cell>
          <cell r="D31">
            <v>0</v>
          </cell>
          <cell r="E31">
            <v>0</v>
          </cell>
        </row>
        <row r="32">
          <cell r="A32" t="str">
            <v>Ильин Константин Иванович</v>
          </cell>
          <cell r="B32">
            <v>8765.25</v>
          </cell>
          <cell r="C32">
            <v>2095.6</v>
          </cell>
          <cell r="D32">
            <v>0</v>
          </cell>
          <cell r="E32">
            <v>0</v>
          </cell>
        </row>
        <row r="33">
          <cell r="A33" t="str">
            <v>Ионкина Вера Сеергеевна</v>
          </cell>
          <cell r="B33">
            <v>100050</v>
          </cell>
          <cell r="C33">
            <v>23920</v>
          </cell>
          <cell r="D33">
            <v>0</v>
          </cell>
          <cell r="E33">
            <v>0</v>
          </cell>
        </row>
        <row r="34">
          <cell r="A34" t="str">
            <v>Исмаилова Людмила Юрьевна</v>
          </cell>
          <cell r="B34">
            <v>60245.037599999996</v>
          </cell>
          <cell r="C34">
            <v>13769.90784</v>
          </cell>
          <cell r="D34">
            <v>0</v>
          </cell>
          <cell r="E34">
            <v>0</v>
          </cell>
        </row>
        <row r="35">
          <cell r="A35" t="str">
            <v>Кадышев Алексей Александрович</v>
          </cell>
          <cell r="B35">
            <v>15562.2</v>
          </cell>
          <cell r="C35">
            <v>3044.08</v>
          </cell>
          <cell r="D35">
            <v>0</v>
          </cell>
          <cell r="E35">
            <v>0</v>
          </cell>
        </row>
        <row r="36">
          <cell r="A36" t="str">
            <v>Калягина Анна Сергеевна</v>
          </cell>
          <cell r="B36">
            <v>70035</v>
          </cell>
          <cell r="C36">
            <v>16744</v>
          </cell>
          <cell r="D36">
            <v>0</v>
          </cell>
          <cell r="E36">
            <v>0</v>
          </cell>
        </row>
        <row r="37">
          <cell r="A37" t="str">
            <v>Кириченко Валерия Николаевна</v>
          </cell>
          <cell r="B37">
            <v>60030</v>
          </cell>
          <cell r="C37">
            <v>14351.999999999996</v>
          </cell>
          <cell r="D37">
            <v>36000.6</v>
          </cell>
          <cell r="E37">
            <v>8607.0399999999991</v>
          </cell>
        </row>
        <row r="38">
          <cell r="A38" t="str">
            <v>Кириченко Виктория Николаевна</v>
          </cell>
          <cell r="B38">
            <v>58290</v>
          </cell>
          <cell r="C38">
            <v>13936</v>
          </cell>
          <cell r="D38">
            <v>0</v>
          </cell>
          <cell r="E38">
            <v>0</v>
          </cell>
        </row>
        <row r="39">
          <cell r="A39" t="str">
            <v>Кнутов Артём Виталиевич</v>
          </cell>
          <cell r="B39">
            <v>85806</v>
          </cell>
          <cell r="C39">
            <v>19838</v>
          </cell>
          <cell r="D39">
            <v>0</v>
          </cell>
          <cell r="E39">
            <v>0</v>
          </cell>
        </row>
        <row r="40">
          <cell r="A40" t="str">
            <v>Князев Дмитрий Игоревич</v>
          </cell>
          <cell r="B40">
            <v>100011</v>
          </cell>
          <cell r="C40">
            <v>23982.399999999998</v>
          </cell>
          <cell r="D40">
            <v>0</v>
          </cell>
          <cell r="E40">
            <v>0</v>
          </cell>
        </row>
        <row r="41">
          <cell r="A41" t="str">
            <v>Коваленко Ольга Владимировна</v>
          </cell>
          <cell r="B41">
            <v>80547</v>
          </cell>
          <cell r="C41">
            <v>18652.399999999998</v>
          </cell>
          <cell r="D41">
            <v>0</v>
          </cell>
          <cell r="E41">
            <v>0</v>
          </cell>
        </row>
        <row r="42">
          <cell r="A42" t="str">
            <v>Козикова Анастасия Валерьевна</v>
          </cell>
          <cell r="B42">
            <v>70035</v>
          </cell>
          <cell r="C42">
            <v>16744</v>
          </cell>
          <cell r="D42">
            <v>0</v>
          </cell>
          <cell r="E42">
            <v>0</v>
          </cell>
        </row>
        <row r="43">
          <cell r="A43" t="str">
            <v>Копаева Юлия Андреевна</v>
          </cell>
          <cell r="B43">
            <v>69996</v>
          </cell>
          <cell r="C43">
            <v>16806.399999999998</v>
          </cell>
          <cell r="D43">
            <v>0</v>
          </cell>
          <cell r="E43">
            <v>0</v>
          </cell>
        </row>
        <row r="44">
          <cell r="A44" t="str">
            <v>Коробач Евгений Сергеевич</v>
          </cell>
          <cell r="B44">
            <v>75048.129267911558</v>
          </cell>
          <cell r="C44">
            <v>18002.99317134151</v>
          </cell>
          <cell r="D44">
            <v>13993.910732088445</v>
          </cell>
          <cell r="E44">
            <v>3356.9428286584889</v>
          </cell>
        </row>
        <row r="45">
          <cell r="A45" t="str">
            <v>Котов Александр Владимирович</v>
          </cell>
          <cell r="B45">
            <v>69996</v>
          </cell>
          <cell r="C45">
            <v>16806.399999999998</v>
          </cell>
          <cell r="D45">
            <v>0</v>
          </cell>
          <cell r="E45">
            <v>0</v>
          </cell>
        </row>
        <row r="46">
          <cell r="A46" t="str">
            <v>Крутяков Алексей Александрович</v>
          </cell>
          <cell r="B46">
            <v>47956.914300000004</v>
          </cell>
          <cell r="C46">
            <v>11465.561119999997</v>
          </cell>
          <cell r="D46">
            <v>0</v>
          </cell>
          <cell r="E46">
            <v>0</v>
          </cell>
        </row>
        <row r="47">
          <cell r="A47" t="str">
            <v>Крыгина Наталья Сергеевна</v>
          </cell>
          <cell r="B47">
            <v>75213.563046487296</v>
          </cell>
          <cell r="C47">
            <v>17817.836953512713</v>
          </cell>
          <cell r="D47">
            <v>28049.51695351271</v>
          </cell>
          <cell r="E47">
            <v>6644.8350464872892</v>
          </cell>
        </row>
        <row r="48">
          <cell r="A48" t="str">
            <v>Куракин Валерий Сергеевич</v>
          </cell>
          <cell r="B48">
            <v>110055</v>
          </cell>
          <cell r="C48">
            <v>26312</v>
          </cell>
          <cell r="D48">
            <v>0</v>
          </cell>
          <cell r="E48">
            <v>0</v>
          </cell>
        </row>
        <row r="49">
          <cell r="A49" t="str">
            <v>Лобанов Артем Николаеич</v>
          </cell>
          <cell r="B49">
            <v>92181</v>
          </cell>
          <cell r="C49">
            <v>22110.399999999998</v>
          </cell>
          <cell r="D49">
            <v>0</v>
          </cell>
          <cell r="E49">
            <v>0</v>
          </cell>
        </row>
        <row r="50">
          <cell r="A50" t="str">
            <v>Логвинова Уэзерфилд Линас</v>
          </cell>
          <cell r="B50">
            <v>65211</v>
          </cell>
          <cell r="C50">
            <v>15662.4</v>
          </cell>
          <cell r="D50">
            <v>0</v>
          </cell>
          <cell r="E50">
            <v>0</v>
          </cell>
        </row>
        <row r="51">
          <cell r="A51" t="str">
            <v>Малыхина Юлия Эдуардовна</v>
          </cell>
          <cell r="B51">
            <v>143201.9472</v>
          </cell>
          <cell r="C51">
            <v>33578.180480000003</v>
          </cell>
          <cell r="D51">
            <v>0</v>
          </cell>
          <cell r="E51">
            <v>0</v>
          </cell>
        </row>
        <row r="52">
          <cell r="A52" t="str">
            <v>Марилова Ольга Сергеевна</v>
          </cell>
          <cell r="B52">
            <v>60030</v>
          </cell>
          <cell r="C52">
            <v>14352</v>
          </cell>
          <cell r="D52">
            <v>0</v>
          </cell>
          <cell r="E52">
            <v>0</v>
          </cell>
        </row>
        <row r="53">
          <cell r="A53" t="str">
            <v>Маркова Светлана Геннадьевна</v>
          </cell>
          <cell r="B53">
            <v>91026</v>
          </cell>
          <cell r="C53">
            <v>21086</v>
          </cell>
          <cell r="D53">
            <v>0</v>
          </cell>
          <cell r="E53">
            <v>0</v>
          </cell>
        </row>
        <row r="54">
          <cell r="A54" t="str">
            <v>Масленникова Наталья Федоровна</v>
          </cell>
          <cell r="B54">
            <v>80001</v>
          </cell>
          <cell r="C54">
            <v>19198.399999999998</v>
          </cell>
          <cell r="D54">
            <v>0</v>
          </cell>
          <cell r="E54">
            <v>0</v>
          </cell>
        </row>
        <row r="55">
          <cell r="A55" t="str">
            <v>Масько Анастасия Александровна</v>
          </cell>
          <cell r="B55">
            <v>57033</v>
          </cell>
          <cell r="C55">
            <v>13707.199999999999</v>
          </cell>
          <cell r="D55">
            <v>0</v>
          </cell>
          <cell r="E55">
            <v>0</v>
          </cell>
        </row>
        <row r="56">
          <cell r="A56" t="str">
            <v xml:space="preserve">Миронова Алина Владимировна </v>
          </cell>
          <cell r="B56">
            <v>55245</v>
          </cell>
          <cell r="C56">
            <v>13208</v>
          </cell>
          <cell r="D56">
            <v>3651.39</v>
          </cell>
          <cell r="E56">
            <v>872.976</v>
          </cell>
        </row>
        <row r="57">
          <cell r="A57" t="str">
            <v>Мирошникова Елена Владимировна</v>
          </cell>
          <cell r="B57">
            <v>80001</v>
          </cell>
          <cell r="C57">
            <v>19198.399999999998</v>
          </cell>
          <cell r="D57">
            <v>0</v>
          </cell>
          <cell r="E57">
            <v>0</v>
          </cell>
        </row>
        <row r="58">
          <cell r="A58" t="str">
            <v>Михина Надежда Алексеевна</v>
          </cell>
          <cell r="B58">
            <v>92547</v>
          </cell>
          <cell r="C58">
            <v>19588.399999999998</v>
          </cell>
          <cell r="D58">
            <v>0</v>
          </cell>
          <cell r="E58">
            <v>0</v>
          </cell>
        </row>
        <row r="59">
          <cell r="A59" t="str">
            <v>Морозова  Анастасия Леонидовна</v>
          </cell>
          <cell r="B59">
            <v>15068.9133</v>
          </cell>
          <cell r="C59">
            <v>3602.6827200000002</v>
          </cell>
          <cell r="D59">
            <v>0</v>
          </cell>
          <cell r="E59">
            <v>0</v>
          </cell>
        </row>
        <row r="60">
          <cell r="A60" t="str">
            <v>Моряков Дмитрий Владимирович</v>
          </cell>
          <cell r="B60">
            <v>159863.1612</v>
          </cell>
          <cell r="C60">
            <v>38220.158080000001</v>
          </cell>
          <cell r="D60">
            <v>0</v>
          </cell>
          <cell r="E60">
            <v>0</v>
          </cell>
        </row>
        <row r="61">
          <cell r="A61" t="str">
            <v>Новикова Екатерина Вадимовна</v>
          </cell>
          <cell r="B61">
            <v>59991</v>
          </cell>
          <cell r="C61">
            <v>14414.4</v>
          </cell>
          <cell r="D61">
            <v>0</v>
          </cell>
          <cell r="E61">
            <v>0</v>
          </cell>
        </row>
        <row r="62">
          <cell r="A62" t="str">
            <v>Орлова Алла Александровна</v>
          </cell>
          <cell r="B62">
            <v>60426</v>
          </cell>
          <cell r="C62">
            <v>14518.4</v>
          </cell>
          <cell r="D62">
            <v>0</v>
          </cell>
          <cell r="E62">
            <v>0</v>
          </cell>
        </row>
        <row r="63">
          <cell r="A63" t="str">
            <v>Осепян Артем Андреевич</v>
          </cell>
          <cell r="B63">
            <v>42045.36</v>
          </cell>
          <cell r="C63">
            <v>9955.5679999999993</v>
          </cell>
          <cell r="D63">
            <v>0</v>
          </cell>
          <cell r="E63">
            <v>0</v>
          </cell>
        </row>
        <row r="64">
          <cell r="A64" t="str">
            <v>Паршакина Ольга Сергеевна</v>
          </cell>
          <cell r="B64">
            <v>75437</v>
          </cell>
          <cell r="C64">
            <v>17810</v>
          </cell>
          <cell r="D64">
            <v>0</v>
          </cell>
          <cell r="E64">
            <v>0</v>
          </cell>
        </row>
        <row r="65">
          <cell r="A65" t="str">
            <v>Петрухина Дарья Александровна</v>
          </cell>
          <cell r="B65">
            <v>0</v>
          </cell>
          <cell r="C65">
            <v>0</v>
          </cell>
          <cell r="D65">
            <v>0</v>
          </cell>
        </row>
        <row r="66">
          <cell r="A66" t="str">
            <v>Пикулина София Владимировна</v>
          </cell>
          <cell r="B66">
            <v>60698.029500000004</v>
          </cell>
          <cell r="C66">
            <v>14511.712800000001</v>
          </cell>
          <cell r="D66">
            <v>0</v>
          </cell>
          <cell r="E66">
            <v>0</v>
          </cell>
        </row>
        <row r="67">
          <cell r="A67" t="str">
            <v>Пискунова Надежда Константиновна</v>
          </cell>
          <cell r="B67">
            <v>103898</v>
          </cell>
          <cell r="C67">
            <v>20072</v>
          </cell>
          <cell r="D67">
            <v>0</v>
          </cell>
          <cell r="E67">
            <v>0</v>
          </cell>
        </row>
        <row r="68">
          <cell r="A68" t="str">
            <v>Попова Юлия Андреевна</v>
          </cell>
          <cell r="B68">
            <v>65037</v>
          </cell>
          <cell r="C68">
            <v>15620.8</v>
          </cell>
          <cell r="D68">
            <v>0</v>
          </cell>
          <cell r="E68">
            <v>0</v>
          </cell>
        </row>
        <row r="69">
          <cell r="A69" t="str">
            <v>Попова Юлия Владимировна</v>
          </cell>
          <cell r="B69">
            <v>59991</v>
          </cell>
          <cell r="C69">
            <v>14414.4</v>
          </cell>
          <cell r="D69">
            <v>0</v>
          </cell>
          <cell r="E69">
            <v>0</v>
          </cell>
        </row>
        <row r="70">
          <cell r="A70" t="str">
            <v>Потковский Иван Владимирович</v>
          </cell>
          <cell r="B70">
            <v>69996</v>
          </cell>
          <cell r="C70">
            <v>16806.399999999998</v>
          </cell>
          <cell r="D70">
            <v>0</v>
          </cell>
          <cell r="E70">
            <v>0</v>
          </cell>
        </row>
        <row r="71">
          <cell r="A71" t="str">
            <v>Пушкина Юлия Игоревна</v>
          </cell>
          <cell r="B71">
            <v>53072.25</v>
          </cell>
          <cell r="C71">
            <v>12012</v>
          </cell>
          <cell r="D71">
            <v>0</v>
          </cell>
          <cell r="E71">
            <v>0</v>
          </cell>
        </row>
        <row r="72">
          <cell r="A72" t="str">
            <v>Пьянзина Наталья Викторовна</v>
          </cell>
          <cell r="B72">
            <v>90009.538602101413</v>
          </cell>
          <cell r="C72">
            <v>21584.738236637735</v>
          </cell>
          <cell r="D72">
            <v>8981.8213978985841</v>
          </cell>
          <cell r="E72">
            <v>2153.8857633622656</v>
          </cell>
        </row>
        <row r="73">
          <cell r="A73" t="str">
            <v>Редецкая Лика Дмитриевна</v>
          </cell>
          <cell r="B73">
            <v>52200</v>
          </cell>
          <cell r="C73">
            <v>12480</v>
          </cell>
          <cell r="D73">
            <v>0</v>
          </cell>
          <cell r="E73">
            <v>0</v>
          </cell>
        </row>
        <row r="74">
          <cell r="A74" t="str">
            <v>Реутов Алексей Александрович</v>
          </cell>
          <cell r="B74">
            <v>50421</v>
          </cell>
          <cell r="C74">
            <v>12126.4</v>
          </cell>
          <cell r="D74">
            <v>0</v>
          </cell>
          <cell r="E74">
            <v>0</v>
          </cell>
        </row>
        <row r="75">
          <cell r="A75" t="str">
            <v>Родяева Валерия Анатоль.</v>
          </cell>
          <cell r="B75">
            <v>43051.25</v>
          </cell>
          <cell r="C75">
            <v>10067.199999999999</v>
          </cell>
          <cell r="D75">
            <v>0</v>
          </cell>
          <cell r="E75">
            <v>0</v>
          </cell>
        </row>
        <row r="76">
          <cell r="A76" t="str">
            <v>Рыкова Анастасия Николаевна</v>
          </cell>
          <cell r="B76">
            <v>85806</v>
          </cell>
          <cell r="C76">
            <v>19838</v>
          </cell>
          <cell r="D76">
            <v>0</v>
          </cell>
          <cell r="E76">
            <v>0</v>
          </cell>
        </row>
        <row r="77">
          <cell r="A77" t="str">
            <v>Рязанцев Андрей Николаевич</v>
          </cell>
          <cell r="B77">
            <v>59991</v>
          </cell>
          <cell r="C77">
            <v>14414.4</v>
          </cell>
          <cell r="D77">
            <v>0</v>
          </cell>
          <cell r="E77">
            <v>0</v>
          </cell>
        </row>
        <row r="78">
          <cell r="A78" t="str">
            <v>Сафоничев Александр Павлович</v>
          </cell>
          <cell r="B78">
            <v>175563.09419999999</v>
          </cell>
          <cell r="C78">
            <v>41973.705280000002</v>
          </cell>
          <cell r="D78">
            <v>0</v>
          </cell>
          <cell r="E78">
            <v>0</v>
          </cell>
        </row>
        <row r="79">
          <cell r="A79" t="str">
            <v>Светкина Мария Сергеевна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</row>
        <row r="80">
          <cell r="A80" t="str">
            <v>Свиридов Артем Геннадьевич</v>
          </cell>
          <cell r="B80">
            <v>50025</v>
          </cell>
          <cell r="C80">
            <v>11960</v>
          </cell>
          <cell r="D80">
            <v>0</v>
          </cell>
          <cell r="E80">
            <v>0</v>
          </cell>
        </row>
        <row r="81">
          <cell r="A81" t="str">
            <v>Свистунов Даниил Иванович</v>
          </cell>
          <cell r="B81">
            <v>130065</v>
          </cell>
          <cell r="C81">
            <v>31096</v>
          </cell>
          <cell r="D81">
            <v>0</v>
          </cell>
          <cell r="E81">
            <v>0</v>
          </cell>
        </row>
        <row r="82">
          <cell r="A82" t="str">
            <v>Семикин Сергей Юрьевич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</row>
        <row r="83">
          <cell r="A83" t="str">
            <v>Скрябина Елена Сергеевна</v>
          </cell>
          <cell r="B83">
            <v>70178</v>
          </cell>
          <cell r="C83">
            <v>16624.399999999998</v>
          </cell>
          <cell r="D83">
            <v>0</v>
          </cell>
          <cell r="E83">
            <v>0</v>
          </cell>
        </row>
        <row r="84">
          <cell r="A84" t="str">
            <v>Соболевский Сергей Сергеевич</v>
          </cell>
          <cell r="B84">
            <v>120060</v>
          </cell>
          <cell r="C84">
            <v>28704</v>
          </cell>
          <cell r="D84">
            <v>0</v>
          </cell>
          <cell r="E84">
            <v>0</v>
          </cell>
        </row>
        <row r="85">
          <cell r="A85" t="str">
            <v>Старостин Роман Олегович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</row>
        <row r="86">
          <cell r="A86" t="str">
            <v>Страхов Никита Евгеньевич</v>
          </cell>
          <cell r="B86">
            <v>42021</v>
          </cell>
          <cell r="C86">
            <v>10046.4</v>
          </cell>
          <cell r="D86">
            <v>0</v>
          </cell>
          <cell r="E86">
            <v>0</v>
          </cell>
        </row>
        <row r="87">
          <cell r="A87" t="str">
            <v>Тараскин Алексей Андреевич</v>
          </cell>
          <cell r="B87">
            <v>70035</v>
          </cell>
          <cell r="C87">
            <v>16744</v>
          </cell>
          <cell r="D87">
            <v>0</v>
          </cell>
          <cell r="E87">
            <v>0</v>
          </cell>
        </row>
        <row r="88">
          <cell r="A88" t="str">
            <v>Тюленев Юрий Юрьевич</v>
          </cell>
          <cell r="B88">
            <v>170085</v>
          </cell>
          <cell r="C88">
            <v>40664</v>
          </cell>
          <cell r="D88">
            <v>0</v>
          </cell>
          <cell r="E88">
            <v>0</v>
          </cell>
        </row>
        <row r="89">
          <cell r="A89" t="str">
            <v>Федярова Карина Сергеевна</v>
          </cell>
          <cell r="B89">
            <v>60030</v>
          </cell>
          <cell r="C89">
            <v>14352</v>
          </cell>
          <cell r="D89">
            <v>0</v>
          </cell>
          <cell r="E89">
            <v>0</v>
          </cell>
        </row>
        <row r="90">
          <cell r="A90" t="str">
            <v>Филин Александр  Александрович</v>
          </cell>
          <cell r="B90">
            <v>120060</v>
          </cell>
          <cell r="C90">
            <v>28428</v>
          </cell>
          <cell r="D90">
            <v>0</v>
          </cell>
          <cell r="E90">
            <v>0</v>
          </cell>
        </row>
        <row r="91">
          <cell r="A91" t="str">
            <v>Филиппова Екатерина Николаевна</v>
          </cell>
          <cell r="B91">
            <v>150046.87111934338</v>
          </cell>
          <cell r="C91">
            <v>35925.006209050582</v>
          </cell>
          <cell r="D91">
            <v>57989.418880656609</v>
          </cell>
          <cell r="E91">
            <v>13884.129790949421</v>
          </cell>
        </row>
        <row r="92">
          <cell r="A92" t="str">
            <v>Цаплина Олеся Рахимзяновна</v>
          </cell>
          <cell r="B92">
            <v>25088.400000000001</v>
          </cell>
          <cell r="C92">
            <v>4673.7599999999993</v>
          </cell>
          <cell r="D92">
            <v>0</v>
          </cell>
          <cell r="E92">
            <v>0</v>
          </cell>
        </row>
        <row r="93">
          <cell r="A93" t="str">
            <v>Чернова Светлана Александровна</v>
          </cell>
          <cell r="B93">
            <v>70000.2</v>
          </cell>
          <cell r="C93">
            <v>16574.759999999998</v>
          </cell>
          <cell r="D93">
            <v>0</v>
          </cell>
          <cell r="E93">
            <v>0</v>
          </cell>
        </row>
        <row r="94">
          <cell r="A94" t="str">
            <v>Чирков Станислав Станиславович</v>
          </cell>
          <cell r="B94">
            <v>40020</v>
          </cell>
          <cell r="C94">
            <v>9568</v>
          </cell>
          <cell r="D94">
            <v>0</v>
          </cell>
          <cell r="E94">
            <v>0</v>
          </cell>
        </row>
        <row r="95">
          <cell r="A95" t="str">
            <v>Чиркова Алевтина Владимировна</v>
          </cell>
          <cell r="B95">
            <v>80547</v>
          </cell>
          <cell r="C95">
            <v>18652.399999999998</v>
          </cell>
          <cell r="D95">
            <v>0</v>
          </cell>
          <cell r="E95">
            <v>0</v>
          </cell>
        </row>
        <row r="96">
          <cell r="A96" t="str">
            <v>Чуркина Татьяна Сергеевна</v>
          </cell>
          <cell r="B96">
            <v>88942.475099999996</v>
          </cell>
          <cell r="C96">
            <v>21264.40784</v>
          </cell>
          <cell r="D96">
            <v>0</v>
          </cell>
          <cell r="E96">
            <v>0</v>
          </cell>
        </row>
        <row r="97">
          <cell r="A97" t="str">
            <v>Швецов Никита Георгиевич</v>
          </cell>
          <cell r="B97">
            <v>100050</v>
          </cell>
          <cell r="C97">
            <v>23920</v>
          </cell>
          <cell r="D97">
            <v>0</v>
          </cell>
          <cell r="E97">
            <v>0</v>
          </cell>
        </row>
        <row r="98">
          <cell r="A98" t="str">
            <v>Юмакулова Аида Александровна</v>
          </cell>
          <cell r="B98">
            <v>26266.5</v>
          </cell>
          <cell r="C98">
            <v>6333.5999999999995</v>
          </cell>
          <cell r="D98">
            <v>0</v>
          </cell>
          <cell r="E98">
            <v>0</v>
          </cell>
        </row>
        <row r="99">
          <cell r="A99" t="str">
            <v>Юрченкова Марина Александровна</v>
          </cell>
          <cell r="B99">
            <v>100129.15230742573</v>
          </cell>
          <cell r="C99">
            <v>23853.799888334841</v>
          </cell>
          <cell r="D99">
            <v>80768.527692574266</v>
          </cell>
          <cell r="E99">
            <v>19241.512111665157</v>
          </cell>
        </row>
      </sheetData>
      <sheetData sheetId="1"/>
      <sheetData sheetId="2"/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за месяц 2025"/>
    </sheetNames>
    <sheetDataSet>
      <sheetData sheetId="0">
        <row r="7">
          <cell r="A7" t="str">
            <v>Ф.И.О.</v>
          </cell>
        </row>
        <row r="8">
          <cell r="A8" t="str">
            <v>Аблов Андрей Дмитриевич</v>
          </cell>
          <cell r="B8">
            <v>61935.717599999996</v>
          </cell>
          <cell r="C8">
            <v>14807.619839999999</v>
          </cell>
        </row>
        <row r="9">
          <cell r="A9" t="str">
            <v>Абрамова Екатерина Владимировна</v>
          </cell>
          <cell r="B9">
            <v>109360.164</v>
          </cell>
          <cell r="C9">
            <v>26203.257599999997</v>
          </cell>
        </row>
        <row r="10">
          <cell r="A10" t="str">
            <v>Аксенова Наталья Валериевна</v>
          </cell>
          <cell r="B10">
            <v>100050</v>
          </cell>
          <cell r="C10">
            <v>23920</v>
          </cell>
        </row>
        <row r="11">
          <cell r="A11" t="str">
            <v>Андреева Валентина Юрьевна</v>
          </cell>
          <cell r="B11">
            <v>90004.05</v>
          </cell>
          <cell r="C11">
            <v>21593.52</v>
          </cell>
        </row>
        <row r="12">
          <cell r="A12" t="str">
            <v>Антонюк Дарья Дмитриевна</v>
          </cell>
          <cell r="B12">
            <v>80040</v>
          </cell>
          <cell r="C12">
            <v>19136</v>
          </cell>
        </row>
        <row r="13">
          <cell r="A13" t="str">
            <v>Арнаут Денис Александрович</v>
          </cell>
          <cell r="B13">
            <v>55576.05</v>
          </cell>
          <cell r="C13">
            <v>12685.919999999998</v>
          </cell>
        </row>
        <row r="14">
          <cell r="A14" t="str">
            <v>Балабанова Евгения Юрьевна</v>
          </cell>
          <cell r="B14">
            <v>45919.144099999998</v>
          </cell>
          <cell r="C14">
            <v>10752.85744</v>
          </cell>
        </row>
        <row r="15">
          <cell r="A15" t="str">
            <v>Баландина Наталия Владимировна</v>
          </cell>
          <cell r="B15">
            <v>19960.5579</v>
          </cell>
          <cell r="C15">
            <v>4772.1793599999992</v>
          </cell>
        </row>
        <row r="16">
          <cell r="A16" t="str">
            <v>Бобров Виктор Александрович</v>
          </cell>
          <cell r="B16">
            <v>115014</v>
          </cell>
          <cell r="C16">
            <v>27497.599999999999</v>
          </cell>
        </row>
        <row r="17">
          <cell r="A17" t="str">
            <v>Бойко Мария Сергеевна</v>
          </cell>
          <cell r="B17">
            <v>64990.176599999992</v>
          </cell>
          <cell r="C17">
            <v>14897.205439999998</v>
          </cell>
        </row>
        <row r="18">
          <cell r="A18" t="str">
            <v>Боровова Дарья Алексеевна</v>
          </cell>
          <cell r="B18">
            <v>30015</v>
          </cell>
          <cell r="C18">
            <v>7176</v>
          </cell>
        </row>
        <row r="19">
          <cell r="A19" t="str">
            <v>Бурмистров Георгий Романович</v>
          </cell>
          <cell r="B19">
            <v>65250</v>
          </cell>
          <cell r="C19">
            <v>15600</v>
          </cell>
        </row>
        <row r="20">
          <cell r="A20" t="str">
            <v>Бычкова Елена</v>
          </cell>
          <cell r="B20">
            <v>0</v>
          </cell>
          <cell r="C20">
            <v>0</v>
          </cell>
        </row>
        <row r="21">
          <cell r="A21" t="str">
            <v>Власова Марина Сергеевна</v>
          </cell>
          <cell r="B21">
            <v>90832.080300000001</v>
          </cell>
          <cell r="C21">
            <v>21090.323800000002</v>
          </cell>
        </row>
        <row r="22">
          <cell r="A22" t="str">
            <v>Волков Александр</v>
          </cell>
          <cell r="B22">
            <v>48774.81</v>
          </cell>
          <cell r="C22">
            <v>11548.977999999999</v>
          </cell>
        </row>
        <row r="23">
          <cell r="A23" t="str">
            <v>Галиулин Сергей Ильич</v>
          </cell>
          <cell r="B23">
            <v>0</v>
          </cell>
          <cell r="C23">
            <v>0</v>
          </cell>
        </row>
        <row r="24">
          <cell r="A24" t="str">
            <v>Горина Ирина Николаевна</v>
          </cell>
          <cell r="B24">
            <v>0</v>
          </cell>
          <cell r="C24">
            <v>0</v>
          </cell>
        </row>
        <row r="25">
          <cell r="A25" t="str">
            <v>Гутина Юлия Игоревна</v>
          </cell>
          <cell r="B25">
            <v>50196.755399999995</v>
          </cell>
          <cell r="C25">
            <v>12001.06336</v>
          </cell>
        </row>
        <row r="26">
          <cell r="A26" t="str">
            <v>Давтян Инга Галиковна</v>
          </cell>
          <cell r="B26">
            <v>75214.05</v>
          </cell>
          <cell r="C26">
            <v>18057.52</v>
          </cell>
        </row>
        <row r="27">
          <cell r="A27" t="str">
            <v>Дембовская Михаэла</v>
          </cell>
          <cell r="B27">
            <v>60030</v>
          </cell>
          <cell r="C27">
            <v>14352</v>
          </cell>
        </row>
        <row r="28">
          <cell r="A28" t="str">
            <v>Еремин Михаил Сергеевич</v>
          </cell>
          <cell r="B28">
            <v>72380.097000000009</v>
          </cell>
          <cell r="C28">
            <v>17372.804800000002</v>
          </cell>
        </row>
        <row r="29">
          <cell r="A29" t="str">
            <v>Залипаев Сергей Сергеевич</v>
          </cell>
          <cell r="B29">
            <v>0</v>
          </cell>
          <cell r="C29">
            <v>0</v>
          </cell>
        </row>
        <row r="30">
          <cell r="A30" t="str">
            <v>Иванов Всеволод Игоревич</v>
          </cell>
          <cell r="B30">
            <v>59012.500199999995</v>
          </cell>
          <cell r="C30">
            <v>14108.735679999998</v>
          </cell>
        </row>
        <row r="31">
          <cell r="A31" t="str">
            <v>Ильин Иван Константинович</v>
          </cell>
          <cell r="B31">
            <v>590163.31400000001</v>
          </cell>
          <cell r="C31">
            <v>154650.81760000001</v>
          </cell>
        </row>
        <row r="32">
          <cell r="A32" t="str">
            <v>Ильина Кира Александровна</v>
          </cell>
          <cell r="B32">
            <v>10440</v>
          </cell>
          <cell r="C32">
            <v>2496</v>
          </cell>
        </row>
        <row r="33">
          <cell r="A33" t="str">
            <v>Ильин Константин Иванович</v>
          </cell>
          <cell r="B33">
            <v>8765.25</v>
          </cell>
          <cell r="C33">
            <v>2095.6</v>
          </cell>
        </row>
        <row r="34">
          <cell r="A34" t="str">
            <v>Ионкина Вера Сеергеевна</v>
          </cell>
          <cell r="B34">
            <v>100050</v>
          </cell>
          <cell r="C34">
            <v>23920</v>
          </cell>
        </row>
        <row r="35">
          <cell r="A35" t="str">
            <v>Исмаилова Людмила Юрьевна</v>
          </cell>
          <cell r="B35">
            <v>70540.05</v>
          </cell>
          <cell r="C35">
            <v>16263.519999999999</v>
          </cell>
        </row>
        <row r="36">
          <cell r="A36" t="str">
            <v>Кадышев Алексей Александрович</v>
          </cell>
          <cell r="B36">
            <v>75627</v>
          </cell>
          <cell r="C36">
            <v>17404.399999999998</v>
          </cell>
        </row>
        <row r="37">
          <cell r="A37" t="str">
            <v>Калягина Анна Сергеевна</v>
          </cell>
          <cell r="B37">
            <v>70035</v>
          </cell>
          <cell r="C37">
            <v>16744</v>
          </cell>
        </row>
        <row r="38">
          <cell r="A38" t="str">
            <v>Кириченко Валерия Николаевна</v>
          </cell>
          <cell r="B38">
            <v>60030</v>
          </cell>
          <cell r="C38">
            <v>14352</v>
          </cell>
        </row>
        <row r="39">
          <cell r="A39" t="str">
            <v>Кириченко Виктория Николаевна</v>
          </cell>
          <cell r="B39">
            <v>58290</v>
          </cell>
          <cell r="C39">
            <v>13936</v>
          </cell>
        </row>
        <row r="40">
          <cell r="A40" t="str">
            <v>Кнутов Артём Виталиевич</v>
          </cell>
          <cell r="B40">
            <v>95811</v>
          </cell>
          <cell r="C40">
            <v>22230</v>
          </cell>
        </row>
        <row r="41">
          <cell r="A41" t="str">
            <v>Князев Дмитрий Игоревич</v>
          </cell>
          <cell r="B41">
            <v>99955.05</v>
          </cell>
          <cell r="C41">
            <v>24039.52</v>
          </cell>
        </row>
        <row r="42">
          <cell r="A42" t="str">
            <v>Коваленко Ольга Владимировна</v>
          </cell>
          <cell r="B42">
            <v>80545.05</v>
          </cell>
          <cell r="C42">
            <v>18655.52</v>
          </cell>
        </row>
        <row r="43">
          <cell r="A43" t="str">
            <v>Козикова Анастасия Валерьевна</v>
          </cell>
          <cell r="B43">
            <v>44610.520199999999</v>
          </cell>
          <cell r="C43">
            <v>10253.9398</v>
          </cell>
        </row>
        <row r="44">
          <cell r="A44" t="str">
            <v>Копаева Юлия Андреевна</v>
          </cell>
          <cell r="B44">
            <v>69994.05</v>
          </cell>
          <cell r="C44">
            <v>16809.52</v>
          </cell>
        </row>
        <row r="45">
          <cell r="A45" t="str">
            <v>Коробач Евгений Сергеевич</v>
          </cell>
          <cell r="B45">
            <v>73463.998499999987</v>
          </cell>
          <cell r="C45">
            <v>17596.082399999999</v>
          </cell>
        </row>
        <row r="46">
          <cell r="A46" t="str">
            <v>Котов Александр Владимирович</v>
          </cell>
          <cell r="B46">
            <v>98279.378100000002</v>
          </cell>
          <cell r="C46">
            <v>23568.403039999997</v>
          </cell>
        </row>
        <row r="47">
          <cell r="A47" t="str">
            <v>Крыгина Наталья Сергеевна</v>
          </cell>
          <cell r="B47">
            <v>86109.507500000007</v>
          </cell>
          <cell r="C47">
            <v>20361.588000000003</v>
          </cell>
        </row>
        <row r="48">
          <cell r="A48" t="str">
            <v>Куракин Валерий Сергеевич</v>
          </cell>
          <cell r="B48">
            <v>110055</v>
          </cell>
          <cell r="C48">
            <v>26312</v>
          </cell>
        </row>
        <row r="49">
          <cell r="A49" t="str">
            <v>Лобанов Артем Николаеич</v>
          </cell>
          <cell r="B49">
            <v>92179.05</v>
          </cell>
          <cell r="C49">
            <v>22113.52</v>
          </cell>
        </row>
        <row r="50">
          <cell r="A50" t="str">
            <v>Логвинова Уэзерфилд Линас</v>
          </cell>
          <cell r="B50">
            <v>65209.05</v>
          </cell>
          <cell r="C50">
            <v>15665.519999999999</v>
          </cell>
        </row>
        <row r="51">
          <cell r="A51" t="str">
            <v>Малыхина Юлия Эдуардовна</v>
          </cell>
          <cell r="B51">
            <v>77740.697100000005</v>
          </cell>
          <cell r="C51">
            <v>17283.412639999999</v>
          </cell>
        </row>
        <row r="52">
          <cell r="A52" t="str">
            <v>Марилова Ольга Сергеевна</v>
          </cell>
          <cell r="B52">
            <v>56367.726299999995</v>
          </cell>
          <cell r="C52">
            <v>13476.421919999999</v>
          </cell>
        </row>
        <row r="53">
          <cell r="A53" t="str">
            <v>Маркова Светлана Геннадьевна</v>
          </cell>
          <cell r="B53">
            <v>91026</v>
          </cell>
          <cell r="C53">
            <v>21086</v>
          </cell>
        </row>
        <row r="54">
          <cell r="A54" t="str">
            <v>Масленникова Наталья Федоровна</v>
          </cell>
          <cell r="B54">
            <v>79999.05</v>
          </cell>
          <cell r="C54">
            <v>19201.52</v>
          </cell>
        </row>
        <row r="55">
          <cell r="A55" t="str">
            <v>Масько Анастасия Александровна</v>
          </cell>
          <cell r="B55">
            <v>57031.05</v>
          </cell>
          <cell r="C55">
            <v>13710.320000000002</v>
          </cell>
        </row>
        <row r="56">
          <cell r="A56" t="str">
            <v xml:space="preserve">Миронова Алина Владимировна </v>
          </cell>
          <cell r="B56">
            <v>55245</v>
          </cell>
          <cell r="C56">
            <v>13208</v>
          </cell>
        </row>
        <row r="57">
          <cell r="A57" t="str">
            <v>Мирошникова Елена Владимировна</v>
          </cell>
          <cell r="B57">
            <v>79999.05</v>
          </cell>
          <cell r="C57">
            <v>19201.52</v>
          </cell>
        </row>
        <row r="58">
          <cell r="A58" t="str">
            <v>Михина Надежда Алексеевна</v>
          </cell>
          <cell r="B58">
            <v>127604.57040000001</v>
          </cell>
          <cell r="C58">
            <v>30507.759360000004</v>
          </cell>
        </row>
        <row r="59">
          <cell r="A59" t="str">
            <v>Морозова Анастасия</v>
          </cell>
          <cell r="B59">
            <v>66374.040000000008</v>
          </cell>
          <cell r="C59">
            <v>15716.151999999998</v>
          </cell>
        </row>
        <row r="60">
          <cell r="A60" t="str">
            <v>Новикова Екатерина Вадимовна</v>
          </cell>
          <cell r="B60">
            <v>65209.05</v>
          </cell>
          <cell r="C60">
            <v>15665.519999999999</v>
          </cell>
        </row>
        <row r="61">
          <cell r="A61" t="str">
            <v>Орлова Алла Александровна</v>
          </cell>
          <cell r="B61">
            <v>60424.05</v>
          </cell>
          <cell r="C61">
            <v>14521.519999999999</v>
          </cell>
        </row>
        <row r="62">
          <cell r="A62" t="str">
            <v>Осепян Артем Андреевич</v>
          </cell>
          <cell r="B62">
            <v>42541.26</v>
          </cell>
          <cell r="C62">
            <v>10072.987999999999</v>
          </cell>
        </row>
        <row r="63">
          <cell r="A63" t="str">
            <v>Паршакина Ольга Сергеевна</v>
          </cell>
          <cell r="B63">
            <v>75437</v>
          </cell>
          <cell r="C63">
            <v>17810</v>
          </cell>
        </row>
        <row r="64">
          <cell r="A64" t="str">
            <v>Петрухина Дарья Александровна</v>
          </cell>
          <cell r="B64">
            <v>0</v>
          </cell>
          <cell r="C64">
            <v>0</v>
          </cell>
        </row>
        <row r="65">
          <cell r="A65" t="str">
            <v>Пикулина София Владимировна</v>
          </cell>
          <cell r="B65">
            <v>35732.144099999998</v>
          </cell>
          <cell r="C65">
            <v>8542.8574399999998</v>
          </cell>
        </row>
        <row r="66">
          <cell r="A66" t="str">
            <v>Пискунова Надежда Константиновна</v>
          </cell>
          <cell r="B66">
            <v>103898</v>
          </cell>
          <cell r="C66">
            <v>20072</v>
          </cell>
        </row>
        <row r="67">
          <cell r="A67" t="str">
            <v>Попова Ева Андреевна</v>
          </cell>
          <cell r="B67">
            <v>78581.461800000005</v>
          </cell>
          <cell r="C67">
            <v>18841.08512</v>
          </cell>
        </row>
        <row r="68">
          <cell r="A68" t="str">
            <v>Попова Юлия Андреевна</v>
          </cell>
          <cell r="B68">
            <v>41349.564599999998</v>
          </cell>
          <cell r="C68">
            <v>9762.8900200000007</v>
          </cell>
        </row>
        <row r="69">
          <cell r="A69" t="str">
            <v>Попова Юлия Владимировна</v>
          </cell>
          <cell r="B69">
            <v>71294.707800000004</v>
          </cell>
          <cell r="C69">
            <v>17045.17152</v>
          </cell>
        </row>
        <row r="70">
          <cell r="A70" t="str">
            <v>Потковский Иван Владимирович</v>
          </cell>
          <cell r="B70">
            <v>69994.05</v>
          </cell>
          <cell r="C70">
            <v>16809.52</v>
          </cell>
        </row>
        <row r="71">
          <cell r="A71" t="str">
            <v>Пушкина Юлия Игоревна</v>
          </cell>
          <cell r="B71">
            <v>70581</v>
          </cell>
          <cell r="C71">
            <v>16198</v>
          </cell>
        </row>
        <row r="72">
          <cell r="A72" t="str">
            <v>Пьянзина Наталья Викторовна</v>
          </cell>
          <cell r="B72">
            <v>90004.05</v>
          </cell>
          <cell r="C72">
            <v>21593.52</v>
          </cell>
        </row>
        <row r="73">
          <cell r="A73" t="str">
            <v>Редецкая Лика Дмитриевна</v>
          </cell>
          <cell r="B73">
            <v>52200</v>
          </cell>
          <cell r="C73">
            <v>12480</v>
          </cell>
        </row>
        <row r="74">
          <cell r="A74" t="str">
            <v>Реутов Алексей Александрович</v>
          </cell>
          <cell r="B74">
            <v>59096.510699999999</v>
          </cell>
          <cell r="C74">
            <v>14196.95888</v>
          </cell>
        </row>
        <row r="75">
          <cell r="A75" t="str">
            <v>Родяева Валерия Анатоль.</v>
          </cell>
          <cell r="B75">
            <v>95397.357799999998</v>
          </cell>
          <cell r="C75">
            <v>22582.131520000003</v>
          </cell>
        </row>
        <row r="76">
          <cell r="A76" t="str">
            <v>Рыкова Анастасия Николаевна</v>
          </cell>
          <cell r="B76">
            <v>88615.238700000016</v>
          </cell>
          <cell r="C76">
            <v>20509.634080000003</v>
          </cell>
        </row>
        <row r="77">
          <cell r="A77" t="str">
            <v>Рязанцев Андрей Николаевич</v>
          </cell>
          <cell r="B77">
            <v>59100.716400000005</v>
          </cell>
          <cell r="C77">
            <v>14187.205760000001</v>
          </cell>
        </row>
        <row r="78">
          <cell r="A78" t="str">
            <v>Самсаева Кристина Юрьевна</v>
          </cell>
          <cell r="B78">
            <v>130065</v>
          </cell>
          <cell r="C78">
            <v>31096</v>
          </cell>
        </row>
        <row r="79">
          <cell r="A79" t="str">
            <v>Свиридов Артем Геннадьевич</v>
          </cell>
          <cell r="B79">
            <v>69492.728999999992</v>
          </cell>
          <cell r="C79">
            <v>16614.353600000002</v>
          </cell>
        </row>
        <row r="80">
          <cell r="A80" t="str">
            <v>Свистунов Даниил Иванович</v>
          </cell>
          <cell r="B80">
            <v>130065</v>
          </cell>
          <cell r="C80">
            <v>31096</v>
          </cell>
        </row>
        <row r="81">
          <cell r="A81" t="str">
            <v>Симанович Варвара Сергеевна</v>
          </cell>
          <cell r="B81">
            <v>99536.520600000003</v>
          </cell>
          <cell r="C81">
            <v>23865.375040000003</v>
          </cell>
        </row>
        <row r="82">
          <cell r="A82" t="str">
            <v>Скрябина Елена Сергеевна</v>
          </cell>
          <cell r="B82">
            <v>70176.05</v>
          </cell>
          <cell r="C82">
            <v>16627.52</v>
          </cell>
        </row>
        <row r="83">
          <cell r="A83" t="str">
            <v>Смирнова Евгения</v>
          </cell>
          <cell r="B83">
            <v>120764.7</v>
          </cell>
          <cell r="C83">
            <v>28594.86</v>
          </cell>
        </row>
        <row r="84">
          <cell r="A84" t="str">
            <v>Соболевский Сергей Сергеевич</v>
          </cell>
          <cell r="B84">
            <v>120060</v>
          </cell>
          <cell r="C84">
            <v>28704</v>
          </cell>
        </row>
        <row r="85">
          <cell r="A85" t="str">
            <v>Старостин Роман Олегович</v>
          </cell>
          <cell r="B85">
            <v>0</v>
          </cell>
          <cell r="C85">
            <v>0</v>
          </cell>
        </row>
        <row r="86">
          <cell r="A86" t="str">
            <v>Страхов Никита Евгеньевич</v>
          </cell>
          <cell r="B86">
            <v>130060.65</v>
          </cell>
          <cell r="C86">
            <v>31094.959999999999</v>
          </cell>
        </row>
        <row r="87">
          <cell r="A87" t="str">
            <v>Тараскин Алексей Андреевич</v>
          </cell>
          <cell r="B87">
            <v>80040</v>
          </cell>
          <cell r="C87">
            <v>19136</v>
          </cell>
        </row>
        <row r="88">
          <cell r="A88" t="str">
            <v>Ткаченко Александр Дмитриевич</v>
          </cell>
          <cell r="B88">
            <v>71435.038199999995</v>
          </cell>
          <cell r="C88">
            <v>17132.514879999999</v>
          </cell>
        </row>
        <row r="89">
          <cell r="A89" t="str">
            <v>Тюленев Юрий Юрьевич</v>
          </cell>
          <cell r="B89">
            <v>212016.04199999999</v>
          </cell>
          <cell r="C89">
            <v>50688.892799999994</v>
          </cell>
        </row>
        <row r="90">
          <cell r="A90" t="str">
            <v>Федярова Карина Сергеевна</v>
          </cell>
          <cell r="B90">
            <v>60030</v>
          </cell>
          <cell r="C90">
            <v>14352</v>
          </cell>
        </row>
        <row r="91">
          <cell r="A91" t="str">
            <v>Филин Александр  Александрович</v>
          </cell>
          <cell r="B91">
            <v>60030</v>
          </cell>
          <cell r="C91">
            <v>14214</v>
          </cell>
        </row>
        <row r="92">
          <cell r="A92" t="str">
            <v>Филиппова Екатерина Николаевна</v>
          </cell>
          <cell r="B92">
            <v>150034.04999999999</v>
          </cell>
          <cell r="C92">
            <v>35945.519999999997</v>
          </cell>
        </row>
        <row r="93">
          <cell r="A93" t="str">
            <v>Цаплина Олеся Рахимзяновна</v>
          </cell>
          <cell r="B93">
            <v>60535.05</v>
          </cell>
          <cell r="C93">
            <v>13871.519999999999</v>
          </cell>
        </row>
        <row r="94">
          <cell r="A94" t="str">
            <v>Чернова Светлана Александровна</v>
          </cell>
          <cell r="B94">
            <v>70000.2</v>
          </cell>
          <cell r="C94">
            <v>16574.759999999998</v>
          </cell>
        </row>
        <row r="95">
          <cell r="A95" t="str">
            <v>Чирков Станислав Станиславович</v>
          </cell>
          <cell r="B95">
            <v>40020</v>
          </cell>
          <cell r="C95">
            <v>9568</v>
          </cell>
        </row>
        <row r="96">
          <cell r="A96" t="str">
            <v>Чиркова Алевтина Владимировна</v>
          </cell>
          <cell r="B96">
            <v>80545.05</v>
          </cell>
          <cell r="C96">
            <v>18655.52</v>
          </cell>
        </row>
        <row r="97">
          <cell r="A97" t="str">
            <v>Швецов Никита Георгиевич</v>
          </cell>
          <cell r="B97">
            <v>100050</v>
          </cell>
          <cell r="C97">
            <v>23920</v>
          </cell>
        </row>
        <row r="98">
          <cell r="A98" t="str">
            <v>Юмакулова Аида Александровна</v>
          </cell>
          <cell r="B98">
            <v>35020.050000000003</v>
          </cell>
          <cell r="C98">
            <v>8447.9199999999983</v>
          </cell>
        </row>
        <row r="99">
          <cell r="A99" t="str">
            <v>Юрченкова Марина Александровна</v>
          </cell>
          <cell r="B99">
            <v>100009.05</v>
          </cell>
          <cell r="C99">
            <v>23985.52</v>
          </cell>
        </row>
        <row r="100">
          <cell r="A100" t="str">
            <v>Итого</v>
          </cell>
          <cell r="B100">
            <v>7095535.9468999989</v>
          </cell>
          <cell r="C100">
            <v>1695508.8807400006</v>
          </cell>
        </row>
        <row r="106">
          <cell r="B106">
            <v>8791044.8276400007</v>
          </cell>
        </row>
        <row r="108">
          <cell r="B108">
            <v>8778109</v>
          </cell>
        </row>
        <row r="109">
          <cell r="B109">
            <v>12935.827640000731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за месяц 2025"/>
    </sheetNames>
    <sheetDataSet>
      <sheetData sheetId="0">
        <row r="5">
          <cell r="B5">
            <v>0.13</v>
          </cell>
        </row>
        <row r="6">
          <cell r="B6" t="str">
            <v>оклад</v>
          </cell>
          <cell r="C6" t="str">
            <v>Премия</v>
          </cell>
        </row>
        <row r="7">
          <cell r="A7" t="str">
            <v>Ф.И.О.</v>
          </cell>
          <cell r="C7" t="str">
            <v>в аванс</v>
          </cell>
          <cell r="D7" t="str">
            <v>налоги с ФОТ премия</v>
          </cell>
        </row>
        <row r="8">
          <cell r="A8" t="str">
            <v>Аблов Андрей Дмитриевич</v>
          </cell>
          <cell r="B8">
            <v>115000</v>
          </cell>
          <cell r="E8">
            <v>115000</v>
          </cell>
          <cell r="F8">
            <v>100050</v>
          </cell>
          <cell r="G8">
            <v>23920</v>
          </cell>
        </row>
        <row r="9">
          <cell r="A9" t="str">
            <v>Абрамова Екатерина Владимировна</v>
          </cell>
          <cell r="B9">
            <v>126500</v>
          </cell>
          <cell r="E9">
            <v>126500</v>
          </cell>
          <cell r="F9">
            <v>110012.1</v>
          </cell>
          <cell r="G9">
            <v>26380.640000000003</v>
          </cell>
        </row>
        <row r="10">
          <cell r="A10" t="str">
            <v>Аксенова Наталья Валериевна</v>
          </cell>
          <cell r="B10">
            <v>115000</v>
          </cell>
          <cell r="E10">
            <v>115000</v>
          </cell>
          <cell r="F10">
            <v>100050</v>
          </cell>
          <cell r="G10">
            <v>23920</v>
          </cell>
        </row>
        <row r="11">
          <cell r="A11" t="str">
            <v>Андреева Валентина Юрьевна</v>
          </cell>
          <cell r="B11">
            <v>42340.91</v>
          </cell>
          <cell r="E11">
            <v>101021</v>
          </cell>
          <cell r="F11">
            <v>87870.720000000001</v>
          </cell>
          <cell r="G11">
            <v>21040.448</v>
          </cell>
        </row>
        <row r="12">
          <cell r="A12" t="str">
            <v>Антонюк Дарья Дмитриевна</v>
          </cell>
          <cell r="B12">
            <v>92000</v>
          </cell>
          <cell r="E12">
            <v>92000</v>
          </cell>
          <cell r="F12">
            <v>80040</v>
          </cell>
          <cell r="G12">
            <v>19136</v>
          </cell>
        </row>
        <row r="13">
          <cell r="A13" t="str">
            <v>Арнаут Денис Александрович</v>
          </cell>
          <cell r="B13">
            <v>63300</v>
          </cell>
          <cell r="E13">
            <v>63300</v>
          </cell>
          <cell r="F13">
            <v>55210.1</v>
          </cell>
          <cell r="G13">
            <v>13053.039999999999</v>
          </cell>
        </row>
        <row r="14">
          <cell r="A14" t="str">
            <v>Балабанова Евгения Юрьевна</v>
          </cell>
          <cell r="B14">
            <v>43909.09</v>
          </cell>
          <cell r="E14">
            <v>71283.849999999991</v>
          </cell>
          <cell r="F14">
            <v>62198.949499999988</v>
          </cell>
          <cell r="G14">
            <v>14645.040799999999</v>
          </cell>
        </row>
        <row r="15">
          <cell r="A15" t="str">
            <v>Баландина Наталия Владимировна</v>
          </cell>
          <cell r="B15">
            <v>20690</v>
          </cell>
          <cell r="E15">
            <v>26809</v>
          </cell>
          <cell r="F15">
            <v>23323.83</v>
          </cell>
          <cell r="G15">
            <v>5576.2720000000008</v>
          </cell>
        </row>
        <row r="16">
          <cell r="A16" t="str">
            <v>Бобров Виктор Александрович</v>
          </cell>
          <cell r="B16">
            <v>132200</v>
          </cell>
          <cell r="E16">
            <v>132200</v>
          </cell>
          <cell r="F16">
            <v>115014</v>
          </cell>
          <cell r="G16">
            <v>27497.599999999999</v>
          </cell>
        </row>
        <row r="17">
          <cell r="A17" t="str">
            <v>Бойко Мария Сергеевна</v>
          </cell>
          <cell r="B17">
            <v>80500</v>
          </cell>
          <cell r="E17">
            <v>80500</v>
          </cell>
          <cell r="F17">
            <v>70538.100000000006</v>
          </cell>
          <cell r="G17">
            <v>16266.64</v>
          </cell>
        </row>
        <row r="18">
          <cell r="A18" t="str">
            <v>Боровова Дарья Алексеевна</v>
          </cell>
          <cell r="B18">
            <v>46000</v>
          </cell>
          <cell r="E18">
            <v>46000</v>
          </cell>
          <cell r="F18">
            <v>40020</v>
          </cell>
          <cell r="G18">
            <v>9568</v>
          </cell>
        </row>
        <row r="19">
          <cell r="A19" t="str">
            <v>Бурмистров Георгий Романович</v>
          </cell>
          <cell r="B19">
            <v>75000</v>
          </cell>
          <cell r="E19">
            <v>75000</v>
          </cell>
          <cell r="F19">
            <v>65250</v>
          </cell>
          <cell r="G19">
            <v>15600</v>
          </cell>
        </row>
        <row r="20">
          <cell r="A20" t="str">
            <v>Бычкова Елена</v>
          </cell>
          <cell r="E20">
            <v>0</v>
          </cell>
          <cell r="F20">
            <v>0</v>
          </cell>
          <cell r="G20">
            <v>0</v>
          </cell>
        </row>
        <row r="21">
          <cell r="A21" t="str">
            <v>Власова Марина Сергеевна</v>
          </cell>
          <cell r="B21">
            <v>92000</v>
          </cell>
          <cell r="E21">
            <v>92000</v>
          </cell>
          <cell r="F21">
            <v>80040</v>
          </cell>
          <cell r="G21">
            <v>19136</v>
          </cell>
        </row>
        <row r="22">
          <cell r="A22" t="str">
            <v>Волков Александр</v>
          </cell>
          <cell r="E22">
            <v>8970</v>
          </cell>
          <cell r="F22">
            <v>7803.9</v>
          </cell>
          <cell r="G22">
            <v>1847.82</v>
          </cell>
        </row>
        <row r="23">
          <cell r="A23" t="str">
            <v>Галиулин Сергей Ильич</v>
          </cell>
          <cell r="E23">
            <v>0</v>
          </cell>
          <cell r="F23">
            <v>0</v>
          </cell>
          <cell r="G23">
            <v>0</v>
          </cell>
        </row>
        <row r="24">
          <cell r="A24" t="str">
            <v>Горина Ирина Николаевна</v>
          </cell>
          <cell r="E24">
            <v>0</v>
          </cell>
          <cell r="F24">
            <v>0</v>
          </cell>
          <cell r="G24">
            <v>0</v>
          </cell>
        </row>
        <row r="25">
          <cell r="A25" t="str">
            <v>Гутина Юлия Игоревна</v>
          </cell>
          <cell r="B25">
            <v>23090.91</v>
          </cell>
          <cell r="E25">
            <v>56382.09</v>
          </cell>
          <cell r="F25">
            <v>49052.418299999998</v>
          </cell>
          <cell r="G25">
            <v>11727.474719999998</v>
          </cell>
        </row>
        <row r="26">
          <cell r="A26" t="str">
            <v>Давтян Инга Галиковна</v>
          </cell>
          <cell r="B26">
            <v>62909.09</v>
          </cell>
          <cell r="E26">
            <v>86071.33</v>
          </cell>
          <cell r="F26">
            <v>74850.857099999994</v>
          </cell>
          <cell r="G26">
            <v>17952.75664</v>
          </cell>
        </row>
        <row r="27">
          <cell r="A27" t="str">
            <v>Дембовская Михаэла</v>
          </cell>
          <cell r="B27">
            <v>36590.910000000003</v>
          </cell>
          <cell r="E27">
            <v>64389.62</v>
          </cell>
          <cell r="F27">
            <v>56018.969400000002</v>
          </cell>
          <cell r="G27">
            <v>13393.040960000002</v>
          </cell>
        </row>
        <row r="28">
          <cell r="A28" t="str">
            <v>Еремин Михаил Сергеевич</v>
          </cell>
          <cell r="B28">
            <v>92000</v>
          </cell>
          <cell r="E28">
            <v>92000</v>
          </cell>
          <cell r="F28">
            <v>79997.100000000006</v>
          </cell>
          <cell r="G28">
            <v>19204.64</v>
          </cell>
        </row>
        <row r="29">
          <cell r="A29" t="str">
            <v>Иванов Всеволод Игоревич</v>
          </cell>
          <cell r="B29">
            <v>69000</v>
          </cell>
          <cell r="E29">
            <v>69000</v>
          </cell>
          <cell r="F29">
            <v>60030</v>
          </cell>
          <cell r="G29">
            <v>14352</v>
          </cell>
        </row>
        <row r="30">
          <cell r="A30" t="str">
            <v>Ильин Иван Константинович</v>
          </cell>
          <cell r="B30">
            <v>329076.28999999998</v>
          </cell>
          <cell r="E30">
            <v>690000</v>
          </cell>
          <cell r="F30">
            <v>582845.52580000006</v>
          </cell>
          <cell r="G30">
            <v>160974.4742</v>
          </cell>
        </row>
        <row r="31">
          <cell r="A31" t="str">
            <v>Ильина Кира Александровна</v>
          </cell>
          <cell r="B31">
            <v>12000</v>
          </cell>
          <cell r="E31">
            <v>12000</v>
          </cell>
          <cell r="F31">
            <v>10440</v>
          </cell>
          <cell r="G31">
            <v>2496</v>
          </cell>
        </row>
        <row r="32">
          <cell r="A32" t="str">
            <v>Ильин Константин Иванович</v>
          </cell>
          <cell r="B32">
            <v>10075</v>
          </cell>
          <cell r="E32">
            <v>10075</v>
          </cell>
          <cell r="F32">
            <v>8765.25</v>
          </cell>
          <cell r="G32">
            <v>2095.6</v>
          </cell>
        </row>
        <row r="33">
          <cell r="A33" t="str">
            <v>Ионкина Вера Сеергеевна</v>
          </cell>
          <cell r="B33">
            <v>52272.73</v>
          </cell>
          <cell r="E33">
            <v>115795.61</v>
          </cell>
          <cell r="F33">
            <v>100742.1807</v>
          </cell>
          <cell r="G33">
            <v>24085.48688</v>
          </cell>
        </row>
        <row r="34">
          <cell r="A34" t="str">
            <v>Исмаилова Людмила Юрьевна</v>
          </cell>
          <cell r="B34">
            <v>65863.64</v>
          </cell>
          <cell r="E34">
            <v>42874.64</v>
          </cell>
          <cell r="F34">
            <v>34823.266799999998</v>
          </cell>
          <cell r="G34">
            <v>13209.797119999999</v>
          </cell>
        </row>
        <row r="35">
          <cell r="A35" t="str">
            <v>Кадышев Алексей Александрович</v>
          </cell>
          <cell r="B35">
            <v>86300</v>
          </cell>
          <cell r="C35">
            <v>22989</v>
          </cell>
          <cell r="D35">
            <v>3221.6784600000001</v>
          </cell>
          <cell r="E35">
            <v>109289</v>
          </cell>
          <cell r="F35">
            <v>95627.43</v>
          </cell>
          <cell r="G35">
            <v>18964.433540000002</v>
          </cell>
        </row>
        <row r="36">
          <cell r="A36" t="str">
            <v>Калягина Анна Сергеевна</v>
          </cell>
          <cell r="B36">
            <v>43909.09</v>
          </cell>
          <cell r="E36">
            <v>80246.23</v>
          </cell>
          <cell r="F36">
            <v>69814.220099999991</v>
          </cell>
          <cell r="G36">
            <v>16691.215840000001</v>
          </cell>
        </row>
        <row r="37">
          <cell r="A37" t="str">
            <v>Кириченко Валерия Николаевна</v>
          </cell>
          <cell r="B37">
            <v>37636.36</v>
          </cell>
          <cell r="C37">
            <v>31610</v>
          </cell>
          <cell r="D37">
            <v>4429.8253999999997</v>
          </cell>
          <cell r="E37">
            <v>74735.520000000004</v>
          </cell>
          <cell r="F37">
            <v>60910.602400000003</v>
          </cell>
          <cell r="G37">
            <v>17690.042760000004</v>
          </cell>
        </row>
        <row r="38">
          <cell r="A38" t="str">
            <v>Кириченко Виктория Николаевна</v>
          </cell>
          <cell r="B38">
            <v>36545.449999999997</v>
          </cell>
          <cell r="E38">
            <v>68661.31</v>
          </cell>
          <cell r="F38">
            <v>59735.339699999997</v>
          </cell>
          <cell r="G38">
            <v>14281.55248</v>
          </cell>
        </row>
        <row r="39">
          <cell r="A39" t="str">
            <v>Кнутов Артём Виталиевич</v>
          </cell>
          <cell r="B39">
            <v>109500</v>
          </cell>
          <cell r="E39">
            <v>109500</v>
          </cell>
          <cell r="F39">
            <v>95811</v>
          </cell>
          <cell r="G39">
            <v>22230</v>
          </cell>
        </row>
        <row r="40">
          <cell r="A40" t="str">
            <v>Князев Дмитрий Игоревич</v>
          </cell>
          <cell r="B40">
            <v>115000</v>
          </cell>
          <cell r="E40">
            <v>115000</v>
          </cell>
          <cell r="F40">
            <v>99694.1</v>
          </cell>
          <cell r="G40">
            <v>24301.64</v>
          </cell>
        </row>
        <row r="41">
          <cell r="A41" t="str">
            <v>Коваленко Ольга Владимировна</v>
          </cell>
          <cell r="B41">
            <v>92000</v>
          </cell>
          <cell r="E41">
            <v>92000</v>
          </cell>
          <cell r="F41">
            <v>80543.100000000006</v>
          </cell>
          <cell r="G41">
            <v>18658.64</v>
          </cell>
        </row>
        <row r="42">
          <cell r="A42" t="str">
            <v>Козикова Анастасия Валерьевна</v>
          </cell>
          <cell r="B42">
            <v>80500</v>
          </cell>
          <cell r="E42">
            <v>80500</v>
          </cell>
          <cell r="F42">
            <v>70035</v>
          </cell>
          <cell r="G42">
            <v>16744</v>
          </cell>
        </row>
        <row r="43">
          <cell r="A43" t="str">
            <v>Копаева Юлия Андреевна</v>
          </cell>
          <cell r="B43">
            <v>92000</v>
          </cell>
          <cell r="E43">
            <v>97748</v>
          </cell>
          <cell r="F43">
            <v>84997.86</v>
          </cell>
          <cell r="G43">
            <v>20400.223999999998</v>
          </cell>
        </row>
        <row r="44">
          <cell r="A44" t="str">
            <v>Коробач Евгений Сергеевич</v>
          </cell>
          <cell r="B44">
            <v>86300</v>
          </cell>
          <cell r="C44">
            <v>11495</v>
          </cell>
          <cell r="D44">
            <v>1610.9093000000003</v>
          </cell>
          <cell r="E44">
            <v>86300</v>
          </cell>
          <cell r="F44">
            <v>73908</v>
          </cell>
          <cell r="G44">
            <v>18434.840700000001</v>
          </cell>
        </row>
        <row r="45">
          <cell r="A45" t="str">
            <v>Котов Александр Владимирович</v>
          </cell>
          <cell r="B45">
            <v>47568.18</v>
          </cell>
          <cell r="E45">
            <v>47568.18</v>
          </cell>
          <cell r="F45">
            <v>41358.9666</v>
          </cell>
          <cell r="G45">
            <v>9934.7414399999998</v>
          </cell>
        </row>
        <row r="46">
          <cell r="A46" t="str">
            <v>Крыгина Наталья Сергеевна</v>
          </cell>
          <cell r="B46">
            <v>70609.09</v>
          </cell>
          <cell r="C46">
            <v>46937</v>
          </cell>
          <cell r="D46">
            <v>6577.7511800000002</v>
          </cell>
          <cell r="E46">
            <v>70609.09</v>
          </cell>
          <cell r="F46">
            <v>55510.098299999998</v>
          </cell>
          <cell r="G46">
            <v>17689.83554</v>
          </cell>
        </row>
        <row r="47">
          <cell r="A47" t="str">
            <v>Куракин Валерий Сергеевич</v>
          </cell>
          <cell r="B47">
            <v>126500</v>
          </cell>
          <cell r="E47">
            <v>126500</v>
          </cell>
          <cell r="F47">
            <v>110055</v>
          </cell>
          <cell r="G47">
            <v>26312</v>
          </cell>
        </row>
        <row r="48">
          <cell r="A48" t="str">
            <v>Лобанов Артем Николаеич</v>
          </cell>
          <cell r="B48">
            <v>106000</v>
          </cell>
          <cell r="E48">
            <v>143978.82</v>
          </cell>
          <cell r="F48">
            <v>125218.6734</v>
          </cell>
          <cell r="G48">
            <v>30016.234560000001</v>
          </cell>
        </row>
        <row r="49">
          <cell r="A49" t="str">
            <v>Логвинова Уэзерфилд Линас</v>
          </cell>
          <cell r="B49">
            <v>86500</v>
          </cell>
          <cell r="E49">
            <v>106317.92</v>
          </cell>
          <cell r="F49">
            <v>92453.690399999992</v>
          </cell>
          <cell r="G49">
            <v>22182.767359999998</v>
          </cell>
        </row>
        <row r="50">
          <cell r="A50" t="str">
            <v>Малыхина Юлия Эдуардовна</v>
          </cell>
          <cell r="B50">
            <v>132200</v>
          </cell>
          <cell r="E50">
            <v>132200</v>
          </cell>
          <cell r="F50">
            <v>115517.1</v>
          </cell>
          <cell r="G50">
            <v>27020.240000000002</v>
          </cell>
        </row>
        <row r="51">
          <cell r="A51" t="str">
            <v>Марилова Ольга Сергеевна</v>
          </cell>
          <cell r="B51">
            <v>69000</v>
          </cell>
          <cell r="E51">
            <v>69000</v>
          </cell>
          <cell r="F51">
            <v>60030</v>
          </cell>
          <cell r="G51">
            <v>14352</v>
          </cell>
        </row>
        <row r="52">
          <cell r="A52" t="str">
            <v>Маркова Светлана Геннадьевна</v>
          </cell>
          <cell r="B52">
            <v>104000</v>
          </cell>
          <cell r="E52">
            <v>104000</v>
          </cell>
          <cell r="F52">
            <v>91026</v>
          </cell>
          <cell r="G52">
            <v>21086</v>
          </cell>
        </row>
        <row r="53">
          <cell r="A53" t="str">
            <v>Масленникова Наталья Федоровна</v>
          </cell>
          <cell r="B53">
            <v>58545.45</v>
          </cell>
          <cell r="E53">
            <v>119578.85</v>
          </cell>
          <cell r="F53">
            <v>104006.29950000001</v>
          </cell>
          <cell r="G53">
            <v>24916.080800000003</v>
          </cell>
        </row>
        <row r="54">
          <cell r="A54" t="str">
            <v>Масько Анастасия Александровна</v>
          </cell>
          <cell r="B54">
            <v>65600</v>
          </cell>
          <cell r="E54">
            <v>65600</v>
          </cell>
          <cell r="F54">
            <v>57029.1</v>
          </cell>
          <cell r="G54">
            <v>13713.44</v>
          </cell>
        </row>
        <row r="55">
          <cell r="A55" t="str">
            <v xml:space="preserve">Миронова Алина Владимировна </v>
          </cell>
          <cell r="B55">
            <v>63500</v>
          </cell>
          <cell r="E55">
            <v>63500</v>
          </cell>
          <cell r="F55">
            <v>55245</v>
          </cell>
          <cell r="G55">
            <v>13208</v>
          </cell>
        </row>
        <row r="56">
          <cell r="A56" t="str">
            <v>Мирошникова Елена Владимировна</v>
          </cell>
          <cell r="B56">
            <v>92000</v>
          </cell>
          <cell r="E56">
            <v>92000</v>
          </cell>
          <cell r="F56">
            <v>79997.100000000006</v>
          </cell>
          <cell r="G56">
            <v>19204.64</v>
          </cell>
        </row>
        <row r="57">
          <cell r="A57" t="str">
            <v>Морозова Анастасия</v>
          </cell>
          <cell r="E57">
            <v>9706</v>
          </cell>
          <cell r="F57">
            <v>8444.2199999999993</v>
          </cell>
          <cell r="G57">
            <v>1999.4359999999999</v>
          </cell>
        </row>
        <row r="58">
          <cell r="A58" t="str">
            <v>Новикова Екатерина Вадимовна</v>
          </cell>
          <cell r="B58">
            <v>75000</v>
          </cell>
          <cell r="E58">
            <v>75000</v>
          </cell>
          <cell r="F58">
            <v>65207.1</v>
          </cell>
          <cell r="G58">
            <v>15668.64</v>
          </cell>
        </row>
        <row r="59">
          <cell r="A59" t="str">
            <v>Орлова Алла Александровна</v>
          </cell>
          <cell r="B59">
            <v>69954.55</v>
          </cell>
          <cell r="E59">
            <v>76791.25</v>
          </cell>
          <cell r="F59">
            <v>66771.337499999994</v>
          </cell>
          <cell r="G59">
            <v>16031.86</v>
          </cell>
        </row>
        <row r="60">
          <cell r="A60" t="str">
            <v>Осепян Артем Андреевич</v>
          </cell>
          <cell r="E60">
            <v>37972</v>
          </cell>
          <cell r="F60">
            <v>33035.64</v>
          </cell>
          <cell r="G60">
            <v>7822.232</v>
          </cell>
        </row>
        <row r="61">
          <cell r="A61" t="str">
            <v>Паршакина Ольга Сергеевна</v>
          </cell>
          <cell r="B61">
            <v>86500</v>
          </cell>
          <cell r="E61">
            <v>86500</v>
          </cell>
          <cell r="F61">
            <v>75437</v>
          </cell>
          <cell r="G61">
            <v>17810</v>
          </cell>
        </row>
        <row r="62">
          <cell r="A62" t="str">
            <v>Петрухина Дарья Александровна</v>
          </cell>
          <cell r="E62">
            <v>0</v>
          </cell>
          <cell r="F62">
            <v>0</v>
          </cell>
          <cell r="G62">
            <v>0</v>
          </cell>
        </row>
        <row r="63">
          <cell r="A63" t="str">
            <v>Пикулина София Владимировна</v>
          </cell>
          <cell r="B63">
            <v>57500</v>
          </cell>
          <cell r="E63">
            <v>57500</v>
          </cell>
          <cell r="F63">
            <v>50025</v>
          </cell>
          <cell r="G63">
            <v>11960</v>
          </cell>
        </row>
        <row r="64">
          <cell r="A64" t="str">
            <v>Пискунова Надежда Константиновна</v>
          </cell>
          <cell r="B64">
            <v>115000</v>
          </cell>
          <cell r="E64">
            <v>460445.13</v>
          </cell>
          <cell r="F64">
            <v>396739.13</v>
          </cell>
          <cell r="G64">
            <v>99620.720140000005</v>
          </cell>
        </row>
        <row r="65">
          <cell r="A65" t="str">
            <v>Попова Ева Андреевна</v>
          </cell>
          <cell r="B65">
            <v>126500</v>
          </cell>
          <cell r="E65">
            <v>126500</v>
          </cell>
          <cell r="F65">
            <v>110012.1</v>
          </cell>
          <cell r="G65">
            <v>26380.640000000003</v>
          </cell>
        </row>
        <row r="66">
          <cell r="A66" t="str">
            <v>Попова Юлия Андреевна</v>
          </cell>
          <cell r="B66">
            <v>74800</v>
          </cell>
          <cell r="E66">
            <v>74800</v>
          </cell>
          <cell r="F66">
            <v>65033.1</v>
          </cell>
          <cell r="G66">
            <v>15627.039999999999</v>
          </cell>
        </row>
        <row r="67">
          <cell r="A67" t="str">
            <v>Потковский Иван Владимирович</v>
          </cell>
          <cell r="B67">
            <v>80500</v>
          </cell>
          <cell r="E67">
            <v>80500</v>
          </cell>
          <cell r="F67">
            <v>69992.100000000006</v>
          </cell>
          <cell r="G67">
            <v>16812.64</v>
          </cell>
        </row>
        <row r="68">
          <cell r="A68" t="str">
            <v>Проклашкин Александр  Сергеевич</v>
          </cell>
          <cell r="B68">
            <v>12545.45</v>
          </cell>
          <cell r="E68">
            <v>12545.45</v>
          </cell>
          <cell r="F68">
            <v>11278.541500000001</v>
          </cell>
          <cell r="G68">
            <v>2245.4536000000003</v>
          </cell>
        </row>
        <row r="69">
          <cell r="A69" t="str">
            <v>Пушкина Юлия Игоревна</v>
          </cell>
          <cell r="B69">
            <v>80500</v>
          </cell>
          <cell r="E69">
            <v>80500</v>
          </cell>
          <cell r="F69">
            <v>70581</v>
          </cell>
          <cell r="G69">
            <v>16198</v>
          </cell>
        </row>
        <row r="70">
          <cell r="A70" t="str">
            <v>Пьянзина Наталья Викторовна</v>
          </cell>
          <cell r="B70">
            <v>89386.36</v>
          </cell>
          <cell r="E70">
            <v>120292.36</v>
          </cell>
          <cell r="F70">
            <v>104617.30319999999</v>
          </cell>
          <cell r="G70">
            <v>25080.090879999996</v>
          </cell>
        </row>
        <row r="71">
          <cell r="A71" t="str">
            <v>Редецкая Лика Дмитриевна</v>
          </cell>
          <cell r="B71">
            <v>60000</v>
          </cell>
          <cell r="E71">
            <v>60000</v>
          </cell>
          <cell r="F71">
            <v>52200</v>
          </cell>
          <cell r="G71">
            <v>12480</v>
          </cell>
        </row>
        <row r="72">
          <cell r="A72" t="str">
            <v>Реутов Алексей Александрович</v>
          </cell>
          <cell r="B72">
            <v>69000</v>
          </cell>
          <cell r="E72">
            <v>69000</v>
          </cell>
          <cell r="F72">
            <v>59987.1</v>
          </cell>
          <cell r="G72">
            <v>14420.64</v>
          </cell>
        </row>
        <row r="73">
          <cell r="A73" t="str">
            <v>Родяева Валерия Анатоль.</v>
          </cell>
          <cell r="B73">
            <v>89590.91</v>
          </cell>
          <cell r="E73">
            <v>110745.35</v>
          </cell>
          <cell r="F73">
            <v>96348.454500000007</v>
          </cell>
          <cell r="G73">
            <v>23035.032799999997</v>
          </cell>
        </row>
        <row r="74">
          <cell r="A74" t="str">
            <v>Рыкова Анастасия Николаевна</v>
          </cell>
          <cell r="B74">
            <v>109500</v>
          </cell>
          <cell r="E74">
            <v>109500</v>
          </cell>
          <cell r="F74">
            <v>95811</v>
          </cell>
          <cell r="G74">
            <v>22230</v>
          </cell>
        </row>
        <row r="75">
          <cell r="A75" t="str">
            <v>Рязанцев Андрей Николаевич</v>
          </cell>
          <cell r="B75">
            <v>69000</v>
          </cell>
          <cell r="E75">
            <v>77621</v>
          </cell>
          <cell r="F75">
            <v>67487.37</v>
          </cell>
          <cell r="G75">
            <v>16213.807999999999</v>
          </cell>
        </row>
        <row r="76">
          <cell r="A76" t="str">
            <v>Самсаева Кристина Юрьевна</v>
          </cell>
          <cell r="B76">
            <v>149500</v>
          </cell>
          <cell r="E76">
            <v>149500</v>
          </cell>
          <cell r="F76">
            <v>130065</v>
          </cell>
          <cell r="G76">
            <v>31096</v>
          </cell>
        </row>
        <row r="77">
          <cell r="A77" t="str">
            <v>Свиридов Артем Геннадьевич</v>
          </cell>
          <cell r="B77">
            <v>31363.64</v>
          </cell>
          <cell r="E77">
            <v>31363.64</v>
          </cell>
          <cell r="F77">
            <v>27286.3668</v>
          </cell>
          <cell r="G77">
            <v>6523.6371200000003</v>
          </cell>
        </row>
        <row r="78">
          <cell r="A78" t="str">
            <v>Свистунов Даниил Иванович</v>
          </cell>
          <cell r="B78">
            <v>149500</v>
          </cell>
          <cell r="E78">
            <v>149500</v>
          </cell>
          <cell r="F78">
            <v>130065</v>
          </cell>
          <cell r="G78">
            <v>31096</v>
          </cell>
        </row>
        <row r="79">
          <cell r="A79" t="str">
            <v>Симанович Варвара Сергеевна</v>
          </cell>
          <cell r="B79">
            <v>126500</v>
          </cell>
          <cell r="E79">
            <v>126500</v>
          </cell>
          <cell r="F79">
            <v>110012.1</v>
          </cell>
          <cell r="G79">
            <v>26380.640000000003</v>
          </cell>
        </row>
        <row r="80">
          <cell r="A80" t="str">
            <v>Скрябина Елена Сергеевна</v>
          </cell>
          <cell r="B80">
            <v>80500</v>
          </cell>
          <cell r="E80">
            <v>80500</v>
          </cell>
          <cell r="F80">
            <v>70174.100000000006</v>
          </cell>
          <cell r="G80">
            <v>16630.64</v>
          </cell>
        </row>
        <row r="81">
          <cell r="A81" t="str">
            <v>Смирнова Евгения</v>
          </cell>
          <cell r="E81">
            <v>132200</v>
          </cell>
          <cell r="F81">
            <v>115014</v>
          </cell>
          <cell r="G81">
            <v>27233.199999999997</v>
          </cell>
        </row>
        <row r="82">
          <cell r="A82" t="str">
            <v>Соболевский Сергей Сергеевич</v>
          </cell>
          <cell r="B82">
            <v>94090.91</v>
          </cell>
          <cell r="E82">
            <v>138334.73000000001</v>
          </cell>
          <cell r="F82">
            <v>120351.2151</v>
          </cell>
          <cell r="G82">
            <v>28773.623840000004</v>
          </cell>
        </row>
        <row r="83">
          <cell r="A83" t="str">
            <v>Старостин Роман Олегович</v>
          </cell>
          <cell r="E83">
            <v>0</v>
          </cell>
          <cell r="F83">
            <v>0</v>
          </cell>
          <cell r="G83">
            <v>0</v>
          </cell>
        </row>
        <row r="84">
          <cell r="A84" t="str">
            <v>Страхов Никита Евгеньевич</v>
          </cell>
          <cell r="B84">
            <v>138000</v>
          </cell>
          <cell r="E84">
            <v>138000</v>
          </cell>
          <cell r="F84">
            <v>120060</v>
          </cell>
          <cell r="G84">
            <v>28704</v>
          </cell>
        </row>
        <row r="85">
          <cell r="A85" t="str">
            <v>Тараскин Алексей Андреевич</v>
          </cell>
          <cell r="B85">
            <v>92000</v>
          </cell>
          <cell r="E85">
            <v>92000</v>
          </cell>
          <cell r="F85">
            <v>80040</v>
          </cell>
          <cell r="G85">
            <v>19136</v>
          </cell>
        </row>
        <row r="86">
          <cell r="A86" t="str">
            <v>Ткаченко Александр Дмитриевич</v>
          </cell>
          <cell r="B86">
            <v>115000</v>
          </cell>
          <cell r="E86">
            <v>115000</v>
          </cell>
          <cell r="F86">
            <v>100007.1</v>
          </cell>
          <cell r="G86">
            <v>23988.639999999999</v>
          </cell>
        </row>
        <row r="87">
          <cell r="A87" t="str">
            <v>Тюленев Юрий Юрьевич</v>
          </cell>
          <cell r="B87">
            <v>159954.54999999999</v>
          </cell>
          <cell r="E87">
            <v>159954.54999999999</v>
          </cell>
          <cell r="F87">
            <v>139160.45849999998</v>
          </cell>
          <cell r="G87">
            <v>33270.546399999992</v>
          </cell>
        </row>
        <row r="88">
          <cell r="A88" t="str">
            <v>Федярова Карина Сергеевна</v>
          </cell>
          <cell r="B88">
            <v>56454.55</v>
          </cell>
          <cell r="E88">
            <v>80896</v>
          </cell>
          <cell r="F88">
            <v>70379.520000000004</v>
          </cell>
          <cell r="G88">
            <v>16826.368000000002</v>
          </cell>
        </row>
        <row r="89">
          <cell r="A89" t="str">
            <v>Филин Александр  Александрович</v>
          </cell>
          <cell r="E89">
            <v>69000</v>
          </cell>
          <cell r="F89">
            <v>60030</v>
          </cell>
          <cell r="G89">
            <v>14214</v>
          </cell>
        </row>
        <row r="90">
          <cell r="A90" t="str">
            <v>Филиппова Екатерина Николаевна</v>
          </cell>
          <cell r="B90">
            <v>172500</v>
          </cell>
          <cell r="C90">
            <v>91955</v>
          </cell>
          <cell r="D90">
            <v>12886.573699999999</v>
          </cell>
          <cell r="E90">
            <v>222500</v>
          </cell>
          <cell r="F90">
            <v>188077.95</v>
          </cell>
          <cell r="G90">
            <v>42188.706300000005</v>
          </cell>
        </row>
        <row r="91">
          <cell r="A91" t="str">
            <v>Цаплина Олеся Рахимзяновна</v>
          </cell>
          <cell r="B91">
            <v>69000</v>
          </cell>
          <cell r="E91">
            <v>69000</v>
          </cell>
          <cell r="F91">
            <v>60533.1</v>
          </cell>
          <cell r="G91">
            <v>13874.64</v>
          </cell>
        </row>
        <row r="92">
          <cell r="A92" t="str">
            <v>Чернова Светлана Александровна</v>
          </cell>
          <cell r="E92">
            <v>80460</v>
          </cell>
          <cell r="F92">
            <v>70000.2</v>
          </cell>
          <cell r="G92">
            <v>16574.759999999998</v>
          </cell>
        </row>
        <row r="93">
          <cell r="A93" t="str">
            <v>Чемоданова Ольга Сергеевна</v>
          </cell>
          <cell r="B93">
            <v>51000</v>
          </cell>
          <cell r="E93">
            <v>51000</v>
          </cell>
          <cell r="F93">
            <v>44370</v>
          </cell>
          <cell r="G93">
            <v>10608</v>
          </cell>
        </row>
        <row r="94">
          <cell r="A94" t="str">
            <v>Чирков Станислав Станиславович</v>
          </cell>
          <cell r="E94">
            <v>26540.080000000002</v>
          </cell>
          <cell r="F94">
            <v>23089.869600000002</v>
          </cell>
          <cell r="G94">
            <v>5520.3366400000004</v>
          </cell>
        </row>
        <row r="95">
          <cell r="A95" t="str">
            <v>Чиркова Алевтина Владимировна</v>
          </cell>
          <cell r="E95">
            <v>49403.17</v>
          </cell>
          <cell r="F95">
            <v>42951.507899999997</v>
          </cell>
          <cell r="G95">
            <v>10322.65936</v>
          </cell>
        </row>
        <row r="96">
          <cell r="A96" t="str">
            <v>Швецов Никита Георгиевич</v>
          </cell>
          <cell r="B96">
            <v>115000</v>
          </cell>
          <cell r="E96">
            <v>115000</v>
          </cell>
          <cell r="F96">
            <v>100050</v>
          </cell>
          <cell r="G96">
            <v>23920</v>
          </cell>
        </row>
        <row r="97">
          <cell r="A97" t="str">
            <v>Юмакулова Аида Александровна</v>
          </cell>
          <cell r="B97">
            <v>40300</v>
          </cell>
          <cell r="E97">
            <v>40300</v>
          </cell>
          <cell r="F97">
            <v>35018.1</v>
          </cell>
          <cell r="G97">
            <v>8451.0399999999991</v>
          </cell>
        </row>
        <row r="98">
          <cell r="A98" t="str">
            <v>Юрченкова Марина Александровна</v>
          </cell>
          <cell r="B98">
            <v>115000</v>
          </cell>
          <cell r="E98">
            <v>127280.8</v>
          </cell>
          <cell r="F98">
            <v>110691.39600000001</v>
          </cell>
          <cell r="G98">
            <v>26543.046400000003</v>
          </cell>
        </row>
        <row r="99">
          <cell r="A99" t="str">
            <v>Итого</v>
          </cell>
          <cell r="B99">
            <v>6619973.1100000003</v>
          </cell>
          <cell r="C99">
            <v>204986</v>
          </cell>
          <cell r="D99">
            <v>28726.738039999997</v>
          </cell>
          <cell r="E99">
            <v>8409156.5700000003</v>
          </cell>
          <cell r="F99">
            <v>7279945.4285999974</v>
          </cell>
          <cell r="G99">
            <v>1768624.0578199993</v>
          </cell>
        </row>
        <row r="101">
          <cell r="F101">
            <v>9048569.4864199962</v>
          </cell>
        </row>
        <row r="102">
          <cell r="F102">
            <v>9077180</v>
          </cell>
        </row>
        <row r="103">
          <cell r="F103">
            <v>28610.513580003753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_1"/>
    </sheetNames>
    <sheetDataSet>
      <sheetData sheetId="0">
        <row r="2">
          <cell r="A2" t="str">
            <v>Налоги и взносы (кратко)</v>
          </cell>
          <cell r="B2"/>
          <cell r="C2"/>
          <cell r="D2"/>
          <cell r="E2"/>
          <cell r="F2"/>
          <cell r="G2"/>
        </row>
        <row r="4">
          <cell r="A4" t="str">
            <v>Период формирования отчета</v>
          </cell>
          <cell r="B4"/>
          <cell r="C4"/>
        </row>
        <row r="5">
          <cell r="A5" t="str">
            <v>Май 2025</v>
          </cell>
          <cell r="B5"/>
          <cell r="C5"/>
        </row>
        <row r="7">
          <cell r="A7" t="str">
            <v>Организация</v>
          </cell>
          <cell r="B7"/>
          <cell r="C7" t="str">
            <v>Начислено</v>
          </cell>
          <cell r="D7"/>
          <cell r="E7"/>
          <cell r="F7" t="str">
            <v>НДФЛ</v>
          </cell>
          <cell r="G7" t="str">
            <v>Налоги с ФОТ</v>
          </cell>
          <cell r="H7" t="str">
            <v>Единый тариф (до 2023 года - ОПС)</v>
          </cell>
          <cell r="I7" t="str">
            <v>Несч. случаи, профзаболев.</v>
          </cell>
        </row>
        <row r="8">
          <cell r="A8" t="str">
            <v>Сотрудник</v>
          </cell>
          <cell r="B8"/>
          <cell r="C8"/>
          <cell r="D8"/>
          <cell r="E8"/>
          <cell r="F8"/>
          <cell r="G8"/>
          <cell r="H8"/>
          <cell r="I8"/>
        </row>
        <row r="9">
          <cell r="A9" t="str">
            <v>ЕМЕЙЛ СОЛДЖЕРС ООО</v>
          </cell>
          <cell r="B9"/>
          <cell r="C9">
            <v>8766402.9499999993</v>
          </cell>
          <cell r="D9"/>
          <cell r="E9">
            <v>7604300.9499999993</v>
          </cell>
          <cell r="F9">
            <v>1162102</v>
          </cell>
          <cell r="G9">
            <v>1844947.8599999999</v>
          </cell>
          <cell r="H9">
            <v>666246.59</v>
          </cell>
          <cell r="I9">
            <v>16599.27</v>
          </cell>
        </row>
        <row r="10">
          <cell r="A10" t="str">
            <v>Аблов Андрей Дмитриевич</v>
          </cell>
          <cell r="B10"/>
          <cell r="C10">
            <v>232334</v>
          </cell>
          <cell r="D10"/>
          <cell r="E10">
            <v>202131</v>
          </cell>
          <cell r="F10">
            <v>30203</v>
          </cell>
          <cell r="G10">
            <v>48325.05</v>
          </cell>
          <cell r="H10">
            <v>17657.38</v>
          </cell>
          <cell r="I10">
            <v>464.67</v>
          </cell>
        </row>
        <row r="11">
          <cell r="A11" t="str">
            <v>Абрамова Екатерина Владимировна</v>
          </cell>
          <cell r="B11"/>
          <cell r="C11">
            <v>157831.46</v>
          </cell>
          <cell r="D11"/>
          <cell r="E11">
            <v>137313.46</v>
          </cell>
          <cell r="F11">
            <v>20518</v>
          </cell>
          <cell r="G11">
            <v>32828.850000000006</v>
          </cell>
          <cell r="H11">
            <v>11995.19</v>
          </cell>
          <cell r="I11">
            <v>315.66000000000003</v>
          </cell>
        </row>
        <row r="12">
          <cell r="A12" t="str">
            <v>Аксенова Наталья Валериевна</v>
          </cell>
          <cell r="B12"/>
          <cell r="C12">
            <v>115000</v>
          </cell>
          <cell r="D12"/>
          <cell r="E12">
            <v>100050</v>
          </cell>
          <cell r="F12">
            <v>14950</v>
          </cell>
          <cell r="G12">
            <v>23920</v>
          </cell>
          <cell r="H12">
            <v>8740</v>
          </cell>
          <cell r="I12">
            <v>230</v>
          </cell>
        </row>
        <row r="13">
          <cell r="A13" t="str">
            <v>Андреева Валентина Юрьевна</v>
          </cell>
          <cell r="B13"/>
          <cell r="C13">
            <v>103770</v>
          </cell>
          <cell r="D13"/>
          <cell r="E13">
            <v>90280</v>
          </cell>
          <cell r="F13">
            <v>13490</v>
          </cell>
          <cell r="G13">
            <v>21584.06</v>
          </cell>
          <cell r="H13">
            <v>7886.52</v>
          </cell>
          <cell r="I13">
            <v>207.54</v>
          </cell>
        </row>
        <row r="14">
          <cell r="A14" t="str">
            <v>Антонюк Дарья Дмитриевна</v>
          </cell>
          <cell r="B14"/>
          <cell r="C14">
            <v>92000</v>
          </cell>
          <cell r="D14"/>
          <cell r="E14">
            <v>80040</v>
          </cell>
          <cell r="F14">
            <v>11960</v>
          </cell>
          <cell r="G14">
            <v>19136</v>
          </cell>
          <cell r="H14">
            <v>6992</v>
          </cell>
          <cell r="I14">
            <v>184</v>
          </cell>
        </row>
        <row r="15">
          <cell r="A15" t="str">
            <v>Арнаут Денис Александрович</v>
          </cell>
          <cell r="B15"/>
          <cell r="C15">
            <v>63570</v>
          </cell>
          <cell r="D15"/>
          <cell r="E15">
            <v>55488</v>
          </cell>
          <cell r="F15">
            <v>8082</v>
          </cell>
          <cell r="G15">
            <v>13040.46</v>
          </cell>
          <cell r="H15">
            <v>4831.32</v>
          </cell>
          <cell r="I15">
            <v>127.14</v>
          </cell>
        </row>
        <row r="16">
          <cell r="A16" t="str">
            <v>Балабанова Евгения Юрьевна</v>
          </cell>
          <cell r="B16"/>
          <cell r="C16">
            <v>69000</v>
          </cell>
          <cell r="D16"/>
          <cell r="E16">
            <v>60212</v>
          </cell>
          <cell r="F16">
            <v>8788</v>
          </cell>
          <cell r="G16">
            <v>14170</v>
          </cell>
          <cell r="H16">
            <v>5244</v>
          </cell>
          <cell r="I16">
            <v>138</v>
          </cell>
        </row>
        <row r="17">
          <cell r="A17" t="str">
            <v>Баландина Наталия Владимировна</v>
          </cell>
          <cell r="B17"/>
          <cell r="C17">
            <v>28218.39</v>
          </cell>
          <cell r="D17"/>
          <cell r="E17">
            <v>24550.39</v>
          </cell>
          <cell r="F17">
            <v>3668</v>
          </cell>
          <cell r="G17">
            <v>5869.04</v>
          </cell>
          <cell r="H17">
            <v>2144.6</v>
          </cell>
          <cell r="I17">
            <v>56.44</v>
          </cell>
        </row>
        <row r="18">
          <cell r="A18" t="str">
            <v>Бобров Виктор Александрович</v>
          </cell>
          <cell r="B18"/>
          <cell r="C18">
            <v>164566.46</v>
          </cell>
          <cell r="D18"/>
          <cell r="E18">
            <v>143173.46</v>
          </cell>
          <cell r="F18">
            <v>21393</v>
          </cell>
          <cell r="G18">
            <v>34229.18</v>
          </cell>
          <cell r="H18">
            <v>12507.05</v>
          </cell>
          <cell r="I18">
            <v>329.13</v>
          </cell>
        </row>
        <row r="19">
          <cell r="A19" t="str">
            <v>Бойко Мария Сергеевна</v>
          </cell>
          <cell r="B19"/>
          <cell r="C19">
            <v>106257.26</v>
          </cell>
          <cell r="D19"/>
          <cell r="E19">
            <v>92990.26</v>
          </cell>
          <cell r="F19">
            <v>13267</v>
          </cell>
          <cell r="G19">
            <v>21555.07</v>
          </cell>
          <cell r="H19">
            <v>8075.56</v>
          </cell>
          <cell r="I19">
            <v>212.51</v>
          </cell>
        </row>
        <row r="20">
          <cell r="A20" t="str">
            <v>Боровова Дарья Алексеевна</v>
          </cell>
          <cell r="B20"/>
          <cell r="C20">
            <v>55088.45</v>
          </cell>
          <cell r="D20"/>
          <cell r="E20">
            <v>47927.45</v>
          </cell>
          <cell r="F20">
            <v>7161</v>
          </cell>
          <cell r="G20">
            <v>11457.900000000001</v>
          </cell>
          <cell r="H20">
            <v>4186.72</v>
          </cell>
          <cell r="I20">
            <v>110.18</v>
          </cell>
        </row>
        <row r="21">
          <cell r="A21" t="str">
            <v>Бурмистров Георгий Романович</v>
          </cell>
          <cell r="B21"/>
          <cell r="C21">
            <v>75000</v>
          </cell>
          <cell r="D21"/>
          <cell r="E21">
            <v>65250</v>
          </cell>
          <cell r="F21">
            <v>9750</v>
          </cell>
          <cell r="G21">
            <v>15600</v>
          </cell>
          <cell r="H21">
            <v>5700</v>
          </cell>
          <cell r="I21">
            <v>150</v>
          </cell>
        </row>
        <row r="22">
          <cell r="A22" t="str">
            <v>Бычкова Елена Вячеславовна</v>
          </cell>
          <cell r="B22"/>
          <cell r="C22">
            <v>149426</v>
          </cell>
          <cell r="D22"/>
          <cell r="E22">
            <v>130001</v>
          </cell>
          <cell r="F22">
            <v>19425</v>
          </cell>
          <cell r="G22">
            <v>30781.379999999997</v>
          </cell>
          <cell r="H22">
            <v>11356.38</v>
          </cell>
          <cell r="I22"/>
        </row>
        <row r="23">
          <cell r="A23" t="str">
            <v>Власова Марина Сергеевна</v>
          </cell>
          <cell r="B23"/>
          <cell r="C23">
            <v>154534.51</v>
          </cell>
          <cell r="D23"/>
          <cell r="E23">
            <v>134445.51</v>
          </cell>
          <cell r="F23">
            <v>20089</v>
          </cell>
          <cell r="G23">
            <v>32142.690000000002</v>
          </cell>
          <cell r="H23">
            <v>11744.62</v>
          </cell>
          <cell r="I23">
            <v>309.07</v>
          </cell>
        </row>
        <row r="24">
          <cell r="A24" t="str">
            <v>Волков Александр Александрович</v>
          </cell>
          <cell r="B24"/>
          <cell r="C24">
            <v>17940</v>
          </cell>
          <cell r="D24"/>
          <cell r="E24">
            <v>15608</v>
          </cell>
          <cell r="F24">
            <v>2332</v>
          </cell>
          <cell r="G24">
            <v>3695.44</v>
          </cell>
          <cell r="H24">
            <v>1363.44</v>
          </cell>
          <cell r="I24"/>
        </row>
        <row r="25">
          <cell r="A25" t="str">
            <v>Гутина Юлия Игоревна</v>
          </cell>
          <cell r="B25"/>
          <cell r="C25">
            <v>63500</v>
          </cell>
          <cell r="D25"/>
          <cell r="E25">
            <v>55245</v>
          </cell>
          <cell r="F25">
            <v>8255</v>
          </cell>
          <cell r="G25">
            <v>13208</v>
          </cell>
          <cell r="H25">
            <v>4826</v>
          </cell>
          <cell r="I25">
            <v>127</v>
          </cell>
        </row>
        <row r="26">
          <cell r="A26" t="str">
            <v>Давтян Инга Гагиковна</v>
          </cell>
          <cell r="B26"/>
          <cell r="C26">
            <v>86770</v>
          </cell>
          <cell r="D26"/>
          <cell r="E26">
            <v>75490</v>
          </cell>
          <cell r="F26">
            <v>11280</v>
          </cell>
          <cell r="G26">
            <v>18048.060000000001</v>
          </cell>
          <cell r="H26">
            <v>6594.52</v>
          </cell>
          <cell r="I26">
            <v>173.54</v>
          </cell>
        </row>
        <row r="27">
          <cell r="A27" t="str">
            <v>Дембовская Михаэла</v>
          </cell>
          <cell r="B27"/>
          <cell r="C27">
            <v>80500</v>
          </cell>
          <cell r="D27"/>
          <cell r="E27">
            <v>70035</v>
          </cell>
          <cell r="F27">
            <v>10465</v>
          </cell>
          <cell r="G27">
            <v>16744</v>
          </cell>
          <cell r="H27">
            <v>6118</v>
          </cell>
          <cell r="I27">
            <v>161</v>
          </cell>
        </row>
        <row r="28">
          <cell r="A28" t="str">
            <v>Еремин Михаил Сергеевич</v>
          </cell>
          <cell r="B28"/>
          <cell r="C28">
            <v>92270</v>
          </cell>
          <cell r="D28"/>
          <cell r="E28">
            <v>80275</v>
          </cell>
          <cell r="F28">
            <v>11995</v>
          </cell>
          <cell r="G28">
            <v>19192.060000000001</v>
          </cell>
          <cell r="H28">
            <v>7012.52</v>
          </cell>
          <cell r="I28">
            <v>184.54</v>
          </cell>
        </row>
        <row r="29">
          <cell r="A29" t="str">
            <v>Иванов Всеволод Игоревич</v>
          </cell>
          <cell r="B29"/>
          <cell r="C29">
            <v>69000</v>
          </cell>
          <cell r="D29"/>
          <cell r="E29">
            <v>60030</v>
          </cell>
          <cell r="F29">
            <v>8970</v>
          </cell>
          <cell r="G29">
            <v>14352</v>
          </cell>
          <cell r="H29">
            <v>5244</v>
          </cell>
          <cell r="I29">
            <v>138</v>
          </cell>
        </row>
        <row r="30">
          <cell r="A30" t="str">
            <v>Ильин Иван Константинович</v>
          </cell>
          <cell r="B30"/>
          <cell r="C30">
            <v>690000</v>
          </cell>
          <cell r="D30"/>
          <cell r="E30">
            <v>576284</v>
          </cell>
          <cell r="F30">
            <v>113716</v>
          </cell>
          <cell r="G30">
            <v>167536</v>
          </cell>
          <cell r="H30">
            <v>52440</v>
          </cell>
          <cell r="I30">
            <v>1380</v>
          </cell>
        </row>
        <row r="31">
          <cell r="A31" t="str">
            <v>Ильин Константин Иванович</v>
          </cell>
          <cell r="B31"/>
          <cell r="C31">
            <v>10075</v>
          </cell>
          <cell r="D31"/>
          <cell r="E31">
            <v>8765</v>
          </cell>
          <cell r="F31">
            <v>1310</v>
          </cell>
          <cell r="G31">
            <v>2095.85</v>
          </cell>
          <cell r="H31">
            <v>765.7</v>
          </cell>
          <cell r="I31">
            <v>20.149999999999999</v>
          </cell>
        </row>
        <row r="32">
          <cell r="A32" t="str">
            <v>Ильина Кира Александровна</v>
          </cell>
          <cell r="B32"/>
          <cell r="C32">
            <v>12000</v>
          </cell>
          <cell r="D32"/>
          <cell r="E32">
            <v>10440</v>
          </cell>
          <cell r="F32">
            <v>1560</v>
          </cell>
          <cell r="G32">
            <v>2496</v>
          </cell>
          <cell r="H32">
            <v>912</v>
          </cell>
          <cell r="I32">
            <v>24</v>
          </cell>
        </row>
        <row r="33">
          <cell r="A33" t="str">
            <v>Ионкина Вера Сергеевна</v>
          </cell>
          <cell r="B33"/>
          <cell r="C33">
            <v>115000</v>
          </cell>
          <cell r="D33"/>
          <cell r="E33">
            <v>100050</v>
          </cell>
          <cell r="F33">
            <v>14950</v>
          </cell>
          <cell r="G33">
            <v>23920</v>
          </cell>
          <cell r="H33">
            <v>8740</v>
          </cell>
          <cell r="I33">
            <v>230</v>
          </cell>
        </row>
        <row r="34">
          <cell r="A34" t="str">
            <v>Исмаилова Людмила Юрьевна</v>
          </cell>
          <cell r="B34"/>
          <cell r="C34">
            <v>80770</v>
          </cell>
          <cell r="D34"/>
          <cell r="E34">
            <v>70816</v>
          </cell>
          <cell r="F34">
            <v>9954</v>
          </cell>
          <cell r="G34">
            <v>16254.060000000001</v>
          </cell>
          <cell r="H34">
            <v>6138.52</v>
          </cell>
          <cell r="I34">
            <v>161.54</v>
          </cell>
        </row>
        <row r="35">
          <cell r="A35" t="str">
            <v>Кадышев Алексей Александрович</v>
          </cell>
          <cell r="B35"/>
          <cell r="C35">
            <v>109289</v>
          </cell>
          <cell r="D35"/>
          <cell r="E35">
            <v>95627</v>
          </cell>
          <cell r="F35">
            <v>13662</v>
          </cell>
          <cell r="G35">
            <v>22186.550000000003</v>
          </cell>
          <cell r="H35">
            <v>8305.9699999999993</v>
          </cell>
          <cell r="I35">
            <v>218.58</v>
          </cell>
        </row>
        <row r="36">
          <cell r="A36" t="str">
            <v>Калягина Анна Сергеевна</v>
          </cell>
          <cell r="B36"/>
          <cell r="C36">
            <v>49194.44</v>
          </cell>
          <cell r="D36"/>
          <cell r="E36">
            <v>42799.44</v>
          </cell>
          <cell r="F36">
            <v>6395</v>
          </cell>
          <cell r="G36">
            <v>10232.17</v>
          </cell>
          <cell r="H36">
            <v>3738.78</v>
          </cell>
          <cell r="I36">
            <v>98.39</v>
          </cell>
        </row>
        <row r="37">
          <cell r="A37" t="str">
            <v>Кириченко Валерия Николаевна</v>
          </cell>
          <cell r="B37"/>
          <cell r="C37">
            <v>100610</v>
          </cell>
          <cell r="D37"/>
          <cell r="E37">
            <v>87531</v>
          </cell>
          <cell r="F37">
            <v>13079</v>
          </cell>
          <cell r="G37">
            <v>20926.580000000002</v>
          </cell>
          <cell r="H37">
            <v>7646.36</v>
          </cell>
          <cell r="I37">
            <v>201.22</v>
          </cell>
        </row>
        <row r="38">
          <cell r="A38" t="str">
            <v>Кириченко Виктория Николаевна</v>
          </cell>
          <cell r="B38"/>
          <cell r="C38">
            <v>67000</v>
          </cell>
          <cell r="D38"/>
          <cell r="E38">
            <v>58290</v>
          </cell>
          <cell r="F38">
            <v>8710</v>
          </cell>
          <cell r="G38">
            <v>13936</v>
          </cell>
          <cell r="H38">
            <v>5092</v>
          </cell>
          <cell r="I38">
            <v>134</v>
          </cell>
        </row>
        <row r="39">
          <cell r="A39" t="str">
            <v>Кнутов Артём Виталиевич</v>
          </cell>
          <cell r="B39"/>
          <cell r="C39">
            <v>123611.84</v>
          </cell>
          <cell r="D39"/>
          <cell r="E39">
            <v>107541.84</v>
          </cell>
          <cell r="F39">
            <v>16070</v>
          </cell>
          <cell r="G39">
            <v>25711.72</v>
          </cell>
          <cell r="H39">
            <v>9394.5</v>
          </cell>
          <cell r="I39">
            <v>247.22</v>
          </cell>
        </row>
        <row r="40">
          <cell r="A40" t="str">
            <v>Князев Дмитрий Игоревич</v>
          </cell>
          <cell r="B40"/>
          <cell r="C40">
            <v>115270</v>
          </cell>
          <cell r="D40"/>
          <cell r="E40">
            <v>100009</v>
          </cell>
          <cell r="F40">
            <v>15261</v>
          </cell>
          <cell r="G40">
            <v>24252.06</v>
          </cell>
          <cell r="H40">
            <v>8760.52</v>
          </cell>
          <cell r="I40">
            <v>230.54</v>
          </cell>
        </row>
        <row r="41">
          <cell r="A41" t="str">
            <v>Коваленко Ольга Владимировна</v>
          </cell>
          <cell r="B41"/>
          <cell r="C41">
            <v>92270</v>
          </cell>
          <cell r="D41"/>
          <cell r="E41">
            <v>80275</v>
          </cell>
          <cell r="F41">
            <v>11995</v>
          </cell>
          <cell r="G41">
            <v>19192.060000000001</v>
          </cell>
          <cell r="H41">
            <v>7012.52</v>
          </cell>
          <cell r="I41">
            <v>184.54</v>
          </cell>
        </row>
        <row r="42">
          <cell r="A42" t="str">
            <v>Козикова Анастасия Валерьевна</v>
          </cell>
          <cell r="B42"/>
          <cell r="C42">
            <v>117330.3</v>
          </cell>
          <cell r="D42"/>
          <cell r="E42">
            <v>102077.3</v>
          </cell>
          <cell r="F42">
            <v>15253</v>
          </cell>
          <cell r="G42">
            <v>24404.76</v>
          </cell>
          <cell r="H42">
            <v>8917.1</v>
          </cell>
          <cell r="I42">
            <v>234.66</v>
          </cell>
        </row>
        <row r="43">
          <cell r="A43" t="str">
            <v>Копаева Юлия Андреевна</v>
          </cell>
          <cell r="B43"/>
          <cell r="C43">
            <v>110803.12</v>
          </cell>
          <cell r="D43"/>
          <cell r="E43">
            <v>96399.12</v>
          </cell>
          <cell r="F43">
            <v>14404</v>
          </cell>
          <cell r="G43">
            <v>23046.65</v>
          </cell>
          <cell r="H43">
            <v>8421.0400000000009</v>
          </cell>
          <cell r="I43">
            <v>221.61</v>
          </cell>
        </row>
        <row r="44">
          <cell r="A44" t="str">
            <v>Коробач Евгений Сергеевич</v>
          </cell>
          <cell r="B44"/>
          <cell r="C44">
            <v>109559</v>
          </cell>
          <cell r="D44"/>
          <cell r="E44">
            <v>95134</v>
          </cell>
          <cell r="F44">
            <v>14425</v>
          </cell>
          <cell r="G44">
            <v>22970.6</v>
          </cell>
          <cell r="H44">
            <v>8326.48</v>
          </cell>
          <cell r="I44">
            <v>219.12</v>
          </cell>
        </row>
        <row r="45">
          <cell r="A45" t="str">
            <v>Котов Александр Владимирович</v>
          </cell>
          <cell r="B45"/>
          <cell r="C45">
            <v>80770</v>
          </cell>
          <cell r="D45"/>
          <cell r="E45">
            <v>70269</v>
          </cell>
          <cell r="F45">
            <v>10501</v>
          </cell>
          <cell r="G45">
            <v>16801.060000000001</v>
          </cell>
          <cell r="H45">
            <v>6138.52</v>
          </cell>
          <cell r="I45">
            <v>161.54</v>
          </cell>
        </row>
        <row r="46">
          <cell r="A46" t="str">
            <v>Крыгина Наталья Сергеевна</v>
          </cell>
          <cell r="B46"/>
          <cell r="C46">
            <v>131643</v>
          </cell>
          <cell r="D46"/>
          <cell r="E46">
            <v>114348</v>
          </cell>
          <cell r="F46">
            <v>17295</v>
          </cell>
          <cell r="G46">
            <v>27563.160000000003</v>
          </cell>
          <cell r="H46">
            <v>10004.870000000001</v>
          </cell>
          <cell r="I46">
            <v>263.29000000000002</v>
          </cell>
        </row>
        <row r="47">
          <cell r="A47" t="str">
            <v>Куракин Валерий Сергеевич</v>
          </cell>
          <cell r="B47"/>
          <cell r="C47">
            <v>138000</v>
          </cell>
          <cell r="D47"/>
          <cell r="E47">
            <v>120060</v>
          </cell>
          <cell r="F47">
            <v>17940</v>
          </cell>
          <cell r="G47">
            <v>28704</v>
          </cell>
          <cell r="H47">
            <v>10488</v>
          </cell>
          <cell r="I47">
            <v>276</v>
          </cell>
        </row>
        <row r="48">
          <cell r="A48" t="str">
            <v>Лобанов Артем Николаевич</v>
          </cell>
          <cell r="B48"/>
          <cell r="C48">
            <v>59038.89</v>
          </cell>
          <cell r="D48"/>
          <cell r="E48">
            <v>51363.89</v>
          </cell>
          <cell r="F48">
            <v>7675</v>
          </cell>
          <cell r="G48">
            <v>12280.03</v>
          </cell>
          <cell r="H48">
            <v>4486.95</v>
          </cell>
          <cell r="I48">
            <v>118.08</v>
          </cell>
        </row>
        <row r="49">
          <cell r="A49" t="str">
            <v>Логвинова Уэзерфилд Линас</v>
          </cell>
          <cell r="B49"/>
          <cell r="C49">
            <v>62667.22</v>
          </cell>
          <cell r="D49"/>
          <cell r="E49">
            <v>54520.22</v>
          </cell>
          <cell r="F49">
            <v>8147</v>
          </cell>
          <cell r="G49">
            <v>13035.03</v>
          </cell>
          <cell r="H49">
            <v>4762.7</v>
          </cell>
          <cell r="I49">
            <v>125.33</v>
          </cell>
        </row>
        <row r="50">
          <cell r="A50" t="str">
            <v>Малыхина Юлия Эдуардовна</v>
          </cell>
          <cell r="B50"/>
          <cell r="C50">
            <v>138218</v>
          </cell>
          <cell r="D50"/>
          <cell r="E50">
            <v>120250</v>
          </cell>
          <cell r="F50">
            <v>17968</v>
          </cell>
          <cell r="G50">
            <v>28749.01</v>
          </cell>
          <cell r="H50">
            <v>10504.57</v>
          </cell>
          <cell r="I50">
            <v>276.44</v>
          </cell>
        </row>
        <row r="51">
          <cell r="A51" t="str">
            <v>Марилова Ольга Сергеевна</v>
          </cell>
          <cell r="B51"/>
          <cell r="C51">
            <v>86512.48</v>
          </cell>
          <cell r="D51"/>
          <cell r="E51">
            <v>75266.48</v>
          </cell>
          <cell r="F51">
            <v>11246</v>
          </cell>
          <cell r="G51">
            <v>17993.97</v>
          </cell>
          <cell r="H51">
            <v>6574.95</v>
          </cell>
          <cell r="I51">
            <v>173.02</v>
          </cell>
        </row>
        <row r="52">
          <cell r="A52" t="str">
            <v>Маркова Светлана Геннадьевна</v>
          </cell>
          <cell r="B52"/>
          <cell r="C52">
            <v>162702.39999999999</v>
          </cell>
          <cell r="D52"/>
          <cell r="E52">
            <v>141005.4</v>
          </cell>
          <cell r="F52">
            <v>21697</v>
          </cell>
          <cell r="G52">
            <v>34387.78</v>
          </cell>
          <cell r="H52">
            <v>12365.38</v>
          </cell>
          <cell r="I52">
            <v>325.39999999999998</v>
          </cell>
        </row>
        <row r="53">
          <cell r="A53" t="str">
            <v>Масленникова Наталья Федоровна</v>
          </cell>
          <cell r="B53"/>
          <cell r="C53">
            <v>82017.78</v>
          </cell>
          <cell r="D53"/>
          <cell r="E53">
            <v>71354.78</v>
          </cell>
          <cell r="F53">
            <v>10663</v>
          </cell>
          <cell r="G53">
            <v>17060.39</v>
          </cell>
          <cell r="H53">
            <v>6233.35</v>
          </cell>
          <cell r="I53">
            <v>164.04</v>
          </cell>
        </row>
        <row r="54">
          <cell r="A54" t="str">
            <v>Масько Анастасия Александровна</v>
          </cell>
          <cell r="B54"/>
          <cell r="C54">
            <v>107202.4</v>
          </cell>
          <cell r="D54"/>
          <cell r="E54">
            <v>93266.4</v>
          </cell>
          <cell r="F54">
            <v>13936</v>
          </cell>
          <cell r="G54">
            <v>22297.780000000002</v>
          </cell>
          <cell r="H54">
            <v>8147.38</v>
          </cell>
          <cell r="I54">
            <v>214.4</v>
          </cell>
        </row>
        <row r="55">
          <cell r="A55" t="str">
            <v>Миронова Алина Владимировна</v>
          </cell>
          <cell r="B55"/>
          <cell r="C55">
            <v>63500</v>
          </cell>
          <cell r="D55"/>
          <cell r="E55">
            <v>55245</v>
          </cell>
          <cell r="F55">
            <v>8255</v>
          </cell>
          <cell r="G55">
            <v>13208</v>
          </cell>
          <cell r="H55">
            <v>4826</v>
          </cell>
          <cell r="I55">
            <v>127</v>
          </cell>
        </row>
        <row r="56">
          <cell r="A56" t="str">
            <v>Мирошникова Елена Владимировна</v>
          </cell>
          <cell r="B56"/>
          <cell r="C56">
            <v>92270</v>
          </cell>
          <cell r="D56"/>
          <cell r="E56">
            <v>80275</v>
          </cell>
          <cell r="F56">
            <v>11995</v>
          </cell>
          <cell r="G56">
            <v>19192.060000000001</v>
          </cell>
          <cell r="H56">
            <v>7012.52</v>
          </cell>
          <cell r="I56">
            <v>184.54</v>
          </cell>
        </row>
        <row r="57">
          <cell r="A57" t="str">
            <v>Морозова Анастасия Леонидовна</v>
          </cell>
          <cell r="B57"/>
          <cell r="C57">
            <v>22967</v>
          </cell>
          <cell r="D57"/>
          <cell r="E57">
            <v>19982</v>
          </cell>
          <cell r="F57">
            <v>2985</v>
          </cell>
          <cell r="G57">
            <v>4730.49</v>
          </cell>
          <cell r="H57">
            <v>1745.49</v>
          </cell>
          <cell r="I57"/>
        </row>
        <row r="58">
          <cell r="A58" t="str">
            <v>Новикова Екатерина Вадимовна</v>
          </cell>
          <cell r="B58"/>
          <cell r="C58">
            <v>75270</v>
          </cell>
          <cell r="D58"/>
          <cell r="E58">
            <v>65485</v>
          </cell>
          <cell r="F58">
            <v>9785</v>
          </cell>
          <cell r="G58">
            <v>15656.060000000001</v>
          </cell>
          <cell r="H58">
            <v>5720.52</v>
          </cell>
          <cell r="I58">
            <v>150.54</v>
          </cell>
        </row>
        <row r="59">
          <cell r="A59" t="str">
            <v>Орлова Алла Александровна</v>
          </cell>
          <cell r="B59"/>
          <cell r="C59">
            <v>81270</v>
          </cell>
          <cell r="D59"/>
          <cell r="E59">
            <v>70704</v>
          </cell>
          <cell r="F59">
            <v>10566</v>
          </cell>
          <cell r="G59">
            <v>16905.060000000001</v>
          </cell>
          <cell r="H59">
            <v>6176.52</v>
          </cell>
          <cell r="I59">
            <v>162.54</v>
          </cell>
        </row>
        <row r="60">
          <cell r="A60" t="str">
            <v>Осепян Артём Андреевич</v>
          </cell>
          <cell r="B60"/>
          <cell r="C60">
            <v>24164</v>
          </cell>
          <cell r="D60"/>
          <cell r="E60">
            <v>21023</v>
          </cell>
          <cell r="F60">
            <v>3141</v>
          </cell>
          <cell r="G60">
            <v>4977.46</v>
          </cell>
          <cell r="H60">
            <v>1836.46</v>
          </cell>
          <cell r="I60"/>
        </row>
        <row r="61">
          <cell r="A61" t="str">
            <v>Паршакина Ольга Сергеевна</v>
          </cell>
          <cell r="B61"/>
          <cell r="C61">
            <v>146689.35</v>
          </cell>
          <cell r="D61"/>
          <cell r="E61">
            <v>127438.35</v>
          </cell>
          <cell r="F61">
            <v>19251</v>
          </cell>
          <cell r="G61">
            <v>30692.77</v>
          </cell>
          <cell r="H61">
            <v>11148.39</v>
          </cell>
          <cell r="I61">
            <v>293.38</v>
          </cell>
        </row>
        <row r="62">
          <cell r="A62" t="str">
            <v>Пикулина София Владимировна</v>
          </cell>
          <cell r="B62"/>
          <cell r="C62">
            <v>57500</v>
          </cell>
          <cell r="D62"/>
          <cell r="E62">
            <v>50025</v>
          </cell>
          <cell r="F62">
            <v>7475</v>
          </cell>
          <cell r="G62">
            <v>11960</v>
          </cell>
          <cell r="H62">
            <v>4370</v>
          </cell>
          <cell r="I62">
            <v>115</v>
          </cell>
        </row>
        <row r="63">
          <cell r="A63" t="str">
            <v>Попова Ева Андреевна</v>
          </cell>
          <cell r="B63"/>
          <cell r="C63">
            <v>126770</v>
          </cell>
          <cell r="D63"/>
          <cell r="E63">
            <v>110290</v>
          </cell>
          <cell r="F63">
            <v>16480</v>
          </cell>
          <cell r="G63">
            <v>26368.06</v>
          </cell>
          <cell r="H63">
            <v>9634.52</v>
          </cell>
          <cell r="I63">
            <v>253.54</v>
          </cell>
        </row>
        <row r="64">
          <cell r="A64" t="str">
            <v>Попова Юлия Андреевна</v>
          </cell>
          <cell r="B64"/>
          <cell r="C64">
            <v>75070</v>
          </cell>
          <cell r="D64"/>
          <cell r="E64">
            <v>65311</v>
          </cell>
          <cell r="F64">
            <v>9759</v>
          </cell>
          <cell r="G64">
            <v>15614.46</v>
          </cell>
          <cell r="H64">
            <v>5705.32</v>
          </cell>
          <cell r="I64">
            <v>150.13999999999999</v>
          </cell>
        </row>
        <row r="65">
          <cell r="A65" t="str">
            <v>Потковский Иван Владимирович</v>
          </cell>
          <cell r="B65"/>
          <cell r="C65">
            <v>80770</v>
          </cell>
          <cell r="D65"/>
          <cell r="E65">
            <v>70270</v>
          </cell>
          <cell r="F65">
            <v>10500</v>
          </cell>
          <cell r="G65">
            <v>16800.060000000001</v>
          </cell>
          <cell r="H65">
            <v>6138.52</v>
          </cell>
          <cell r="I65">
            <v>161.54</v>
          </cell>
        </row>
        <row r="66">
          <cell r="A66" t="str">
            <v>Проклашкин Александр Сергеевич</v>
          </cell>
          <cell r="B66"/>
          <cell r="C66">
            <v>92000</v>
          </cell>
          <cell r="D66"/>
          <cell r="E66">
            <v>80222</v>
          </cell>
          <cell r="F66">
            <v>11778</v>
          </cell>
          <cell r="G66">
            <v>18954</v>
          </cell>
          <cell r="H66">
            <v>6992</v>
          </cell>
          <cell r="I66">
            <v>184</v>
          </cell>
        </row>
        <row r="67">
          <cell r="A67" t="str">
            <v>Пушкина Юлия Игоревна</v>
          </cell>
          <cell r="B67"/>
          <cell r="C67">
            <v>80500</v>
          </cell>
          <cell r="D67"/>
          <cell r="E67">
            <v>70581</v>
          </cell>
          <cell r="F67">
            <v>9919</v>
          </cell>
          <cell r="G67">
            <v>16198</v>
          </cell>
          <cell r="H67">
            <v>6118</v>
          </cell>
          <cell r="I67">
            <v>161</v>
          </cell>
        </row>
        <row r="68">
          <cell r="A68" t="str">
            <v>Пьянзина Наталья Викторовна</v>
          </cell>
          <cell r="B68"/>
          <cell r="C68">
            <v>86475</v>
          </cell>
          <cell r="D68"/>
          <cell r="E68">
            <v>75233</v>
          </cell>
          <cell r="F68">
            <v>11242</v>
          </cell>
          <cell r="G68">
            <v>17987.05</v>
          </cell>
          <cell r="H68">
            <v>6572.1</v>
          </cell>
          <cell r="I68">
            <v>172.95</v>
          </cell>
        </row>
        <row r="69">
          <cell r="A69" t="str">
            <v>Радецкая Лика Дмитриевна</v>
          </cell>
          <cell r="B69"/>
          <cell r="C69">
            <v>60000</v>
          </cell>
          <cell r="D69"/>
          <cell r="E69">
            <v>52200</v>
          </cell>
          <cell r="F69">
            <v>7800</v>
          </cell>
          <cell r="G69">
            <v>12480</v>
          </cell>
          <cell r="H69">
            <v>4560</v>
          </cell>
          <cell r="I69">
            <v>120</v>
          </cell>
        </row>
        <row r="70">
          <cell r="A70" t="str">
            <v>Реутов Алексей Александрович</v>
          </cell>
          <cell r="B70"/>
          <cell r="C70">
            <v>69270</v>
          </cell>
          <cell r="D70"/>
          <cell r="E70">
            <v>60265</v>
          </cell>
          <cell r="F70">
            <v>9005</v>
          </cell>
          <cell r="G70">
            <v>14408.060000000001</v>
          </cell>
          <cell r="H70">
            <v>5264.52</v>
          </cell>
          <cell r="I70">
            <v>138.54</v>
          </cell>
        </row>
        <row r="71">
          <cell r="A71" t="str">
            <v>Родяева Валерия Анатольевна</v>
          </cell>
          <cell r="B71"/>
          <cell r="C71">
            <v>109500</v>
          </cell>
          <cell r="D71"/>
          <cell r="E71">
            <v>95265</v>
          </cell>
          <cell r="F71">
            <v>14235</v>
          </cell>
          <cell r="G71">
            <v>22776</v>
          </cell>
          <cell r="H71">
            <v>8322</v>
          </cell>
          <cell r="I71">
            <v>219</v>
          </cell>
        </row>
        <row r="72">
          <cell r="A72" t="str">
            <v>Рыкова Анастасия Николаевна</v>
          </cell>
          <cell r="B72"/>
          <cell r="C72">
            <v>109500</v>
          </cell>
          <cell r="D72"/>
          <cell r="E72">
            <v>94719</v>
          </cell>
          <cell r="F72">
            <v>14781</v>
          </cell>
          <cell r="G72">
            <v>23322</v>
          </cell>
          <cell r="H72">
            <v>8322</v>
          </cell>
          <cell r="I72">
            <v>219</v>
          </cell>
        </row>
        <row r="73">
          <cell r="A73" t="str">
            <v>Рязанцев Андрей Николаевич</v>
          </cell>
          <cell r="B73"/>
          <cell r="C73">
            <v>86512</v>
          </cell>
          <cell r="D73"/>
          <cell r="E73">
            <v>75265</v>
          </cell>
          <cell r="F73">
            <v>11247</v>
          </cell>
          <cell r="G73">
            <v>17994.93</v>
          </cell>
          <cell r="H73">
            <v>6574.91</v>
          </cell>
          <cell r="I73">
            <v>173.02</v>
          </cell>
        </row>
        <row r="74">
          <cell r="A74" t="str">
            <v>Самсаева Кристина Юрьевна</v>
          </cell>
          <cell r="B74"/>
          <cell r="C74">
            <v>149500</v>
          </cell>
          <cell r="D74"/>
          <cell r="E74">
            <v>130065</v>
          </cell>
          <cell r="F74">
            <v>19435</v>
          </cell>
          <cell r="G74">
            <v>31096</v>
          </cell>
          <cell r="H74">
            <v>11362</v>
          </cell>
          <cell r="I74">
            <v>299</v>
          </cell>
        </row>
        <row r="75">
          <cell r="A75" t="str">
            <v>Свиридов Артем Геннадьевич</v>
          </cell>
          <cell r="B75"/>
          <cell r="C75">
            <v>70070.44</v>
          </cell>
          <cell r="D75"/>
          <cell r="E75">
            <v>60961.440000000002</v>
          </cell>
          <cell r="F75">
            <v>9109</v>
          </cell>
          <cell r="G75">
            <v>14574.49</v>
          </cell>
          <cell r="H75">
            <v>5325.35</v>
          </cell>
          <cell r="I75">
            <v>140.13999999999999</v>
          </cell>
        </row>
        <row r="76">
          <cell r="A76" t="str">
            <v>Свистунов Даниил Иванович</v>
          </cell>
          <cell r="B76"/>
          <cell r="C76">
            <v>149500</v>
          </cell>
          <cell r="D76"/>
          <cell r="E76">
            <v>130065</v>
          </cell>
          <cell r="F76">
            <v>19435</v>
          </cell>
          <cell r="G76">
            <v>31096</v>
          </cell>
          <cell r="H76">
            <v>11362</v>
          </cell>
          <cell r="I76">
            <v>299</v>
          </cell>
        </row>
        <row r="77">
          <cell r="A77" t="str">
            <v>Симанович Варвара Сергеевна</v>
          </cell>
          <cell r="B77"/>
          <cell r="C77">
            <v>138270</v>
          </cell>
          <cell r="D77"/>
          <cell r="E77">
            <v>120295</v>
          </cell>
          <cell r="F77">
            <v>17975</v>
          </cell>
          <cell r="G77">
            <v>28760.06</v>
          </cell>
          <cell r="H77">
            <v>10508.52</v>
          </cell>
          <cell r="I77">
            <v>276.54000000000002</v>
          </cell>
        </row>
        <row r="78">
          <cell r="A78" t="str">
            <v>Скрябина Елена Сергеевна</v>
          </cell>
          <cell r="B78"/>
          <cell r="C78">
            <v>92270</v>
          </cell>
          <cell r="D78"/>
          <cell r="E78">
            <v>80456</v>
          </cell>
          <cell r="F78">
            <v>11814</v>
          </cell>
          <cell r="G78">
            <v>19011.060000000001</v>
          </cell>
          <cell r="H78">
            <v>7012.52</v>
          </cell>
          <cell r="I78">
            <v>184.54</v>
          </cell>
        </row>
        <row r="79">
          <cell r="A79" t="str">
            <v>Смирнова Евгения Андреевна</v>
          </cell>
          <cell r="B79"/>
          <cell r="C79">
            <v>102822.22</v>
          </cell>
          <cell r="D79"/>
          <cell r="E79">
            <v>89455.22</v>
          </cell>
          <cell r="F79">
            <v>13367</v>
          </cell>
          <cell r="G79">
            <v>21181.489999999998</v>
          </cell>
          <cell r="H79">
            <v>7814.49</v>
          </cell>
          <cell r="I79"/>
        </row>
        <row r="80">
          <cell r="A80" t="str">
            <v>Смирнова Светлана Николаевна</v>
          </cell>
          <cell r="B80"/>
          <cell r="C80">
            <v>12837.78</v>
          </cell>
          <cell r="D80"/>
          <cell r="E80">
            <v>11168.78</v>
          </cell>
          <cell r="F80">
            <v>1669</v>
          </cell>
          <cell r="G80">
            <v>2670.35</v>
          </cell>
          <cell r="H80">
            <v>975.67</v>
          </cell>
          <cell r="I80">
            <v>25.68</v>
          </cell>
        </row>
        <row r="81">
          <cell r="A81" t="str">
            <v>Соболевский Сергей Сергеевич</v>
          </cell>
          <cell r="B81"/>
          <cell r="C81">
            <v>138000</v>
          </cell>
          <cell r="D81"/>
          <cell r="E81">
            <v>120060</v>
          </cell>
          <cell r="F81">
            <v>17940</v>
          </cell>
          <cell r="G81">
            <v>28704.02</v>
          </cell>
          <cell r="H81">
            <v>10488</v>
          </cell>
          <cell r="I81">
            <v>276.02</v>
          </cell>
        </row>
        <row r="82">
          <cell r="A82" t="str">
            <v>Страхов Никита Евгеньевич</v>
          </cell>
          <cell r="B82"/>
          <cell r="C82">
            <v>138000</v>
          </cell>
          <cell r="D82"/>
          <cell r="E82">
            <v>120060</v>
          </cell>
          <cell r="F82">
            <v>17940</v>
          </cell>
          <cell r="G82">
            <v>28704</v>
          </cell>
          <cell r="H82">
            <v>10488</v>
          </cell>
          <cell r="I82">
            <v>276</v>
          </cell>
        </row>
        <row r="83">
          <cell r="A83" t="str">
            <v>Тараскин Алексей Андреевич</v>
          </cell>
          <cell r="B83"/>
          <cell r="C83">
            <v>86752.39</v>
          </cell>
          <cell r="D83"/>
          <cell r="E83">
            <v>75474.39</v>
          </cell>
          <cell r="F83">
            <v>11278</v>
          </cell>
          <cell r="G83">
            <v>18044.68</v>
          </cell>
          <cell r="H83">
            <v>6593.18</v>
          </cell>
          <cell r="I83">
            <v>173.5</v>
          </cell>
        </row>
        <row r="84">
          <cell r="A84" t="str">
            <v>Ткаченко Александр Дмитриевич</v>
          </cell>
          <cell r="B84"/>
          <cell r="C84">
            <v>115270</v>
          </cell>
          <cell r="D84"/>
          <cell r="E84">
            <v>100285</v>
          </cell>
          <cell r="F84">
            <v>14985</v>
          </cell>
          <cell r="G84">
            <v>23976.06</v>
          </cell>
          <cell r="H84">
            <v>8760.52</v>
          </cell>
          <cell r="I84">
            <v>230.54</v>
          </cell>
        </row>
        <row r="85">
          <cell r="A85" t="str">
            <v>Тюленев Юрий Юрьевич</v>
          </cell>
          <cell r="B85"/>
          <cell r="C85">
            <v>195500</v>
          </cell>
          <cell r="D85"/>
          <cell r="E85">
            <v>170085</v>
          </cell>
          <cell r="F85">
            <v>25415</v>
          </cell>
          <cell r="G85">
            <v>40664</v>
          </cell>
          <cell r="H85">
            <v>14858</v>
          </cell>
          <cell r="I85">
            <v>391</v>
          </cell>
        </row>
        <row r="86">
          <cell r="A86" t="str">
            <v>Федярова Карина Сергеевна</v>
          </cell>
          <cell r="B86"/>
          <cell r="C86">
            <v>61333.33</v>
          </cell>
          <cell r="D86"/>
          <cell r="E86">
            <v>53359.33</v>
          </cell>
          <cell r="F86">
            <v>7974</v>
          </cell>
          <cell r="G86">
            <v>12758</v>
          </cell>
          <cell r="H86">
            <v>4661.33</v>
          </cell>
          <cell r="I86">
            <v>122.67</v>
          </cell>
        </row>
        <row r="87">
          <cell r="A87" t="str">
            <v>Филин Александр Александрович</v>
          </cell>
          <cell r="B87"/>
          <cell r="C87">
            <v>69000</v>
          </cell>
          <cell r="D87"/>
          <cell r="E87">
            <v>60030</v>
          </cell>
          <cell r="F87">
            <v>8970</v>
          </cell>
          <cell r="G87">
            <v>14214</v>
          </cell>
          <cell r="H87">
            <v>5244</v>
          </cell>
          <cell r="I87"/>
        </row>
        <row r="88">
          <cell r="A88" t="str">
            <v>Филиппова Екатерина Николаевна</v>
          </cell>
          <cell r="B88"/>
          <cell r="C88">
            <v>299207</v>
          </cell>
          <cell r="D88"/>
          <cell r="E88">
            <v>260310</v>
          </cell>
          <cell r="F88">
            <v>38897</v>
          </cell>
          <cell r="G88">
            <v>62235.14</v>
          </cell>
          <cell r="H88">
            <v>22739.73</v>
          </cell>
          <cell r="I88">
            <v>598.41</v>
          </cell>
        </row>
        <row r="89">
          <cell r="A89" t="str">
            <v>Цаплина Олеся Рахимзяновна</v>
          </cell>
          <cell r="B89"/>
          <cell r="C89">
            <v>69270</v>
          </cell>
          <cell r="D89"/>
          <cell r="E89">
            <v>60810</v>
          </cell>
          <cell r="F89">
            <v>8460</v>
          </cell>
          <cell r="G89">
            <v>13863.060000000001</v>
          </cell>
          <cell r="H89">
            <v>5264.52</v>
          </cell>
          <cell r="I89">
            <v>138.54</v>
          </cell>
        </row>
        <row r="90">
          <cell r="A90" t="str">
            <v>Чемоданова Ольга Сергеевна</v>
          </cell>
          <cell r="B90"/>
          <cell r="C90">
            <v>75070</v>
          </cell>
          <cell r="D90"/>
          <cell r="E90">
            <v>65311</v>
          </cell>
          <cell r="F90">
            <v>9759</v>
          </cell>
          <cell r="G90">
            <v>15614.46</v>
          </cell>
          <cell r="H90">
            <v>5705.32</v>
          </cell>
          <cell r="I90">
            <v>150.13999999999999</v>
          </cell>
        </row>
        <row r="91">
          <cell r="A91" t="str">
            <v>Чернова Светлана Александровна</v>
          </cell>
          <cell r="B91"/>
          <cell r="C91">
            <v>80460</v>
          </cell>
          <cell r="D91"/>
          <cell r="E91">
            <v>70000</v>
          </cell>
          <cell r="F91">
            <v>10460</v>
          </cell>
          <cell r="G91">
            <v>16574.96</v>
          </cell>
          <cell r="H91">
            <v>6114.96</v>
          </cell>
          <cell r="I91"/>
        </row>
        <row r="92">
          <cell r="A92" t="str">
            <v>Швецов Никита Георгиевич</v>
          </cell>
          <cell r="B92"/>
          <cell r="C92">
            <v>115000</v>
          </cell>
          <cell r="D92"/>
          <cell r="E92">
            <v>100050</v>
          </cell>
          <cell r="F92">
            <v>14950</v>
          </cell>
          <cell r="G92">
            <v>23920</v>
          </cell>
          <cell r="H92">
            <v>8740</v>
          </cell>
          <cell r="I92">
            <v>230</v>
          </cell>
        </row>
        <row r="93">
          <cell r="A93" t="str">
            <v>Юмакулова Аида Александровна</v>
          </cell>
          <cell r="B93"/>
          <cell r="C93">
            <v>44082.71</v>
          </cell>
          <cell r="D93"/>
          <cell r="E93">
            <v>38351.71</v>
          </cell>
          <cell r="F93">
            <v>5731</v>
          </cell>
          <cell r="G93">
            <v>9169.4500000000007</v>
          </cell>
          <cell r="H93">
            <v>3350.28</v>
          </cell>
          <cell r="I93">
            <v>88.17</v>
          </cell>
        </row>
        <row r="94">
          <cell r="A94" t="str">
            <v>Юрченкова Марина Александровна</v>
          </cell>
          <cell r="B94"/>
          <cell r="C94">
            <v>96058.33</v>
          </cell>
          <cell r="D94"/>
          <cell r="E94">
            <v>83571.33</v>
          </cell>
          <cell r="F94">
            <v>12487</v>
          </cell>
          <cell r="G94">
            <v>19979.55</v>
          </cell>
          <cell r="H94">
            <v>7300.43</v>
          </cell>
          <cell r="I94">
            <v>192.12</v>
          </cell>
        </row>
        <row r="95">
          <cell r="A95" t="str">
            <v>Итого</v>
          </cell>
          <cell r="B95"/>
          <cell r="C95">
            <v>8766402.9499999993</v>
          </cell>
          <cell r="D95"/>
          <cell r="E95">
            <v>7604300.9499999993</v>
          </cell>
          <cell r="F95">
            <v>1162102</v>
          </cell>
          <cell r="G95">
            <v>1844947.8599999999</v>
          </cell>
          <cell r="H95">
            <v>666246.59</v>
          </cell>
          <cell r="I95">
            <v>16599.27</v>
          </cell>
        </row>
        <row r="96">
          <cell r="G96">
            <v>9449248.8099999987</v>
          </cell>
        </row>
        <row r="97">
          <cell r="B97" t="str">
            <v>Дворкина</v>
          </cell>
          <cell r="G97">
            <v>25081</v>
          </cell>
        </row>
        <row r="98">
          <cell r="B98" t="str">
            <v>Корсунова</v>
          </cell>
          <cell r="G98">
            <v>74470</v>
          </cell>
        </row>
        <row r="99">
          <cell r="B99" t="str">
            <v>Сычев</v>
          </cell>
          <cell r="G99">
            <v>104500</v>
          </cell>
        </row>
        <row r="100">
          <cell r="B100" t="str">
            <v>Илья</v>
          </cell>
          <cell r="G100">
            <v>50000</v>
          </cell>
        </row>
        <row r="101">
          <cell r="G101">
            <v>9703299.8099999987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_1"/>
    </sheetNames>
    <sheetDataSet>
      <sheetData sheetId="0">
        <row r="10">
          <cell r="A10" t="str">
            <v>Аблов Андрей Дмитриевич</v>
          </cell>
          <cell r="C10">
            <v>210315.04</v>
          </cell>
          <cell r="E10">
            <v>27513</v>
          </cell>
          <cell r="F10">
            <v>182802.04</v>
          </cell>
          <cell r="G10">
            <v>43917.579999999994</v>
          </cell>
        </row>
        <row r="11">
          <cell r="A11" t="str">
            <v>Аксенова Наталья Валериевна</v>
          </cell>
          <cell r="C11">
            <v>119862.21</v>
          </cell>
          <cell r="E11">
            <v>15583</v>
          </cell>
          <cell r="F11">
            <v>104279.21</v>
          </cell>
          <cell r="G11">
            <v>24932.25</v>
          </cell>
        </row>
        <row r="12">
          <cell r="A12" t="str">
            <v>Андреева Валентина Юрьевна</v>
          </cell>
          <cell r="C12">
            <v>103785</v>
          </cell>
          <cell r="E12">
            <v>13492</v>
          </cell>
          <cell r="F12">
            <v>90293</v>
          </cell>
          <cell r="G12">
            <v>21587.23</v>
          </cell>
        </row>
        <row r="13">
          <cell r="A13" t="str">
            <v>Антонюк Дарья Дмитриевна</v>
          </cell>
          <cell r="C13">
            <v>92000</v>
          </cell>
          <cell r="E13">
            <v>11960</v>
          </cell>
          <cell r="F13">
            <v>80040</v>
          </cell>
          <cell r="G13">
            <v>19136</v>
          </cell>
        </row>
        <row r="14">
          <cell r="A14" t="str">
            <v>Арнаут Денис Александрович</v>
          </cell>
          <cell r="C14">
            <v>75085</v>
          </cell>
          <cell r="E14">
            <v>9579</v>
          </cell>
          <cell r="F14">
            <v>65506</v>
          </cell>
          <cell r="G14">
            <v>15435.63</v>
          </cell>
        </row>
        <row r="15">
          <cell r="A15" t="str">
            <v>Балабанова Евгения Юрьевна</v>
          </cell>
          <cell r="C15">
            <v>65012.45</v>
          </cell>
          <cell r="E15">
            <v>8270</v>
          </cell>
          <cell r="F15">
            <v>56742.45</v>
          </cell>
          <cell r="G15">
            <v>13340.980000000001</v>
          </cell>
        </row>
        <row r="16">
          <cell r="A16" t="str">
            <v>Баландина Наталия Владимировна</v>
          </cell>
          <cell r="C16">
            <v>23128</v>
          </cell>
          <cell r="E16">
            <v>3007</v>
          </cell>
          <cell r="F16">
            <v>20121</v>
          </cell>
          <cell r="G16">
            <v>4810.9800000000005</v>
          </cell>
        </row>
        <row r="17">
          <cell r="A17" t="str">
            <v>Бобров Виктор Александрович</v>
          </cell>
          <cell r="C17">
            <v>97410.53</v>
          </cell>
          <cell r="E17">
            <v>12664</v>
          </cell>
          <cell r="F17">
            <v>84746.53</v>
          </cell>
          <cell r="G17">
            <v>20262.03</v>
          </cell>
        </row>
        <row r="18">
          <cell r="A18" t="str">
            <v>Богданова Маргарита Ивановна</v>
          </cell>
          <cell r="C18">
            <v>43247.37</v>
          </cell>
          <cell r="E18">
            <v>5622</v>
          </cell>
          <cell r="F18">
            <v>37625.370000000003</v>
          </cell>
          <cell r="G18">
            <v>8995.2899999999991</v>
          </cell>
        </row>
        <row r="19">
          <cell r="A19" t="str">
            <v>Бойко Мария Сергеевна</v>
          </cell>
          <cell r="C19">
            <v>46770.26</v>
          </cell>
          <cell r="E19">
            <v>6080</v>
          </cell>
          <cell r="F19">
            <v>40690.26</v>
          </cell>
          <cell r="G19">
            <v>9728.0800000000017</v>
          </cell>
        </row>
        <row r="20">
          <cell r="A20" t="str">
            <v>Боровова Дарья Алексеевна</v>
          </cell>
          <cell r="C20">
            <v>14349.26</v>
          </cell>
          <cell r="E20">
            <v>1866</v>
          </cell>
          <cell r="F20">
            <v>12483.26</v>
          </cell>
          <cell r="G20">
            <v>2810.21</v>
          </cell>
        </row>
        <row r="21">
          <cell r="A21" t="str">
            <v>Бурмистров Георгий Романович</v>
          </cell>
          <cell r="C21">
            <v>75000</v>
          </cell>
          <cell r="E21">
            <v>9750</v>
          </cell>
          <cell r="F21">
            <v>65250</v>
          </cell>
          <cell r="G21">
            <v>15600</v>
          </cell>
        </row>
        <row r="22">
          <cell r="A22" t="str">
            <v>Власова Марина Сергеевна</v>
          </cell>
          <cell r="C22">
            <v>74789.56</v>
          </cell>
          <cell r="E22">
            <v>9723</v>
          </cell>
          <cell r="F22">
            <v>65066.559999999998</v>
          </cell>
          <cell r="G22">
            <v>14916.16</v>
          </cell>
        </row>
        <row r="23">
          <cell r="A23" t="str">
            <v>Волков Александр Александрович</v>
          </cell>
          <cell r="C23">
            <v>17940</v>
          </cell>
          <cell r="E23">
            <v>2332</v>
          </cell>
          <cell r="F23">
            <v>15608</v>
          </cell>
          <cell r="G23">
            <v>3695.44</v>
          </cell>
        </row>
        <row r="24">
          <cell r="A24" t="str">
            <v>Волынина Светлана Сергеевна</v>
          </cell>
          <cell r="C24">
            <v>8320</v>
          </cell>
          <cell r="E24">
            <v>1082</v>
          </cell>
          <cell r="F24">
            <v>7238</v>
          </cell>
          <cell r="G24">
            <v>1714.3200000000002</v>
          </cell>
        </row>
        <row r="25">
          <cell r="A25" t="str">
            <v>Горохова Мария Владимировна</v>
          </cell>
          <cell r="C25">
            <v>13219</v>
          </cell>
          <cell r="E25">
            <v>1718</v>
          </cell>
          <cell r="F25">
            <v>11501</v>
          </cell>
          <cell r="G25">
            <v>2722.64</v>
          </cell>
        </row>
        <row r="26">
          <cell r="A26" t="str">
            <v>Гутина Юлия Игоревна</v>
          </cell>
          <cell r="C26">
            <v>63500</v>
          </cell>
          <cell r="E26">
            <v>8255</v>
          </cell>
          <cell r="F26">
            <v>55245</v>
          </cell>
          <cell r="G26">
            <v>13208</v>
          </cell>
        </row>
        <row r="27">
          <cell r="A27" t="str">
            <v>Давтян Инга Гагиковна</v>
          </cell>
          <cell r="C27">
            <v>108247.77</v>
          </cell>
          <cell r="E27">
            <v>14072</v>
          </cell>
          <cell r="F27">
            <v>94175.77</v>
          </cell>
          <cell r="G27">
            <v>22515.33</v>
          </cell>
        </row>
        <row r="28">
          <cell r="A28" t="str">
            <v>Дембовская Михаэла</v>
          </cell>
          <cell r="C28">
            <v>80500</v>
          </cell>
          <cell r="E28">
            <v>10465</v>
          </cell>
          <cell r="F28">
            <v>70035</v>
          </cell>
          <cell r="G28">
            <v>16744</v>
          </cell>
        </row>
        <row r="29">
          <cell r="A29" t="str">
            <v>Еремин Михаил Сергеевич</v>
          </cell>
          <cell r="C29">
            <v>92285</v>
          </cell>
          <cell r="E29">
            <v>11997</v>
          </cell>
          <cell r="F29">
            <v>80288</v>
          </cell>
          <cell r="G29">
            <v>19195.23</v>
          </cell>
        </row>
        <row r="30">
          <cell r="A30" t="str">
            <v>Иванов Всеволод Игоревич</v>
          </cell>
          <cell r="C30">
            <v>62084.37</v>
          </cell>
          <cell r="E30">
            <v>8071</v>
          </cell>
          <cell r="F30">
            <v>54013.37</v>
          </cell>
          <cell r="G30">
            <v>12913.58</v>
          </cell>
        </row>
        <row r="31">
          <cell r="A31" t="str">
            <v>Ильин Иван Константинович</v>
          </cell>
          <cell r="C31">
            <v>690000</v>
          </cell>
          <cell r="E31">
            <v>113037</v>
          </cell>
          <cell r="F31">
            <v>576963</v>
          </cell>
          <cell r="G31">
            <v>166857</v>
          </cell>
        </row>
        <row r="32">
          <cell r="A32" t="str">
            <v>Ильин Константин Иванович</v>
          </cell>
          <cell r="C32">
            <v>10075</v>
          </cell>
          <cell r="E32">
            <v>1310</v>
          </cell>
          <cell r="F32">
            <v>8765</v>
          </cell>
          <cell r="G32">
            <v>2095.85</v>
          </cell>
        </row>
        <row r="33">
          <cell r="A33" t="str">
            <v>Ионкина Вера Сергеевна</v>
          </cell>
          <cell r="C33">
            <v>115000</v>
          </cell>
          <cell r="E33">
            <v>14950</v>
          </cell>
          <cell r="F33">
            <v>100050</v>
          </cell>
          <cell r="G33">
            <v>23920</v>
          </cell>
        </row>
        <row r="34">
          <cell r="A34" t="str">
            <v>Исмаилова Людмила Юрьевна</v>
          </cell>
          <cell r="C34">
            <v>73741.320000000007</v>
          </cell>
          <cell r="E34">
            <v>10132</v>
          </cell>
          <cell r="F34">
            <v>63609.320000000007</v>
          </cell>
          <cell r="G34">
            <v>15883.82</v>
          </cell>
        </row>
        <row r="35">
          <cell r="A35" t="str">
            <v>Кадышев Алексей Александрович</v>
          </cell>
          <cell r="C35">
            <v>109288</v>
          </cell>
          <cell r="E35">
            <v>14207</v>
          </cell>
          <cell r="F35">
            <v>95081</v>
          </cell>
          <cell r="G35">
            <v>22731.47</v>
          </cell>
        </row>
        <row r="36">
          <cell r="A36" t="str">
            <v>Кириченко Валерия Николаевна</v>
          </cell>
          <cell r="C36">
            <v>73831.11</v>
          </cell>
          <cell r="E36">
            <v>9598</v>
          </cell>
          <cell r="F36">
            <v>64233.11</v>
          </cell>
          <cell r="G36">
            <v>15356.83</v>
          </cell>
        </row>
        <row r="37">
          <cell r="A37" t="str">
            <v>Кириченко Виктория Николаевна</v>
          </cell>
          <cell r="C37">
            <v>127023.49</v>
          </cell>
          <cell r="E37">
            <v>16513</v>
          </cell>
          <cell r="F37">
            <v>110510.49</v>
          </cell>
          <cell r="G37">
            <v>26420.829999999998</v>
          </cell>
        </row>
        <row r="38">
          <cell r="A38" t="str">
            <v>Кнутов Артём Виталиевич</v>
          </cell>
          <cell r="C38">
            <v>92210.53</v>
          </cell>
          <cell r="E38">
            <v>11987</v>
          </cell>
          <cell r="F38">
            <v>80223.53</v>
          </cell>
          <cell r="G38">
            <v>19179.419999999998</v>
          </cell>
        </row>
        <row r="39">
          <cell r="A39" t="str">
            <v>Князев Дмитрий Игоревич</v>
          </cell>
          <cell r="C39">
            <v>115285</v>
          </cell>
          <cell r="E39">
            <v>15198</v>
          </cell>
          <cell r="F39">
            <v>100087</v>
          </cell>
          <cell r="G39">
            <v>24190.23</v>
          </cell>
        </row>
        <row r="40">
          <cell r="A40" t="str">
            <v>Коваленко Ольга Владимировна</v>
          </cell>
          <cell r="C40">
            <v>84791.67</v>
          </cell>
          <cell r="E40">
            <v>11023</v>
          </cell>
          <cell r="F40">
            <v>73768.67</v>
          </cell>
          <cell r="G40">
            <v>17636.75</v>
          </cell>
        </row>
        <row r="41">
          <cell r="A41" t="str">
            <v>Козикова Анастасия Валерьевна</v>
          </cell>
          <cell r="C41">
            <v>46605.26</v>
          </cell>
          <cell r="E41">
            <v>6058</v>
          </cell>
          <cell r="F41">
            <v>40547.26</v>
          </cell>
          <cell r="G41">
            <v>9693.2099999999991</v>
          </cell>
        </row>
        <row r="42">
          <cell r="A42" t="str">
            <v>Копаева Юлия Андреевна</v>
          </cell>
          <cell r="C42">
            <v>72789.69</v>
          </cell>
          <cell r="E42">
            <v>9463</v>
          </cell>
          <cell r="F42">
            <v>63326.69</v>
          </cell>
          <cell r="G42">
            <v>15140.6</v>
          </cell>
        </row>
        <row r="43">
          <cell r="A43" t="str">
            <v>Коробач Евгений Сергеевич</v>
          </cell>
          <cell r="C43">
            <v>107262</v>
          </cell>
          <cell r="E43">
            <v>13944</v>
          </cell>
          <cell r="F43">
            <v>93318</v>
          </cell>
          <cell r="G43">
            <v>22310.43</v>
          </cell>
        </row>
        <row r="44">
          <cell r="A44" t="str">
            <v>Котов Александр Владимирович</v>
          </cell>
          <cell r="C44">
            <v>80785</v>
          </cell>
          <cell r="E44">
            <v>10502</v>
          </cell>
          <cell r="F44">
            <v>70283</v>
          </cell>
          <cell r="G44">
            <v>16803.23</v>
          </cell>
        </row>
        <row r="45">
          <cell r="A45" t="str">
            <v>Крыгина Наталья Сергеевна</v>
          </cell>
          <cell r="C45">
            <v>118097</v>
          </cell>
          <cell r="E45">
            <v>15353</v>
          </cell>
          <cell r="F45">
            <v>102744</v>
          </cell>
          <cell r="G45">
            <v>24564.560000000001</v>
          </cell>
        </row>
        <row r="46">
          <cell r="A46" t="str">
            <v>Куракин Валерий Сергеевич</v>
          </cell>
          <cell r="C46">
            <v>190797.12</v>
          </cell>
          <cell r="E46">
            <v>24803</v>
          </cell>
          <cell r="F46">
            <v>165994.12</v>
          </cell>
          <cell r="G46">
            <v>39685.17</v>
          </cell>
        </row>
        <row r="47">
          <cell r="A47" t="str">
            <v>Лобанов Артем Николаевич</v>
          </cell>
          <cell r="C47">
            <v>106285</v>
          </cell>
          <cell r="E47">
            <v>13817</v>
          </cell>
          <cell r="F47">
            <v>92468</v>
          </cell>
          <cell r="G47">
            <v>22107.23</v>
          </cell>
        </row>
        <row r="48">
          <cell r="A48" t="str">
            <v>Логвинова Уэзерфилд Линас</v>
          </cell>
          <cell r="C48">
            <v>86785</v>
          </cell>
          <cell r="E48">
            <v>11282</v>
          </cell>
          <cell r="F48">
            <v>75503</v>
          </cell>
          <cell r="G48">
            <v>18051.23</v>
          </cell>
        </row>
        <row r="49">
          <cell r="A49" t="str">
            <v>Малыхина Юлия Эдуардовна</v>
          </cell>
          <cell r="C49">
            <v>138285</v>
          </cell>
          <cell r="E49">
            <v>17978</v>
          </cell>
          <cell r="F49">
            <v>120307</v>
          </cell>
          <cell r="G49">
            <v>28764.23</v>
          </cell>
        </row>
        <row r="50">
          <cell r="A50" t="str">
            <v>Масленникова Наталья Федоровна</v>
          </cell>
          <cell r="C50">
            <v>92575.34</v>
          </cell>
          <cell r="E50">
            <v>12035</v>
          </cell>
          <cell r="F50">
            <v>80540.34</v>
          </cell>
          <cell r="G50">
            <v>19248.280000000002</v>
          </cell>
        </row>
        <row r="51">
          <cell r="A51" t="str">
            <v>Масько Анастасия Александровна</v>
          </cell>
          <cell r="C51">
            <v>15663</v>
          </cell>
          <cell r="E51">
            <v>2037</v>
          </cell>
          <cell r="F51">
            <v>13626</v>
          </cell>
          <cell r="G51">
            <v>3227.3900000000003</v>
          </cell>
        </row>
        <row r="52">
          <cell r="A52" t="str">
            <v>Миронова Алина Владимировна</v>
          </cell>
          <cell r="C52">
            <v>42407.93</v>
          </cell>
          <cell r="E52">
            <v>5513</v>
          </cell>
          <cell r="F52">
            <v>36894.93</v>
          </cell>
          <cell r="G52">
            <v>8820.82</v>
          </cell>
        </row>
        <row r="53">
          <cell r="A53" t="str">
            <v>Мирошникова Елена Владимировна</v>
          </cell>
          <cell r="C53">
            <v>87774.48</v>
          </cell>
          <cell r="E53">
            <v>11411</v>
          </cell>
          <cell r="F53">
            <v>76363.48</v>
          </cell>
          <cell r="G53">
            <v>18257.41</v>
          </cell>
        </row>
        <row r="54">
          <cell r="A54" t="str">
            <v>Морозова Анастасия Леонидовна</v>
          </cell>
          <cell r="C54">
            <v>18119</v>
          </cell>
          <cell r="E54">
            <v>2356</v>
          </cell>
          <cell r="F54">
            <v>15763</v>
          </cell>
          <cell r="G54">
            <v>3733.05</v>
          </cell>
        </row>
        <row r="55">
          <cell r="A55" t="str">
            <v>Московская Светлана Олеговна</v>
          </cell>
          <cell r="C55">
            <v>69000</v>
          </cell>
          <cell r="E55">
            <v>8606</v>
          </cell>
          <cell r="F55">
            <v>60394</v>
          </cell>
          <cell r="G55">
            <v>13988</v>
          </cell>
        </row>
        <row r="56">
          <cell r="A56" t="str">
            <v>Мулаева Анастасия Олеговна</v>
          </cell>
          <cell r="C56">
            <v>49263.16</v>
          </cell>
          <cell r="E56">
            <v>6040</v>
          </cell>
          <cell r="F56">
            <v>43223.16</v>
          </cell>
          <cell r="G56">
            <v>9882.5300000000007</v>
          </cell>
        </row>
        <row r="57">
          <cell r="A57" t="str">
            <v>Новикова Екатерина Вадимовна</v>
          </cell>
          <cell r="C57">
            <v>75285</v>
          </cell>
          <cell r="E57">
            <v>9787</v>
          </cell>
          <cell r="F57">
            <v>65498</v>
          </cell>
          <cell r="G57">
            <v>15659.23</v>
          </cell>
        </row>
        <row r="58">
          <cell r="A58" t="str">
            <v>Орлова Алла Александровна</v>
          </cell>
          <cell r="C58">
            <v>81285</v>
          </cell>
          <cell r="E58">
            <v>10567</v>
          </cell>
          <cell r="F58">
            <v>70718</v>
          </cell>
          <cell r="G58">
            <v>16907.23</v>
          </cell>
        </row>
        <row r="59">
          <cell r="A59" t="str">
            <v>Осепян Артём Андреевич</v>
          </cell>
          <cell r="C59">
            <v>27055</v>
          </cell>
          <cell r="E59">
            <v>3517</v>
          </cell>
          <cell r="F59">
            <v>23538</v>
          </cell>
          <cell r="G59">
            <v>5573.18</v>
          </cell>
        </row>
        <row r="60">
          <cell r="A60" t="str">
            <v>Паршакина Ольга Сергеевна</v>
          </cell>
          <cell r="C60">
            <v>49026.32</v>
          </cell>
          <cell r="E60">
            <v>6374</v>
          </cell>
          <cell r="F60">
            <v>42652.32</v>
          </cell>
          <cell r="G60">
            <v>10198.049999999999</v>
          </cell>
        </row>
        <row r="61">
          <cell r="A61" t="str">
            <v>Пикулина София Владимировна</v>
          </cell>
          <cell r="C61">
            <v>57500</v>
          </cell>
          <cell r="E61">
            <v>7475</v>
          </cell>
          <cell r="F61">
            <v>50025</v>
          </cell>
          <cell r="G61">
            <v>11960</v>
          </cell>
        </row>
        <row r="62">
          <cell r="A62" t="str">
            <v>Попова Ева Андреевна</v>
          </cell>
          <cell r="C62">
            <v>134653.42000000001</v>
          </cell>
          <cell r="E62">
            <v>17505</v>
          </cell>
          <cell r="F62">
            <v>117148.42000000001</v>
          </cell>
          <cell r="G62">
            <v>28007.97</v>
          </cell>
        </row>
        <row r="63">
          <cell r="A63" t="str">
            <v>Попова Юлия Андреевна</v>
          </cell>
          <cell r="C63">
            <v>75085</v>
          </cell>
          <cell r="E63">
            <v>9762</v>
          </cell>
          <cell r="F63">
            <v>65323</v>
          </cell>
          <cell r="G63">
            <v>15618.63</v>
          </cell>
        </row>
        <row r="64">
          <cell r="A64" t="str">
            <v>Потковский Иван Владимирович</v>
          </cell>
          <cell r="C64">
            <v>80785</v>
          </cell>
          <cell r="E64">
            <v>10502</v>
          </cell>
          <cell r="F64">
            <v>70283</v>
          </cell>
          <cell r="G64">
            <v>16803.23</v>
          </cell>
        </row>
        <row r="65">
          <cell r="A65" t="str">
            <v>Проклашкин Александр Сергеевич</v>
          </cell>
          <cell r="C65">
            <v>92000</v>
          </cell>
          <cell r="E65">
            <v>11778</v>
          </cell>
          <cell r="F65">
            <v>80222</v>
          </cell>
          <cell r="G65">
            <v>18954</v>
          </cell>
        </row>
        <row r="66">
          <cell r="A66" t="str">
            <v>Пушкина Юлия Игоревна</v>
          </cell>
          <cell r="C66">
            <v>80500</v>
          </cell>
          <cell r="E66">
            <v>10465</v>
          </cell>
          <cell r="F66">
            <v>70035</v>
          </cell>
          <cell r="G66">
            <v>16744</v>
          </cell>
        </row>
        <row r="67">
          <cell r="A67" t="str">
            <v>Пьянзина Наталья Викторовна</v>
          </cell>
          <cell r="C67">
            <v>103785</v>
          </cell>
          <cell r="E67">
            <v>13492</v>
          </cell>
          <cell r="F67">
            <v>90293</v>
          </cell>
          <cell r="G67">
            <v>21587.23</v>
          </cell>
        </row>
        <row r="68">
          <cell r="A68" t="str">
            <v>Радецкая Лика Дмитриевна</v>
          </cell>
          <cell r="C68">
            <v>86902.7</v>
          </cell>
          <cell r="E68">
            <v>11298</v>
          </cell>
          <cell r="F68">
            <v>75604.7</v>
          </cell>
          <cell r="G68">
            <v>18076.41</v>
          </cell>
        </row>
        <row r="69">
          <cell r="A69" t="str">
            <v>Реутов Алексей Александрович</v>
          </cell>
          <cell r="C69">
            <v>63256.05</v>
          </cell>
          <cell r="E69">
            <v>8224</v>
          </cell>
          <cell r="F69">
            <v>55032.05</v>
          </cell>
          <cell r="G69">
            <v>13157.97</v>
          </cell>
        </row>
        <row r="70">
          <cell r="A70" t="str">
            <v>Родяева Валерия Анатольевна</v>
          </cell>
          <cell r="C70">
            <v>96764.83</v>
          </cell>
          <cell r="E70">
            <v>12580</v>
          </cell>
          <cell r="F70">
            <v>84184.83</v>
          </cell>
          <cell r="G70">
            <v>20127.649999999998</v>
          </cell>
        </row>
        <row r="71">
          <cell r="A71" t="str">
            <v>Рыкова Анастасия Николаевна</v>
          </cell>
          <cell r="C71">
            <v>109500</v>
          </cell>
          <cell r="E71">
            <v>14235</v>
          </cell>
          <cell r="F71">
            <v>95265</v>
          </cell>
          <cell r="G71">
            <v>22776</v>
          </cell>
        </row>
        <row r="72">
          <cell r="A72" t="str">
            <v>Рязанцев Андрей Николаевич</v>
          </cell>
          <cell r="C72">
            <v>58345.26</v>
          </cell>
          <cell r="E72">
            <v>7585</v>
          </cell>
          <cell r="F72">
            <v>50760.26</v>
          </cell>
          <cell r="G72">
            <v>12135.93</v>
          </cell>
        </row>
        <row r="73">
          <cell r="A73" t="str">
            <v>Самсаева Кристина Юрьевна</v>
          </cell>
          <cell r="C73">
            <v>172500</v>
          </cell>
          <cell r="E73">
            <v>22425</v>
          </cell>
          <cell r="F73">
            <v>150075</v>
          </cell>
          <cell r="G73">
            <v>35880</v>
          </cell>
        </row>
        <row r="74">
          <cell r="A74" t="str">
            <v>Свистунов Даниил Иванович</v>
          </cell>
          <cell r="C74">
            <v>149500</v>
          </cell>
          <cell r="E74">
            <v>19435</v>
          </cell>
          <cell r="F74">
            <v>130065</v>
          </cell>
          <cell r="G74">
            <v>31096</v>
          </cell>
        </row>
        <row r="75">
          <cell r="A75" t="str">
            <v>Симанович Варвара Сергеевна</v>
          </cell>
          <cell r="C75">
            <v>149785</v>
          </cell>
          <cell r="E75">
            <v>19472</v>
          </cell>
          <cell r="F75">
            <v>130313</v>
          </cell>
          <cell r="G75">
            <v>31155.23</v>
          </cell>
        </row>
        <row r="76">
          <cell r="A76" t="str">
            <v>Скрябина Елена Сергеевна</v>
          </cell>
          <cell r="C76">
            <v>80452.039999999994</v>
          </cell>
          <cell r="E76">
            <v>10640</v>
          </cell>
          <cell r="F76">
            <v>69812.039999999994</v>
          </cell>
          <cell r="G76">
            <v>16915.25</v>
          </cell>
        </row>
        <row r="77">
          <cell r="A77" t="str">
            <v>Смирнова Евгения Андреевна</v>
          </cell>
          <cell r="C77">
            <v>138000</v>
          </cell>
          <cell r="E77">
            <v>17940</v>
          </cell>
          <cell r="F77">
            <v>120060</v>
          </cell>
          <cell r="G77">
            <v>28428</v>
          </cell>
        </row>
        <row r="78">
          <cell r="A78" t="str">
            <v>Смирнова Светлана Николаевна</v>
          </cell>
          <cell r="C78">
            <v>57785</v>
          </cell>
          <cell r="E78">
            <v>7512</v>
          </cell>
          <cell r="F78">
            <v>50273</v>
          </cell>
          <cell r="G78">
            <v>12019.23</v>
          </cell>
        </row>
        <row r="79">
          <cell r="A79" t="str">
            <v>Соболевский Сергей Сергеевич</v>
          </cell>
          <cell r="C79">
            <v>81242.39</v>
          </cell>
          <cell r="E79">
            <v>10562</v>
          </cell>
          <cell r="F79">
            <v>70680.39</v>
          </cell>
          <cell r="G79">
            <v>16898.91</v>
          </cell>
        </row>
        <row r="80">
          <cell r="A80" t="str">
            <v>Страхов Никита Евгеньевич</v>
          </cell>
          <cell r="C80">
            <v>134771.6</v>
          </cell>
          <cell r="E80">
            <v>17520</v>
          </cell>
          <cell r="F80">
            <v>117251.6</v>
          </cell>
          <cell r="G80">
            <v>28032.190000000002</v>
          </cell>
        </row>
        <row r="81">
          <cell r="A81" t="str">
            <v>Ткаченко Александр Дмитриевич</v>
          </cell>
          <cell r="C81">
            <v>115285</v>
          </cell>
          <cell r="E81">
            <v>14987</v>
          </cell>
          <cell r="F81">
            <v>100298</v>
          </cell>
          <cell r="G81">
            <v>23979.23</v>
          </cell>
        </row>
        <row r="82">
          <cell r="A82" t="str">
            <v>Тюленев Юрий Юрьевич</v>
          </cell>
          <cell r="C82">
            <v>195500</v>
          </cell>
          <cell r="E82">
            <v>25415</v>
          </cell>
          <cell r="F82">
            <v>170085</v>
          </cell>
          <cell r="G82">
            <v>40664</v>
          </cell>
        </row>
        <row r="83">
          <cell r="A83" t="str">
            <v>Федярова Карина Сергеевна</v>
          </cell>
          <cell r="C83">
            <v>69000</v>
          </cell>
          <cell r="E83">
            <v>8970</v>
          </cell>
          <cell r="F83">
            <v>60030</v>
          </cell>
          <cell r="G83">
            <v>14352</v>
          </cell>
        </row>
        <row r="84">
          <cell r="A84" t="str">
            <v>Филиппова Екатерина Николаевна</v>
          </cell>
          <cell r="C84">
            <v>479496.1</v>
          </cell>
          <cell r="E84">
            <v>62334</v>
          </cell>
          <cell r="F84">
            <v>417162.1</v>
          </cell>
          <cell r="G84">
            <v>99734.7</v>
          </cell>
        </row>
        <row r="85">
          <cell r="A85" t="str">
            <v>Цаплина Олеся Рахимзяновна</v>
          </cell>
          <cell r="C85">
            <v>69285</v>
          </cell>
          <cell r="E85">
            <v>8461</v>
          </cell>
          <cell r="F85">
            <v>60824</v>
          </cell>
          <cell r="G85">
            <v>13865.23</v>
          </cell>
        </row>
        <row r="86">
          <cell r="A86" t="str">
            <v>Чемоданова Ольга Сергеевна</v>
          </cell>
          <cell r="C86">
            <v>75085</v>
          </cell>
          <cell r="E86">
            <v>9761</v>
          </cell>
          <cell r="F86">
            <v>65324</v>
          </cell>
          <cell r="G86">
            <v>15617.63</v>
          </cell>
        </row>
        <row r="87">
          <cell r="A87" t="str">
            <v>Чернова Светлана Александровна</v>
          </cell>
          <cell r="C87">
            <v>80460</v>
          </cell>
          <cell r="E87">
            <v>10460</v>
          </cell>
          <cell r="F87">
            <v>70000</v>
          </cell>
          <cell r="G87">
            <v>16574.96</v>
          </cell>
        </row>
        <row r="88">
          <cell r="A88" t="str">
            <v>Шапочкина Екатерина Игоревна</v>
          </cell>
          <cell r="C88">
            <v>24270.53</v>
          </cell>
          <cell r="E88">
            <v>3155</v>
          </cell>
          <cell r="F88">
            <v>21115.53</v>
          </cell>
          <cell r="G88">
            <v>5048.0999999999995</v>
          </cell>
        </row>
        <row r="89">
          <cell r="A89" t="str">
            <v>Швецов Никита Георгиевич</v>
          </cell>
          <cell r="C89">
            <v>115000</v>
          </cell>
          <cell r="E89">
            <v>14950</v>
          </cell>
          <cell r="F89">
            <v>100050</v>
          </cell>
          <cell r="G89">
            <v>23920</v>
          </cell>
        </row>
        <row r="90">
          <cell r="A90" t="str">
            <v>Юмакулова Аида Александровна</v>
          </cell>
          <cell r="C90">
            <v>78342.47</v>
          </cell>
          <cell r="E90">
            <v>9664</v>
          </cell>
          <cell r="F90">
            <v>68678.47</v>
          </cell>
          <cell r="G90">
            <v>15287.69</v>
          </cell>
        </row>
        <row r="91">
          <cell r="A91" t="str">
            <v>Юрченкова Марина Александровна</v>
          </cell>
          <cell r="C91">
            <v>172756</v>
          </cell>
          <cell r="E91">
            <v>22458</v>
          </cell>
          <cell r="F91">
            <v>150298</v>
          </cell>
          <cell r="G91">
            <v>35932.97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_1"/>
    </sheetNames>
    <sheetDataSet>
      <sheetData sheetId="0">
        <row r="10">
          <cell r="A10" t="str">
            <v>Аблов Андрей Дмитриевич</v>
          </cell>
          <cell r="C10">
            <v>33755</v>
          </cell>
          <cell r="D10">
            <v>38799</v>
          </cell>
          <cell r="F10">
            <v>5044</v>
          </cell>
          <cell r="G10">
            <v>7992.7199999999993</v>
          </cell>
          <cell r="H10">
            <v>41747.72</v>
          </cell>
        </row>
        <row r="11">
          <cell r="A11" t="str">
            <v>Абрамова Екатерина Владимировна</v>
          </cell>
          <cell r="C11">
            <v>92046</v>
          </cell>
          <cell r="D11">
            <v>105800</v>
          </cell>
          <cell r="F11">
            <v>13754</v>
          </cell>
          <cell r="G11">
            <v>21794.799999999999</v>
          </cell>
          <cell r="H11">
            <v>113840.8</v>
          </cell>
        </row>
        <row r="12">
          <cell r="A12" t="str">
            <v>Аксенова Наталья Валериевна</v>
          </cell>
          <cell r="C12">
            <v>100050</v>
          </cell>
          <cell r="D12">
            <v>115000</v>
          </cell>
          <cell r="F12">
            <v>14950</v>
          </cell>
          <cell r="G12">
            <v>23920</v>
          </cell>
          <cell r="H12">
            <v>123970</v>
          </cell>
        </row>
        <row r="13">
          <cell r="A13" t="str">
            <v>Андреева Валентина Юрьевна</v>
          </cell>
          <cell r="C13">
            <v>69474</v>
          </cell>
          <cell r="D13">
            <v>79855</v>
          </cell>
          <cell r="F13">
            <v>10381</v>
          </cell>
          <cell r="G13">
            <v>16609.689999999999</v>
          </cell>
          <cell r="H13">
            <v>86083.69</v>
          </cell>
        </row>
        <row r="14">
          <cell r="A14" t="str">
            <v>Антонюк Дарья Дмитриевна</v>
          </cell>
          <cell r="C14">
            <v>80396.97</v>
          </cell>
          <cell r="D14">
            <v>92409.97</v>
          </cell>
          <cell r="F14">
            <v>12013</v>
          </cell>
          <cell r="G14">
            <v>19220.98</v>
          </cell>
          <cell r="H14">
            <v>99617.95</v>
          </cell>
        </row>
        <row r="15">
          <cell r="A15" t="str">
            <v>Арнаут Денис Александрович</v>
          </cell>
          <cell r="C15">
            <v>65376</v>
          </cell>
          <cell r="D15">
            <v>75145</v>
          </cell>
          <cell r="F15">
            <v>9769</v>
          </cell>
          <cell r="G15">
            <v>15630.310000000001</v>
          </cell>
          <cell r="H15">
            <v>81006.31</v>
          </cell>
        </row>
        <row r="16">
          <cell r="A16" t="str">
            <v>Балабанова Евгения Юрьевна</v>
          </cell>
          <cell r="C16">
            <v>60030</v>
          </cell>
          <cell r="D16">
            <v>69000</v>
          </cell>
          <cell r="F16">
            <v>8970</v>
          </cell>
          <cell r="G16">
            <v>14352</v>
          </cell>
          <cell r="H16">
            <v>74382</v>
          </cell>
        </row>
        <row r="17">
          <cell r="A17" t="str">
            <v>Баландина Наталия Владимировна</v>
          </cell>
          <cell r="C17">
            <v>20262</v>
          </cell>
          <cell r="D17">
            <v>23289</v>
          </cell>
          <cell r="F17">
            <v>3027</v>
          </cell>
          <cell r="G17">
            <v>4843.55</v>
          </cell>
          <cell r="H17">
            <v>25105.55</v>
          </cell>
        </row>
        <row r="18">
          <cell r="A18" t="str">
            <v>Безух Михаил Алексеевич</v>
          </cell>
          <cell r="C18">
            <v>109894</v>
          </cell>
          <cell r="D18">
            <v>126315</v>
          </cell>
          <cell r="F18">
            <v>16421</v>
          </cell>
          <cell r="G18">
            <v>26273.570000000003</v>
          </cell>
          <cell r="H18">
            <v>136167.57</v>
          </cell>
        </row>
        <row r="19">
          <cell r="A19" t="str">
            <v>Белоножкин Сергей Геннадьевич</v>
          </cell>
          <cell r="C19">
            <v>2400</v>
          </cell>
          <cell r="D19">
            <v>2759</v>
          </cell>
          <cell r="F19">
            <v>359</v>
          </cell>
          <cell r="G19">
            <v>568.68000000000006</v>
          </cell>
          <cell r="H19">
            <v>2968.6800000000003</v>
          </cell>
        </row>
        <row r="20">
          <cell r="A20" t="str">
            <v>Бобров Виктор Александрович</v>
          </cell>
          <cell r="C20">
            <v>115014</v>
          </cell>
          <cell r="D20">
            <v>132200</v>
          </cell>
          <cell r="F20">
            <v>17186</v>
          </cell>
          <cell r="G20">
            <v>27497.600000000002</v>
          </cell>
          <cell r="H20">
            <v>142511.6</v>
          </cell>
        </row>
        <row r="21">
          <cell r="A21" t="str">
            <v>Богданова Маргарита Ивановна</v>
          </cell>
          <cell r="C21">
            <v>64989</v>
          </cell>
          <cell r="D21">
            <v>74700</v>
          </cell>
          <cell r="F21">
            <v>9711</v>
          </cell>
          <cell r="G21">
            <v>15537.6</v>
          </cell>
          <cell r="H21">
            <v>80526.600000000006</v>
          </cell>
        </row>
        <row r="22">
          <cell r="A22" t="str">
            <v>Бойко Мария Сергеевна</v>
          </cell>
          <cell r="C22">
            <v>67277</v>
          </cell>
          <cell r="D22">
            <v>77330</v>
          </cell>
          <cell r="F22">
            <v>10053</v>
          </cell>
          <cell r="G22">
            <v>16084.74</v>
          </cell>
          <cell r="H22">
            <v>83361.740000000005</v>
          </cell>
        </row>
        <row r="23">
          <cell r="A23" t="str">
            <v>Боровова Дарья Алексеевна</v>
          </cell>
          <cell r="C23">
            <v>40020</v>
          </cell>
          <cell r="D23">
            <v>46000</v>
          </cell>
          <cell r="F23">
            <v>5980</v>
          </cell>
          <cell r="G23">
            <v>9568</v>
          </cell>
          <cell r="H23">
            <v>49588</v>
          </cell>
        </row>
        <row r="24">
          <cell r="A24" t="str">
            <v>Бурмистров Георгий Романович</v>
          </cell>
          <cell r="C24">
            <v>105501.69</v>
          </cell>
          <cell r="D24">
            <v>121265.69</v>
          </cell>
          <cell r="F24">
            <v>15764</v>
          </cell>
          <cell r="G24">
            <v>25222.73</v>
          </cell>
          <cell r="H24">
            <v>130724.42</v>
          </cell>
        </row>
        <row r="25">
          <cell r="A25" t="str">
            <v>Васькина Анастасия Юрьевна</v>
          </cell>
          <cell r="C25">
            <v>20870</v>
          </cell>
          <cell r="D25">
            <v>23988</v>
          </cell>
          <cell r="F25">
            <v>3118</v>
          </cell>
          <cell r="G25">
            <v>4989.07</v>
          </cell>
          <cell r="H25">
            <v>25859.07</v>
          </cell>
        </row>
        <row r="26">
          <cell r="A26" t="str">
            <v>Власова Марина Сергеевна</v>
          </cell>
          <cell r="C26">
            <v>183147.48</v>
          </cell>
          <cell r="D26">
            <v>210514.48</v>
          </cell>
          <cell r="F26">
            <v>27367</v>
          </cell>
          <cell r="G26">
            <v>43787.13</v>
          </cell>
          <cell r="H26">
            <v>226934.61000000002</v>
          </cell>
        </row>
        <row r="27">
          <cell r="A27" t="str">
            <v>Волков Александр Александрович</v>
          </cell>
          <cell r="C27">
            <v>4553</v>
          </cell>
          <cell r="D27">
            <v>5233</v>
          </cell>
          <cell r="F27">
            <v>680</v>
          </cell>
          <cell r="G27">
            <v>1077.71</v>
          </cell>
          <cell r="H27">
            <v>5630.71</v>
          </cell>
        </row>
        <row r="28">
          <cell r="A28" t="str">
            <v>Волков Денис Андреевич</v>
          </cell>
          <cell r="C28">
            <v>70675.570000000007</v>
          </cell>
          <cell r="D28">
            <v>81236.570000000007</v>
          </cell>
          <cell r="F28">
            <v>10561</v>
          </cell>
          <cell r="G28">
            <v>16897.45</v>
          </cell>
          <cell r="H28">
            <v>87573.02</v>
          </cell>
        </row>
        <row r="29">
          <cell r="A29" t="str">
            <v>Волынина Светлана Сергеевна</v>
          </cell>
          <cell r="C29">
            <v>4801</v>
          </cell>
          <cell r="D29">
            <v>5518</v>
          </cell>
          <cell r="F29">
            <v>717</v>
          </cell>
          <cell r="G29">
            <v>1136.3699999999999</v>
          </cell>
          <cell r="H29">
            <v>5937.37</v>
          </cell>
        </row>
        <row r="30">
          <cell r="A30" t="str">
            <v>Густокашина Алена Александровна</v>
          </cell>
          <cell r="C30">
            <v>4363</v>
          </cell>
          <cell r="D30">
            <v>5015</v>
          </cell>
          <cell r="F30">
            <v>652</v>
          </cell>
          <cell r="G30">
            <v>1043.1699999999998</v>
          </cell>
          <cell r="H30">
            <v>5406.17</v>
          </cell>
        </row>
        <row r="31">
          <cell r="A31" t="str">
            <v>Гутина Юлия Игоревна</v>
          </cell>
          <cell r="C31">
            <v>81001.649999999994</v>
          </cell>
          <cell r="D31">
            <v>93105.65</v>
          </cell>
          <cell r="F31">
            <v>12104</v>
          </cell>
          <cell r="G31">
            <v>19366.239999999998</v>
          </cell>
          <cell r="H31">
            <v>100367.88999999998</v>
          </cell>
        </row>
        <row r="32">
          <cell r="A32" t="str">
            <v>Давтян Инга Гагиковна</v>
          </cell>
          <cell r="C32">
            <v>73036</v>
          </cell>
          <cell r="D32">
            <v>83950</v>
          </cell>
          <cell r="F32">
            <v>10914</v>
          </cell>
          <cell r="G32">
            <v>17294.2</v>
          </cell>
          <cell r="H32">
            <v>90330.2</v>
          </cell>
        </row>
        <row r="33">
          <cell r="A33" t="str">
            <v>Дембовская Михаэла</v>
          </cell>
          <cell r="C33">
            <v>68879.64</v>
          </cell>
          <cell r="D33">
            <v>79172.639999999999</v>
          </cell>
          <cell r="F33">
            <v>10293</v>
          </cell>
          <cell r="G33">
            <v>16468.469999999998</v>
          </cell>
          <cell r="H33">
            <v>85348.11</v>
          </cell>
        </row>
        <row r="34">
          <cell r="A34" t="str">
            <v>Дворкина Елена Тимуровна</v>
          </cell>
          <cell r="C34">
            <v>12003</v>
          </cell>
          <cell r="H34">
            <v>12003</v>
          </cell>
        </row>
        <row r="35">
          <cell r="A35" t="str">
            <v>Еремин Михаил Сергеевич</v>
          </cell>
          <cell r="C35">
            <v>197472.88</v>
          </cell>
          <cell r="D35">
            <v>226980.88</v>
          </cell>
          <cell r="F35">
            <v>29508</v>
          </cell>
          <cell r="G35">
            <v>47157.68</v>
          </cell>
          <cell r="H35">
            <v>244630.56</v>
          </cell>
        </row>
        <row r="36">
          <cell r="A36" t="str">
            <v>Ильин Иван Константинович</v>
          </cell>
          <cell r="C36">
            <v>577006</v>
          </cell>
          <cell r="D36">
            <v>690000</v>
          </cell>
          <cell r="F36">
            <v>112994</v>
          </cell>
          <cell r="G36">
            <v>166814</v>
          </cell>
          <cell r="H36">
            <v>743820</v>
          </cell>
        </row>
        <row r="37">
          <cell r="A37" t="str">
            <v>Ильин Константин Иванович</v>
          </cell>
          <cell r="C37">
            <v>8766</v>
          </cell>
          <cell r="D37">
            <v>10075</v>
          </cell>
          <cell r="F37">
            <v>1309</v>
          </cell>
          <cell r="G37">
            <v>2094.85</v>
          </cell>
          <cell r="H37">
            <v>10860.85</v>
          </cell>
        </row>
        <row r="38">
          <cell r="A38" t="str">
            <v>Ионкина Вера Сергеевна</v>
          </cell>
          <cell r="C38">
            <v>100050</v>
          </cell>
          <cell r="D38">
            <v>115000</v>
          </cell>
          <cell r="F38">
            <v>14950</v>
          </cell>
          <cell r="G38">
            <v>23920</v>
          </cell>
          <cell r="H38">
            <v>123970</v>
          </cell>
        </row>
        <row r="39">
          <cell r="A39" t="str">
            <v>Исмаилова Людмила Юрьевна</v>
          </cell>
          <cell r="C39">
            <v>70335</v>
          </cell>
          <cell r="D39">
            <v>80845</v>
          </cell>
          <cell r="F39">
            <v>10510</v>
          </cell>
          <cell r="G39">
            <v>16815.91</v>
          </cell>
          <cell r="H39">
            <v>87150.91</v>
          </cell>
        </row>
        <row r="40">
          <cell r="A40" t="str">
            <v>Кадышев Алексей Александрович</v>
          </cell>
          <cell r="C40">
            <v>87235.75</v>
          </cell>
          <cell r="D40">
            <v>100271.75</v>
          </cell>
          <cell r="F40">
            <v>13036</v>
          </cell>
          <cell r="G40">
            <v>20857.190000000002</v>
          </cell>
          <cell r="H40">
            <v>108092.94</v>
          </cell>
        </row>
        <row r="41">
          <cell r="A41" t="str">
            <v>Кириченко Валерия Николаевна</v>
          </cell>
          <cell r="C41">
            <v>116179.25</v>
          </cell>
          <cell r="D41">
            <v>133540.25</v>
          </cell>
          <cell r="F41">
            <v>17361</v>
          </cell>
          <cell r="G41">
            <v>27480.609999999997</v>
          </cell>
          <cell r="H41">
            <v>143659.85999999999</v>
          </cell>
        </row>
        <row r="42">
          <cell r="A42" t="str">
            <v>Кнутов Артём Виталиевич</v>
          </cell>
          <cell r="C42">
            <v>105456.23</v>
          </cell>
          <cell r="D42">
            <v>121214.23</v>
          </cell>
          <cell r="F42">
            <v>15758</v>
          </cell>
          <cell r="G42">
            <v>25212.71</v>
          </cell>
          <cell r="H42">
            <v>130668.94</v>
          </cell>
        </row>
        <row r="43">
          <cell r="A43" t="str">
            <v>Князев Дмитрий Игоревич</v>
          </cell>
          <cell r="C43">
            <v>140899.20000000001</v>
          </cell>
          <cell r="D43">
            <v>162131.20000000001</v>
          </cell>
          <cell r="F43">
            <v>21232</v>
          </cell>
          <cell r="G43">
            <v>33878.230000000003</v>
          </cell>
          <cell r="H43">
            <v>174777.43000000002</v>
          </cell>
        </row>
        <row r="44">
          <cell r="A44" t="str">
            <v>Коваленко Ольга Владимировна</v>
          </cell>
          <cell r="C44">
            <v>80340</v>
          </cell>
          <cell r="D44">
            <v>92345</v>
          </cell>
          <cell r="F44">
            <v>12005</v>
          </cell>
          <cell r="G44">
            <v>19207.91</v>
          </cell>
          <cell r="H44">
            <v>99547.91</v>
          </cell>
        </row>
        <row r="45">
          <cell r="A45" t="str">
            <v>Козикова Анастасия Валерьевна</v>
          </cell>
          <cell r="C45">
            <v>70035</v>
          </cell>
          <cell r="D45">
            <v>80500</v>
          </cell>
          <cell r="F45">
            <v>10465</v>
          </cell>
          <cell r="G45">
            <v>16744</v>
          </cell>
          <cell r="H45">
            <v>86779</v>
          </cell>
        </row>
        <row r="46">
          <cell r="A46" t="str">
            <v>Копаева Юлия Андреевна</v>
          </cell>
          <cell r="C46">
            <v>120300</v>
          </cell>
          <cell r="D46">
            <v>138276</v>
          </cell>
          <cell r="F46">
            <v>17976</v>
          </cell>
          <cell r="G46">
            <v>28761.52</v>
          </cell>
          <cell r="H46">
            <v>149061.51999999999</v>
          </cell>
        </row>
        <row r="47">
          <cell r="A47" t="str">
            <v>Коробач Евгений Сергеевич</v>
          </cell>
          <cell r="C47">
            <v>111954.13</v>
          </cell>
          <cell r="D47">
            <v>128683.13</v>
          </cell>
          <cell r="F47">
            <v>16729</v>
          </cell>
          <cell r="G47">
            <v>26766.289999999997</v>
          </cell>
          <cell r="H47">
            <v>138720.42000000001</v>
          </cell>
        </row>
        <row r="48">
          <cell r="A48" t="str">
            <v>Корсунова дарья Владимировна</v>
          </cell>
          <cell r="C48">
            <v>74470</v>
          </cell>
          <cell r="D48">
            <v>128683.13</v>
          </cell>
          <cell r="F48">
            <v>16729</v>
          </cell>
          <cell r="H48">
            <v>74470</v>
          </cell>
        </row>
        <row r="49">
          <cell r="A49" t="str">
            <v>Котов Александр Владимирович</v>
          </cell>
          <cell r="C49">
            <v>67154.38</v>
          </cell>
          <cell r="D49">
            <v>77188.38</v>
          </cell>
          <cell r="F49">
            <v>10034</v>
          </cell>
          <cell r="G49">
            <v>15773.990000000002</v>
          </cell>
          <cell r="H49">
            <v>82928.37000000001</v>
          </cell>
        </row>
        <row r="50">
          <cell r="A50" t="str">
            <v>Крыгина Наталья Сергеевна</v>
          </cell>
          <cell r="C50">
            <v>145021.57999999999</v>
          </cell>
          <cell r="D50">
            <v>166691.57999999999</v>
          </cell>
          <cell r="F50">
            <v>21670</v>
          </cell>
          <cell r="G50">
            <v>34671.939999999995</v>
          </cell>
          <cell r="H50">
            <v>179693.52</v>
          </cell>
        </row>
        <row r="51">
          <cell r="A51" t="str">
            <v>Кундельская Ольга Владимировна</v>
          </cell>
          <cell r="C51">
            <v>3192</v>
          </cell>
          <cell r="D51">
            <v>81867.350000000006</v>
          </cell>
          <cell r="F51">
            <v>10643</v>
          </cell>
          <cell r="H51">
            <v>3192</v>
          </cell>
        </row>
        <row r="52">
          <cell r="A52" t="str">
            <v>Куракин Валерий Сергеевич</v>
          </cell>
          <cell r="C52">
            <v>71224.350000000006</v>
          </cell>
          <cell r="D52">
            <v>81867.350000000006</v>
          </cell>
          <cell r="F52">
            <v>10643</v>
          </cell>
          <cell r="G52">
            <v>17028.649999999998</v>
          </cell>
          <cell r="H52">
            <v>88253</v>
          </cell>
        </row>
        <row r="53">
          <cell r="A53" t="str">
            <v>Лобанов Артем Николаевич</v>
          </cell>
          <cell r="C53">
            <v>92520</v>
          </cell>
          <cell r="D53">
            <v>106345</v>
          </cell>
          <cell r="F53">
            <v>13825</v>
          </cell>
          <cell r="G53">
            <v>22119.91</v>
          </cell>
          <cell r="H53">
            <v>114639.91</v>
          </cell>
        </row>
        <row r="54">
          <cell r="A54" t="str">
            <v>Логвинова Уэзерфилд Линас</v>
          </cell>
          <cell r="C54">
            <v>85555</v>
          </cell>
          <cell r="D54">
            <v>98339</v>
          </cell>
          <cell r="F54">
            <v>12784</v>
          </cell>
          <cell r="G54">
            <v>20454.45</v>
          </cell>
          <cell r="H54">
            <v>106009.45</v>
          </cell>
        </row>
        <row r="55">
          <cell r="A55" t="str">
            <v>Майборода Софья Викторовна</v>
          </cell>
          <cell r="C55">
            <v>51765</v>
          </cell>
          <cell r="D55">
            <v>59500</v>
          </cell>
          <cell r="F55">
            <v>7735</v>
          </cell>
          <cell r="G55">
            <v>12376</v>
          </cell>
          <cell r="H55">
            <v>64141</v>
          </cell>
        </row>
        <row r="56">
          <cell r="A56" t="str">
            <v>Малыхина Юлия Эдуардовна</v>
          </cell>
          <cell r="C56">
            <v>131368.76</v>
          </cell>
          <cell r="D56">
            <v>150997.76000000001</v>
          </cell>
          <cell r="F56">
            <v>19629</v>
          </cell>
          <cell r="G56">
            <v>31406.83</v>
          </cell>
          <cell r="H56">
            <v>162775.59000000003</v>
          </cell>
        </row>
        <row r="57">
          <cell r="A57" t="str">
            <v>Маркова Светлана Геннадьевна</v>
          </cell>
          <cell r="C57">
            <v>5259.27</v>
          </cell>
          <cell r="D57">
            <v>6045.27</v>
          </cell>
          <cell r="F57">
            <v>786</v>
          </cell>
          <cell r="G57">
            <v>786</v>
          </cell>
          <cell r="H57">
            <v>6045.27</v>
          </cell>
        </row>
        <row r="58">
          <cell r="A58" t="str">
            <v>Масленникова Наталья Федоровна</v>
          </cell>
          <cell r="C58">
            <v>7180.16</v>
          </cell>
          <cell r="D58">
            <v>8252.16</v>
          </cell>
          <cell r="F58">
            <v>1072</v>
          </cell>
          <cell r="G58">
            <v>1072</v>
          </cell>
          <cell r="H58">
            <v>8252.16</v>
          </cell>
        </row>
        <row r="59">
          <cell r="A59" t="str">
            <v>Масько Анастасия Александровна</v>
          </cell>
          <cell r="C59">
            <v>4833</v>
          </cell>
          <cell r="D59">
            <v>5555</v>
          </cell>
          <cell r="F59">
            <v>722</v>
          </cell>
          <cell r="G59">
            <v>1144.18</v>
          </cell>
          <cell r="H59">
            <v>5977.18</v>
          </cell>
        </row>
        <row r="60">
          <cell r="A60" t="str">
            <v>Мирошникова Елена Владимировна</v>
          </cell>
          <cell r="C60">
            <v>79027.960000000006</v>
          </cell>
          <cell r="D60">
            <v>90835.96</v>
          </cell>
          <cell r="F60">
            <v>11808</v>
          </cell>
          <cell r="G60">
            <v>18893.21</v>
          </cell>
          <cell r="H60">
            <v>97921.170000000013</v>
          </cell>
        </row>
        <row r="61">
          <cell r="A61" t="str">
            <v>Морозова Анастасия Леонидовна</v>
          </cell>
          <cell r="C61">
            <v>14889</v>
          </cell>
          <cell r="D61">
            <v>17113</v>
          </cell>
          <cell r="F61">
            <v>2224</v>
          </cell>
          <cell r="G61">
            <v>3524.59</v>
          </cell>
          <cell r="H61">
            <v>18413.59</v>
          </cell>
        </row>
        <row r="62">
          <cell r="A62" t="str">
            <v>Московская Светлана Олеговна</v>
          </cell>
          <cell r="C62">
            <v>15378.91</v>
          </cell>
          <cell r="D62">
            <v>17676.91</v>
          </cell>
          <cell r="F62">
            <v>2298</v>
          </cell>
          <cell r="G62">
            <v>3676.7999999999997</v>
          </cell>
          <cell r="H62">
            <v>19055.71</v>
          </cell>
        </row>
        <row r="63">
          <cell r="A63" t="str">
            <v>Мулаева Анастасия Олеговна</v>
          </cell>
          <cell r="C63">
            <v>45422</v>
          </cell>
          <cell r="D63">
            <v>52000</v>
          </cell>
          <cell r="F63">
            <v>6578</v>
          </cell>
          <cell r="G63">
            <v>10634</v>
          </cell>
          <cell r="H63">
            <v>56056</v>
          </cell>
        </row>
        <row r="64">
          <cell r="A64" t="str">
            <v>Новикова Екатерина Вадимовна</v>
          </cell>
          <cell r="C64">
            <v>116302.56</v>
          </cell>
          <cell r="D64">
            <v>133680.56</v>
          </cell>
          <cell r="F64">
            <v>17378</v>
          </cell>
          <cell r="G64">
            <v>27805.09</v>
          </cell>
          <cell r="H64">
            <v>144107.65</v>
          </cell>
        </row>
        <row r="65">
          <cell r="A65" t="str">
            <v>Орлинская Мария Евгеньевна</v>
          </cell>
          <cell r="C65">
            <v>11915</v>
          </cell>
          <cell r="H65">
            <v>11915</v>
          </cell>
        </row>
        <row r="66">
          <cell r="A66" t="str">
            <v>Орлова Алла Александровна</v>
          </cell>
          <cell r="C66">
            <v>70837.52</v>
          </cell>
          <cell r="D66">
            <v>81421.52</v>
          </cell>
          <cell r="F66">
            <v>10584</v>
          </cell>
          <cell r="G66">
            <v>16934.88</v>
          </cell>
          <cell r="H66">
            <v>87772.400000000009</v>
          </cell>
        </row>
        <row r="67">
          <cell r="A67" t="str">
            <v>Осепян Артём Андреевич</v>
          </cell>
          <cell r="C67">
            <v>12350</v>
          </cell>
          <cell r="D67">
            <v>14196</v>
          </cell>
          <cell r="F67">
            <v>1846</v>
          </cell>
          <cell r="G67">
            <v>2924.9</v>
          </cell>
          <cell r="H67">
            <v>15274.9</v>
          </cell>
        </row>
        <row r="68">
          <cell r="A68" t="str">
            <v>Паршакина Ольга Сергеевна</v>
          </cell>
          <cell r="C68">
            <v>126731.57999999999</v>
          </cell>
          <cell r="D68">
            <v>145667.57999999999</v>
          </cell>
          <cell r="F68">
            <v>18936</v>
          </cell>
          <cell r="G68">
            <v>30298.07</v>
          </cell>
          <cell r="H68">
            <v>157029.65</v>
          </cell>
        </row>
        <row r="69">
          <cell r="A69" t="str">
            <v>Пикулина София Владимировна</v>
          </cell>
          <cell r="C69">
            <v>46995.75</v>
          </cell>
          <cell r="D69">
            <v>54018.75</v>
          </cell>
          <cell r="F69">
            <v>7023</v>
          </cell>
          <cell r="G69">
            <v>11236.460000000001</v>
          </cell>
          <cell r="H69">
            <v>58232.21</v>
          </cell>
        </row>
        <row r="70">
          <cell r="A70" t="str">
            <v>Попова Ева Андреевна</v>
          </cell>
          <cell r="C70">
            <v>120361</v>
          </cell>
          <cell r="D70">
            <v>138345</v>
          </cell>
          <cell r="F70">
            <v>17984</v>
          </cell>
          <cell r="G70">
            <v>28774.91</v>
          </cell>
          <cell r="H70">
            <v>149135.91</v>
          </cell>
        </row>
        <row r="71">
          <cell r="A71" t="str">
            <v>Попова Юлия Андреевна</v>
          </cell>
          <cell r="C71">
            <v>64133.58</v>
          </cell>
          <cell r="D71">
            <v>73716.58</v>
          </cell>
          <cell r="F71">
            <v>9583</v>
          </cell>
          <cell r="G71">
            <v>15332.89</v>
          </cell>
          <cell r="H71">
            <v>79466.47</v>
          </cell>
        </row>
        <row r="72">
          <cell r="A72" t="str">
            <v>Потковский Иван Владимирович</v>
          </cell>
          <cell r="C72">
            <v>70335</v>
          </cell>
          <cell r="D72">
            <v>80845</v>
          </cell>
          <cell r="F72">
            <v>10510</v>
          </cell>
          <cell r="G72">
            <v>16815.91</v>
          </cell>
          <cell r="H72">
            <v>87150.91</v>
          </cell>
        </row>
        <row r="73">
          <cell r="A73" t="str">
            <v>Проклашкин Александр Сергеевич</v>
          </cell>
          <cell r="C73">
            <v>80222</v>
          </cell>
          <cell r="D73">
            <v>92000</v>
          </cell>
          <cell r="F73">
            <v>11778</v>
          </cell>
          <cell r="G73">
            <v>18954</v>
          </cell>
          <cell r="H73">
            <v>99176</v>
          </cell>
        </row>
        <row r="74">
          <cell r="A74" t="str">
            <v>Пушкина Юлия Игоревна</v>
          </cell>
          <cell r="C74">
            <v>69337.08</v>
          </cell>
          <cell r="D74">
            <v>79698.080000000002</v>
          </cell>
          <cell r="F74">
            <v>10361</v>
          </cell>
          <cell r="G74">
            <v>16577.460000000003</v>
          </cell>
          <cell r="H74">
            <v>85914.540000000008</v>
          </cell>
        </row>
        <row r="75">
          <cell r="A75" t="str">
            <v>Пьянзина Наталья Викторовна</v>
          </cell>
          <cell r="C75">
            <v>77960.210000000006</v>
          </cell>
          <cell r="D75">
            <v>89610.21</v>
          </cell>
          <cell r="F75">
            <v>11650</v>
          </cell>
          <cell r="G75">
            <v>18341.23</v>
          </cell>
          <cell r="H75">
            <v>96301.440000000002</v>
          </cell>
        </row>
        <row r="76">
          <cell r="A76" t="str">
            <v>Радецкая Лика Дмитриевна</v>
          </cell>
          <cell r="C76">
            <v>29652.260000000002</v>
          </cell>
          <cell r="D76">
            <v>34083.26</v>
          </cell>
          <cell r="F76">
            <v>4431</v>
          </cell>
          <cell r="G76">
            <v>7089.5</v>
          </cell>
          <cell r="H76">
            <v>36741.760000000002</v>
          </cell>
        </row>
        <row r="77">
          <cell r="A77" t="str">
            <v>Реутов Алексей Александрович</v>
          </cell>
          <cell r="C77">
            <v>59594.91</v>
          </cell>
          <cell r="D77">
            <v>68499.91</v>
          </cell>
          <cell r="F77">
            <v>8905</v>
          </cell>
          <cell r="G77">
            <v>14247.99</v>
          </cell>
          <cell r="H77">
            <v>73842.900000000009</v>
          </cell>
        </row>
        <row r="78">
          <cell r="A78" t="str">
            <v>Рыкова Анастасия Николаевна</v>
          </cell>
          <cell r="C78">
            <v>110051</v>
          </cell>
          <cell r="D78">
            <v>126495</v>
          </cell>
          <cell r="F78">
            <v>16444</v>
          </cell>
          <cell r="G78">
            <v>26310.610000000004</v>
          </cell>
          <cell r="H78">
            <v>136361.61000000002</v>
          </cell>
        </row>
        <row r="79">
          <cell r="A79" t="str">
            <v>Рязанцев Андрей Николаевич</v>
          </cell>
          <cell r="C79">
            <v>68492.52</v>
          </cell>
          <cell r="D79">
            <v>78726.52</v>
          </cell>
          <cell r="F79">
            <v>10234</v>
          </cell>
          <cell r="G79">
            <v>16144.71</v>
          </cell>
          <cell r="H79">
            <v>84637.23000000001</v>
          </cell>
        </row>
        <row r="80">
          <cell r="A80" t="str">
            <v>Самсаева Кристина Юрьевна</v>
          </cell>
          <cell r="C80">
            <v>150075</v>
          </cell>
          <cell r="D80">
            <v>172500</v>
          </cell>
          <cell r="F80">
            <v>22425</v>
          </cell>
          <cell r="G80">
            <v>35880</v>
          </cell>
          <cell r="H80">
            <v>185955</v>
          </cell>
        </row>
        <row r="81">
          <cell r="A81" t="str">
            <v>Свистунов Даниил Иванович</v>
          </cell>
          <cell r="C81">
            <v>130065</v>
          </cell>
          <cell r="D81">
            <v>149500</v>
          </cell>
          <cell r="F81">
            <v>19435</v>
          </cell>
          <cell r="G81">
            <v>31096</v>
          </cell>
          <cell r="H81">
            <v>161161</v>
          </cell>
        </row>
        <row r="82">
          <cell r="A82" t="str">
            <v>Сидорова Елена Александровна</v>
          </cell>
          <cell r="C82">
            <v>80340</v>
          </cell>
          <cell r="D82">
            <v>92345</v>
          </cell>
          <cell r="F82">
            <v>12005</v>
          </cell>
          <cell r="G82">
            <v>19207.91</v>
          </cell>
          <cell r="H82">
            <v>99547.91</v>
          </cell>
        </row>
        <row r="83">
          <cell r="A83" t="str">
            <v>Симанович Варвара Сергеевна</v>
          </cell>
          <cell r="C83">
            <v>130365</v>
          </cell>
          <cell r="D83">
            <v>149845</v>
          </cell>
          <cell r="F83">
            <v>19480</v>
          </cell>
          <cell r="G83">
            <v>31167.91</v>
          </cell>
          <cell r="H83">
            <v>161532.91</v>
          </cell>
        </row>
        <row r="84">
          <cell r="A84" t="str">
            <v>Скрябина Елена Сергеевна</v>
          </cell>
          <cell r="C84">
            <v>91156.39</v>
          </cell>
          <cell r="D84">
            <v>104777.39</v>
          </cell>
          <cell r="F84">
            <v>13621</v>
          </cell>
          <cell r="G84">
            <v>21793.63</v>
          </cell>
          <cell r="H84">
            <v>112950.02</v>
          </cell>
        </row>
        <row r="85">
          <cell r="A85" t="str">
            <v xml:space="preserve">Сламбеков Аргын </v>
          </cell>
          <cell r="C85">
            <v>193434</v>
          </cell>
          <cell r="H85">
            <v>193434</v>
          </cell>
        </row>
        <row r="86">
          <cell r="A86" t="str">
            <v>Смирнова Евгения Андреевна</v>
          </cell>
          <cell r="C86">
            <v>117278</v>
          </cell>
          <cell r="D86">
            <v>134803</v>
          </cell>
          <cell r="F86">
            <v>17525</v>
          </cell>
          <cell r="G86">
            <v>27770.03</v>
          </cell>
          <cell r="H86">
            <v>145048.03</v>
          </cell>
        </row>
        <row r="87">
          <cell r="A87" t="str">
            <v>Смирнова Светлана Николаевна</v>
          </cell>
          <cell r="C87">
            <v>50325</v>
          </cell>
          <cell r="D87">
            <v>57845</v>
          </cell>
          <cell r="F87">
            <v>7520</v>
          </cell>
          <cell r="G87">
            <v>12031.910000000002</v>
          </cell>
          <cell r="H87">
            <v>62356.91</v>
          </cell>
        </row>
        <row r="88">
          <cell r="A88" t="str">
            <v>Страхов Никита Евгеньевич</v>
          </cell>
          <cell r="C88">
            <v>120060</v>
          </cell>
          <cell r="D88">
            <v>138000</v>
          </cell>
          <cell r="F88">
            <v>17940</v>
          </cell>
          <cell r="G88">
            <v>28704</v>
          </cell>
          <cell r="H88">
            <v>148764</v>
          </cell>
        </row>
        <row r="89">
          <cell r="A89" t="str">
            <v>Сычев Сергей Сергеевич</v>
          </cell>
          <cell r="C89">
            <v>113000</v>
          </cell>
          <cell r="H89">
            <v>113000</v>
          </cell>
        </row>
        <row r="90">
          <cell r="A90" t="str">
            <v>Ткаченко Александр Дмитриевич</v>
          </cell>
          <cell r="C90">
            <v>100350</v>
          </cell>
          <cell r="D90">
            <v>115345</v>
          </cell>
          <cell r="F90">
            <v>14995</v>
          </cell>
          <cell r="G90">
            <v>23991.91</v>
          </cell>
          <cell r="H90">
            <v>124341.91</v>
          </cell>
        </row>
        <row r="91">
          <cell r="A91" t="str">
            <v>Третьякова Евгения Павловна</v>
          </cell>
          <cell r="C91">
            <v>31102</v>
          </cell>
          <cell r="D91">
            <v>35750</v>
          </cell>
          <cell r="F91">
            <v>4648</v>
          </cell>
          <cell r="G91">
            <v>7436.5</v>
          </cell>
          <cell r="H91">
            <v>38538.5</v>
          </cell>
        </row>
        <row r="92">
          <cell r="A92" t="str">
            <v>Тюленев Юрий Юрьевич</v>
          </cell>
          <cell r="C92">
            <v>289302.59999999998</v>
          </cell>
          <cell r="D92">
            <v>332532.59999999998</v>
          </cell>
          <cell r="F92">
            <v>43230</v>
          </cell>
          <cell r="G92">
            <v>69167.539999999994</v>
          </cell>
          <cell r="H92">
            <v>358470.13999999996</v>
          </cell>
        </row>
        <row r="93">
          <cell r="A93" t="str">
            <v>Федярова Карина Сергеевна</v>
          </cell>
          <cell r="C93">
            <v>87903.3</v>
          </cell>
          <cell r="D93">
            <v>101038.3</v>
          </cell>
          <cell r="F93">
            <v>13135</v>
          </cell>
          <cell r="G93">
            <v>21015.99</v>
          </cell>
          <cell r="H93">
            <v>108919.29000000001</v>
          </cell>
        </row>
        <row r="94">
          <cell r="A94" t="str">
            <v>Филин Александр Александрович</v>
          </cell>
          <cell r="C94">
            <v>60030</v>
          </cell>
          <cell r="D94">
            <v>69000</v>
          </cell>
          <cell r="F94">
            <v>8970</v>
          </cell>
          <cell r="G94">
            <v>14214</v>
          </cell>
          <cell r="H94">
            <v>74244</v>
          </cell>
        </row>
        <row r="95">
          <cell r="A95" t="str">
            <v>Филиппова Екатерина Николаевна</v>
          </cell>
          <cell r="C95">
            <v>234995</v>
          </cell>
          <cell r="D95">
            <v>270109</v>
          </cell>
          <cell r="F95">
            <v>35114</v>
          </cell>
          <cell r="G95">
            <v>56182.5</v>
          </cell>
          <cell r="H95">
            <v>291177.5</v>
          </cell>
        </row>
        <row r="96">
          <cell r="A96" t="str">
            <v>Цаплина Олеся Рахимзяновна</v>
          </cell>
          <cell r="C96">
            <v>60877</v>
          </cell>
          <cell r="D96">
            <v>69345</v>
          </cell>
          <cell r="F96">
            <v>8468</v>
          </cell>
          <cell r="G96">
            <v>13876.910000000002</v>
          </cell>
          <cell r="H96">
            <v>74753.91</v>
          </cell>
        </row>
        <row r="97">
          <cell r="A97" t="str">
            <v>Чемоданова Ольга Сергеевна</v>
          </cell>
          <cell r="C97">
            <v>65376</v>
          </cell>
          <cell r="D97">
            <v>75145</v>
          </cell>
          <cell r="F97">
            <v>9769</v>
          </cell>
          <cell r="G97">
            <v>15630.310000000001</v>
          </cell>
          <cell r="H97">
            <v>81006.31</v>
          </cell>
        </row>
        <row r="98">
          <cell r="A98" t="str">
            <v>Чернова Светлана Александровна</v>
          </cell>
          <cell r="C98">
            <v>77000</v>
          </cell>
          <cell r="D98">
            <v>88506</v>
          </cell>
          <cell r="F98">
            <v>11506</v>
          </cell>
          <cell r="G98">
            <v>18232.46</v>
          </cell>
          <cell r="H98">
            <v>95232.459999999992</v>
          </cell>
        </row>
        <row r="99">
          <cell r="A99" t="str">
            <v>Шапочкина Екатерина Игоревна</v>
          </cell>
          <cell r="C99">
            <v>100350</v>
          </cell>
          <cell r="D99">
            <v>115345</v>
          </cell>
          <cell r="F99">
            <v>14995</v>
          </cell>
          <cell r="G99">
            <v>23991.91</v>
          </cell>
          <cell r="H99">
            <v>124341.91</v>
          </cell>
        </row>
        <row r="100">
          <cell r="A100" t="str">
            <v>Швецов Никита Георгиевич</v>
          </cell>
          <cell r="C100">
            <v>119656.23999999999</v>
          </cell>
          <cell r="D100">
            <v>137535.24</v>
          </cell>
          <cell r="F100">
            <v>17879</v>
          </cell>
          <cell r="G100">
            <v>28606.75</v>
          </cell>
          <cell r="H100">
            <v>148262.99</v>
          </cell>
        </row>
        <row r="101">
          <cell r="A101" t="str">
            <v>Щур Анастасия Игоревна</v>
          </cell>
          <cell r="C101">
            <v>20899</v>
          </cell>
          <cell r="D101">
            <v>24022</v>
          </cell>
          <cell r="F101">
            <v>3123</v>
          </cell>
          <cell r="G101">
            <v>4948.67</v>
          </cell>
          <cell r="H101">
            <v>25847.67</v>
          </cell>
        </row>
        <row r="102">
          <cell r="A102" t="str">
            <v>Юн Андрей Мансуевич</v>
          </cell>
          <cell r="C102">
            <v>16053.04</v>
          </cell>
          <cell r="D102">
            <v>16053.04</v>
          </cell>
          <cell r="G102">
            <v>1252.1399999999999</v>
          </cell>
          <cell r="H102">
            <v>17305.18</v>
          </cell>
        </row>
        <row r="103">
          <cell r="A103" t="str">
            <v>Юрченкова Марина Александровна</v>
          </cell>
          <cell r="C103">
            <v>150350</v>
          </cell>
          <cell r="D103">
            <v>172817</v>
          </cell>
          <cell r="F103">
            <v>22467</v>
          </cell>
          <cell r="G103">
            <v>35946.719999999994</v>
          </cell>
          <cell r="H103">
            <v>186296.72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_1"/>
    </sheetNames>
    <sheetDataSet>
      <sheetData sheetId="0">
        <row r="2">
          <cell r="A2" t="str">
            <v>Налоги и взносы (кратко)</v>
          </cell>
        </row>
        <row r="4">
          <cell r="A4" t="str">
            <v>Период формирования отчета</v>
          </cell>
        </row>
        <row r="5">
          <cell r="A5" t="str">
            <v>Август 2025</v>
          </cell>
        </row>
        <row r="7">
          <cell r="A7" t="str">
            <v>Организация</v>
          </cell>
          <cell r="B7" t="str">
            <v>Начислено</v>
          </cell>
          <cell r="C7" t="str">
            <v>ФОТ на руки</v>
          </cell>
          <cell r="D7" t="str">
            <v>Налоги с ФОТ</v>
          </cell>
        </row>
        <row r="8">
          <cell r="A8" t="str">
            <v>Сотрудник</v>
          </cell>
        </row>
        <row r="9">
          <cell r="A9" t="str">
            <v>ЕМЕЙЛ СОЛДЖЕРС ООО</v>
          </cell>
          <cell r="B9">
            <v>8071172.7800000003</v>
          </cell>
          <cell r="C9">
            <v>6986409.7800000003</v>
          </cell>
          <cell r="D9">
            <v>1712870.28</v>
          </cell>
        </row>
        <row r="10">
          <cell r="A10" t="str">
            <v>Абрамова Екатерина Владимировна</v>
          </cell>
          <cell r="B10">
            <v>215050</v>
          </cell>
          <cell r="C10">
            <v>187093</v>
          </cell>
          <cell r="D10">
            <v>44300.800000000003</v>
          </cell>
        </row>
        <row r="11">
          <cell r="A11" t="str">
            <v>Аксенова Наталья Валериевна</v>
          </cell>
          <cell r="B11">
            <v>128236.1</v>
          </cell>
          <cell r="C11">
            <v>111566.1</v>
          </cell>
          <cell r="D11">
            <v>26672.410000000003</v>
          </cell>
        </row>
        <row r="12">
          <cell r="A12" t="str">
            <v>Антонюк Дарья Дмитриевна</v>
          </cell>
          <cell r="B12">
            <v>84435.15</v>
          </cell>
          <cell r="C12">
            <v>73458.149999999994</v>
          </cell>
          <cell r="D12">
            <v>17562.939999999999</v>
          </cell>
        </row>
        <row r="13">
          <cell r="A13" t="str">
            <v>Арнаут Денис Александрович</v>
          </cell>
          <cell r="B13">
            <v>75115</v>
          </cell>
          <cell r="C13">
            <v>65350</v>
          </cell>
          <cell r="D13">
            <v>15623.97</v>
          </cell>
        </row>
        <row r="14">
          <cell r="A14" t="str">
            <v>Афенберг Эмиль Сергеевич</v>
          </cell>
          <cell r="B14">
            <v>54349.29</v>
          </cell>
          <cell r="C14">
            <v>47284.29</v>
          </cell>
          <cell r="D14">
            <v>11304.25</v>
          </cell>
        </row>
        <row r="15">
          <cell r="A15" t="str">
            <v>Балабанова Евгения Юрьевна</v>
          </cell>
          <cell r="B15">
            <v>69000</v>
          </cell>
          <cell r="C15">
            <v>60030</v>
          </cell>
          <cell r="D15">
            <v>14352</v>
          </cell>
        </row>
        <row r="16">
          <cell r="A16" t="str">
            <v>Баландина Наталия Владимировна</v>
          </cell>
          <cell r="B16">
            <v>20690</v>
          </cell>
          <cell r="C16">
            <v>18000</v>
          </cell>
          <cell r="D16">
            <v>4303.8200000000006</v>
          </cell>
        </row>
        <row r="17">
          <cell r="A17" t="str">
            <v>Безух Михаил Алексеевич</v>
          </cell>
          <cell r="B17">
            <v>128558.71</v>
          </cell>
          <cell r="C17">
            <v>111845.71</v>
          </cell>
          <cell r="D17">
            <v>26740.579999999998</v>
          </cell>
        </row>
        <row r="18">
          <cell r="A18" t="str">
            <v>Бобров Виктор Александрович</v>
          </cell>
          <cell r="B18">
            <v>317805.86</v>
          </cell>
          <cell r="C18">
            <v>276490.86</v>
          </cell>
          <cell r="D18">
            <v>66103.850000000006</v>
          </cell>
        </row>
        <row r="19">
          <cell r="A19" t="str">
            <v>Богданова Маргарита Ивановна</v>
          </cell>
          <cell r="B19">
            <v>74700</v>
          </cell>
          <cell r="C19">
            <v>64989</v>
          </cell>
          <cell r="D19">
            <v>15537.6</v>
          </cell>
        </row>
        <row r="20">
          <cell r="A20" t="str">
            <v>Бойко Мария Сергеевна</v>
          </cell>
          <cell r="B20">
            <v>94979.25</v>
          </cell>
          <cell r="C20">
            <v>82631.25</v>
          </cell>
          <cell r="D20">
            <v>19756.379999999997</v>
          </cell>
        </row>
        <row r="21">
          <cell r="A21" t="str">
            <v>Боровова Дарья Алексеевна</v>
          </cell>
          <cell r="B21">
            <v>46000</v>
          </cell>
          <cell r="C21">
            <v>40020</v>
          </cell>
          <cell r="D21">
            <v>9568</v>
          </cell>
        </row>
        <row r="22">
          <cell r="A22" t="str">
            <v>Васькина Анастасия Юрьевна</v>
          </cell>
          <cell r="B22">
            <v>45977</v>
          </cell>
          <cell r="C22">
            <v>40000</v>
          </cell>
          <cell r="D22">
            <v>9563.2000000000007</v>
          </cell>
        </row>
        <row r="23">
          <cell r="A23" t="str">
            <v>Волков Александр Александрович</v>
          </cell>
          <cell r="B23">
            <v>8522</v>
          </cell>
          <cell r="C23">
            <v>7414</v>
          </cell>
          <cell r="D23">
            <v>1755.67</v>
          </cell>
        </row>
        <row r="24">
          <cell r="A24" t="str">
            <v>Волков Денис Андреевич</v>
          </cell>
          <cell r="B24">
            <v>98309</v>
          </cell>
          <cell r="C24">
            <v>85529</v>
          </cell>
          <cell r="D24">
            <v>20448.099999999999</v>
          </cell>
        </row>
        <row r="25">
          <cell r="A25" t="str">
            <v>Волынина Светлана Сергеевна</v>
          </cell>
          <cell r="B25">
            <v>6897</v>
          </cell>
          <cell r="C25">
            <v>6000</v>
          </cell>
          <cell r="D25">
            <v>1421.17</v>
          </cell>
        </row>
        <row r="26">
          <cell r="A26" t="str">
            <v>Густокашина Алена Александровна</v>
          </cell>
          <cell r="B26">
            <v>78280.08</v>
          </cell>
          <cell r="C26">
            <v>68104.08</v>
          </cell>
          <cell r="D26">
            <v>16281.85</v>
          </cell>
        </row>
        <row r="27">
          <cell r="A27" t="str">
            <v>Гутина Юлия Игоревна</v>
          </cell>
          <cell r="B27">
            <v>42413.29</v>
          </cell>
          <cell r="C27">
            <v>36900.29</v>
          </cell>
          <cell r="D27">
            <v>8821.24</v>
          </cell>
        </row>
        <row r="28">
          <cell r="A28" t="str">
            <v>Давтян Инга Гагиковна</v>
          </cell>
          <cell r="B28">
            <v>33350</v>
          </cell>
          <cell r="C28">
            <v>29015</v>
          </cell>
          <cell r="D28">
            <v>6869.6</v>
          </cell>
        </row>
        <row r="29">
          <cell r="A29" t="str">
            <v>Дворкина Елена Тимуровна</v>
          </cell>
          <cell r="C29">
            <v>12003</v>
          </cell>
        </row>
        <row r="30">
          <cell r="A30" t="str">
            <v>Дембовская Михаэла</v>
          </cell>
          <cell r="B30">
            <v>125765.95</v>
          </cell>
          <cell r="C30">
            <v>109416.95</v>
          </cell>
          <cell r="D30">
            <v>26158.739999999998</v>
          </cell>
        </row>
        <row r="31">
          <cell r="A31" t="str">
            <v>Еремин Михаил Сергеевич</v>
          </cell>
          <cell r="B31">
            <v>14812</v>
          </cell>
          <cell r="C31">
            <v>12887</v>
          </cell>
          <cell r="D31">
            <v>3050.71</v>
          </cell>
        </row>
        <row r="32">
          <cell r="A32" t="str">
            <v>Ильин Иван Константинович</v>
          </cell>
          <cell r="B32">
            <v>690000</v>
          </cell>
          <cell r="C32">
            <v>561739</v>
          </cell>
          <cell r="D32">
            <v>182081</v>
          </cell>
        </row>
        <row r="33">
          <cell r="A33" t="str">
            <v>Ильин Константин Иванович</v>
          </cell>
          <cell r="B33">
            <v>10075</v>
          </cell>
          <cell r="C33">
            <v>8765</v>
          </cell>
          <cell r="D33">
            <v>2095.85</v>
          </cell>
        </row>
        <row r="34">
          <cell r="A34" t="str">
            <v>Ионкина Вера Сергеевна</v>
          </cell>
          <cell r="B34">
            <v>120747</v>
          </cell>
          <cell r="C34">
            <v>105050</v>
          </cell>
          <cell r="D34">
            <v>25115.260000000002</v>
          </cell>
        </row>
        <row r="35">
          <cell r="A35" t="str">
            <v>Исмаилова Людмила Юрьевна</v>
          </cell>
          <cell r="B35">
            <v>92269</v>
          </cell>
          <cell r="C35">
            <v>80274</v>
          </cell>
          <cell r="D35">
            <v>19191.98</v>
          </cell>
        </row>
        <row r="36">
          <cell r="A36" t="str">
            <v>Кадышев Алексей Александрович</v>
          </cell>
          <cell r="B36">
            <v>146317.01</v>
          </cell>
          <cell r="C36">
            <v>127296.01000000001</v>
          </cell>
          <cell r="D36">
            <v>30433.72</v>
          </cell>
        </row>
        <row r="37">
          <cell r="A37" t="str">
            <v>Кнутов Артём Виталиевич</v>
          </cell>
          <cell r="B37">
            <v>126437</v>
          </cell>
          <cell r="C37">
            <v>110000</v>
          </cell>
          <cell r="D37">
            <v>26299.09</v>
          </cell>
        </row>
        <row r="38">
          <cell r="A38" t="str">
            <v>Князев Дмитрий Игоревич</v>
          </cell>
          <cell r="B38">
            <v>60403.1</v>
          </cell>
          <cell r="C38">
            <v>52436.1</v>
          </cell>
          <cell r="D38">
            <v>12678.449999999999</v>
          </cell>
        </row>
        <row r="39">
          <cell r="A39" t="str">
            <v>Коваленко Ольга Владимировна</v>
          </cell>
          <cell r="B39">
            <v>92315</v>
          </cell>
          <cell r="C39">
            <v>80314</v>
          </cell>
          <cell r="D39">
            <v>19201.57</v>
          </cell>
        </row>
        <row r="40">
          <cell r="A40" t="str">
            <v>Козикова Анастасия Валерьевна</v>
          </cell>
          <cell r="B40">
            <v>109236.11</v>
          </cell>
          <cell r="C40">
            <v>95035.11</v>
          </cell>
          <cell r="D40">
            <v>22721.410000000003</v>
          </cell>
        </row>
        <row r="41">
          <cell r="A41" t="str">
            <v>Колупаева Дарья Георгиевна</v>
          </cell>
          <cell r="B41">
            <v>76966.67</v>
          </cell>
          <cell r="C41">
            <v>66960.67</v>
          </cell>
          <cell r="D41">
            <v>16009.400000000001</v>
          </cell>
        </row>
        <row r="42">
          <cell r="A42" t="str">
            <v>Копаева Юлия Андреевна</v>
          </cell>
          <cell r="B42">
            <v>167963.01</v>
          </cell>
          <cell r="C42">
            <v>146128.01</v>
          </cell>
          <cell r="D42">
            <v>34936.120000000003</v>
          </cell>
        </row>
        <row r="43">
          <cell r="A43" t="str">
            <v>Коробач Евгений Сергеевич</v>
          </cell>
          <cell r="B43">
            <v>94435.87</v>
          </cell>
          <cell r="C43">
            <v>82158.87</v>
          </cell>
          <cell r="D43">
            <v>19643</v>
          </cell>
        </row>
        <row r="44">
          <cell r="A44" t="str">
            <v>Корсунова Дарья Владимировна</v>
          </cell>
          <cell r="C44">
            <v>74470</v>
          </cell>
        </row>
        <row r="45">
          <cell r="A45" t="str">
            <v>Котов Александр Владимирович</v>
          </cell>
          <cell r="B45">
            <v>80815</v>
          </cell>
          <cell r="C45">
            <v>70309</v>
          </cell>
          <cell r="D45">
            <v>16809.57</v>
          </cell>
        </row>
        <row r="46">
          <cell r="A46" t="str">
            <v>Крыгина Наталья Сергеевна</v>
          </cell>
          <cell r="B46">
            <v>123347.76</v>
          </cell>
          <cell r="C46">
            <v>107312.76</v>
          </cell>
          <cell r="D46">
            <v>25656.13</v>
          </cell>
        </row>
        <row r="47">
          <cell r="A47" t="str">
            <v>Кундельская Ольга Владимировна</v>
          </cell>
          <cell r="C47">
            <v>3192</v>
          </cell>
        </row>
        <row r="48">
          <cell r="A48" t="str">
            <v>Куракин Валерий Сергеевич</v>
          </cell>
          <cell r="B48">
            <v>131428.57</v>
          </cell>
          <cell r="C48">
            <v>114342.57</v>
          </cell>
          <cell r="D48">
            <v>27337.43</v>
          </cell>
        </row>
        <row r="49">
          <cell r="A49" t="str">
            <v>Лобанов Артем Николаевич</v>
          </cell>
          <cell r="B49">
            <v>101252.38</v>
          </cell>
          <cell r="C49">
            <v>88089.38</v>
          </cell>
          <cell r="D49">
            <v>21060.68</v>
          </cell>
        </row>
        <row r="50">
          <cell r="A50" t="str">
            <v>Логвинова Уэзерфилд Линас</v>
          </cell>
          <cell r="B50">
            <v>115315</v>
          </cell>
          <cell r="C50">
            <v>100324</v>
          </cell>
          <cell r="D50">
            <v>23985.570000000003</v>
          </cell>
        </row>
        <row r="51">
          <cell r="A51" t="str">
            <v>Майборода Софья Викторовна</v>
          </cell>
          <cell r="B51">
            <v>76114.23</v>
          </cell>
          <cell r="C51">
            <v>66219.23</v>
          </cell>
          <cell r="D51">
            <v>15831.91</v>
          </cell>
        </row>
        <row r="52">
          <cell r="A52" t="str">
            <v>Малыхина Юлия Эдуардовна</v>
          </cell>
          <cell r="B52">
            <v>131728.57</v>
          </cell>
          <cell r="C52">
            <v>114603.57</v>
          </cell>
          <cell r="D52">
            <v>27399.83</v>
          </cell>
        </row>
        <row r="53">
          <cell r="A53" t="str">
            <v>Мартынова Наталья Юрьевна</v>
          </cell>
          <cell r="B53">
            <v>38483.33</v>
          </cell>
          <cell r="C53">
            <v>33480.33</v>
          </cell>
          <cell r="D53">
            <v>8004.7</v>
          </cell>
        </row>
        <row r="54">
          <cell r="A54" t="str">
            <v>Мирошникова Елена Владимировна</v>
          </cell>
          <cell r="B54">
            <v>88783.9</v>
          </cell>
          <cell r="C54">
            <v>77241.899999999994</v>
          </cell>
          <cell r="D54">
            <v>18467.14</v>
          </cell>
        </row>
        <row r="55">
          <cell r="A55" t="str">
            <v>Морозова Анастасия Леонидовна</v>
          </cell>
          <cell r="B55">
            <v>19840</v>
          </cell>
          <cell r="C55">
            <v>17260</v>
          </cell>
          <cell r="D55">
            <v>4087.84</v>
          </cell>
        </row>
        <row r="56">
          <cell r="A56" t="str">
            <v>Мулаева Анастасия Олеговна</v>
          </cell>
          <cell r="B56">
            <v>52000</v>
          </cell>
          <cell r="C56">
            <v>45422</v>
          </cell>
          <cell r="D56">
            <v>10634</v>
          </cell>
        </row>
        <row r="57">
          <cell r="A57" t="str">
            <v>Орлинская Мария Евгеньевна</v>
          </cell>
          <cell r="B57">
            <v>43959.519999999997</v>
          </cell>
          <cell r="C57">
            <v>38244.519999999997</v>
          </cell>
          <cell r="D57">
            <v>9143.84</v>
          </cell>
        </row>
        <row r="58">
          <cell r="A58" t="str">
            <v>Орлова Алла Александровна</v>
          </cell>
          <cell r="B58">
            <v>92269</v>
          </cell>
          <cell r="C58">
            <v>80274</v>
          </cell>
          <cell r="D58">
            <v>19191.98</v>
          </cell>
        </row>
        <row r="59">
          <cell r="A59" t="str">
            <v>Паршакина Ольга Сергеевна</v>
          </cell>
          <cell r="B59">
            <v>66228.899999999994</v>
          </cell>
          <cell r="C59">
            <v>57618.899999999994</v>
          </cell>
          <cell r="D59">
            <v>13775.859999999999</v>
          </cell>
        </row>
        <row r="60">
          <cell r="A60" t="str">
            <v>Петров Владислав Валерьевич</v>
          </cell>
          <cell r="B60">
            <v>23033.57</v>
          </cell>
          <cell r="C60">
            <v>20403.57</v>
          </cell>
          <cell r="D60">
            <v>4426.62</v>
          </cell>
        </row>
        <row r="61">
          <cell r="A61" t="str">
            <v>Попова Ева Андреевна</v>
          </cell>
          <cell r="B61">
            <v>136256.67000000001</v>
          </cell>
          <cell r="C61">
            <v>118542.67000000001</v>
          </cell>
          <cell r="D61">
            <v>28342.02</v>
          </cell>
        </row>
        <row r="62">
          <cell r="A62" t="str">
            <v>Попова Юлия Андреевна</v>
          </cell>
          <cell r="B62">
            <v>74931.199999999997</v>
          </cell>
          <cell r="C62">
            <v>65190.2</v>
          </cell>
          <cell r="D62">
            <v>15585.630000000001</v>
          </cell>
        </row>
        <row r="63">
          <cell r="A63" t="str">
            <v>Потковский Иван Владимирович</v>
          </cell>
          <cell r="B63">
            <v>80815</v>
          </cell>
          <cell r="C63">
            <v>70309</v>
          </cell>
          <cell r="D63">
            <v>16809.57</v>
          </cell>
        </row>
        <row r="64">
          <cell r="A64" t="str">
            <v>Проклашкин Александр Сергеевич</v>
          </cell>
          <cell r="B64">
            <v>92000</v>
          </cell>
          <cell r="C64">
            <v>80222</v>
          </cell>
          <cell r="D64">
            <v>18954</v>
          </cell>
        </row>
        <row r="65">
          <cell r="A65" t="str">
            <v>Пушкина Юлия Игоревна</v>
          </cell>
          <cell r="B65">
            <v>106410.11</v>
          </cell>
          <cell r="C65">
            <v>92577.11</v>
          </cell>
          <cell r="D65">
            <v>22132.989999999998</v>
          </cell>
        </row>
        <row r="66">
          <cell r="A66" t="str">
            <v>Пьянзина Наталья Викторовна</v>
          </cell>
          <cell r="B66">
            <v>90772.7</v>
          </cell>
          <cell r="C66">
            <v>78972.7</v>
          </cell>
          <cell r="D66">
            <v>18880.27</v>
          </cell>
        </row>
        <row r="67">
          <cell r="A67" t="str">
            <v>Радецкая Лика Дмитриевна</v>
          </cell>
          <cell r="B67">
            <v>86943.47</v>
          </cell>
          <cell r="C67">
            <v>75641.47</v>
          </cell>
          <cell r="D67">
            <v>18083.59</v>
          </cell>
        </row>
        <row r="68">
          <cell r="A68" t="str">
            <v>Реутов Алексей Александрович</v>
          </cell>
          <cell r="B68">
            <v>69315</v>
          </cell>
          <cell r="C68">
            <v>60305</v>
          </cell>
          <cell r="D68">
            <v>14416.569999999998</v>
          </cell>
        </row>
        <row r="69">
          <cell r="A69" t="str">
            <v>Рыкова Анастасия Николаевна</v>
          </cell>
          <cell r="B69">
            <v>132817.07</v>
          </cell>
          <cell r="C69">
            <v>115551.07</v>
          </cell>
          <cell r="D69">
            <v>27625.73</v>
          </cell>
        </row>
        <row r="70">
          <cell r="A70" t="str">
            <v>Рязанцев Андрей Николаевич</v>
          </cell>
          <cell r="B70">
            <v>76928.570000000007</v>
          </cell>
          <cell r="C70">
            <v>66927.570000000007</v>
          </cell>
          <cell r="D70">
            <v>16001.44</v>
          </cell>
        </row>
        <row r="71">
          <cell r="A71" t="str">
            <v>Самсаева Кристина Юрьевна</v>
          </cell>
          <cell r="B71">
            <v>183601.56</v>
          </cell>
          <cell r="C71">
            <v>159733.56</v>
          </cell>
          <cell r="D71">
            <v>38188.92</v>
          </cell>
        </row>
        <row r="72">
          <cell r="A72" t="str">
            <v>Самусевич Максим Сергеевич</v>
          </cell>
          <cell r="C72">
            <v>78751</v>
          </cell>
        </row>
        <row r="73">
          <cell r="A73" t="str">
            <v>Свистунов Даниил Иванович</v>
          </cell>
          <cell r="B73">
            <v>149500</v>
          </cell>
          <cell r="C73">
            <v>130065</v>
          </cell>
          <cell r="D73">
            <v>31096</v>
          </cell>
        </row>
        <row r="74">
          <cell r="A74" t="str">
            <v>Сидорова Елена Александровна</v>
          </cell>
          <cell r="B74">
            <v>92315</v>
          </cell>
          <cell r="C74">
            <v>80314</v>
          </cell>
          <cell r="D74">
            <v>19201.57</v>
          </cell>
        </row>
        <row r="75">
          <cell r="A75" t="str">
            <v>Симанович Варвара Сергеевна</v>
          </cell>
          <cell r="B75">
            <v>220179.72</v>
          </cell>
          <cell r="C75">
            <v>191556.72</v>
          </cell>
          <cell r="D75">
            <v>45797.020000000004</v>
          </cell>
        </row>
        <row r="76">
          <cell r="A76" t="str">
            <v>Скрябина Елена Сергеевна</v>
          </cell>
          <cell r="B76">
            <v>109510</v>
          </cell>
          <cell r="C76">
            <v>95273</v>
          </cell>
          <cell r="D76">
            <v>22778.780000000002</v>
          </cell>
        </row>
        <row r="77">
          <cell r="A77" t="str">
            <v>Сламбеков Аргын</v>
          </cell>
          <cell r="C77">
            <v>150000</v>
          </cell>
          <cell r="D77">
            <v>43434</v>
          </cell>
        </row>
        <row r="78">
          <cell r="A78" t="str">
            <v>Смирнова Евгения Андреевна</v>
          </cell>
          <cell r="B78">
            <v>105225</v>
          </cell>
          <cell r="C78">
            <v>91546</v>
          </cell>
          <cell r="D78">
            <v>21676.1</v>
          </cell>
        </row>
        <row r="79">
          <cell r="A79" t="str">
            <v>Смирнова Светлана Николаевна</v>
          </cell>
          <cell r="B79">
            <v>35821.07</v>
          </cell>
          <cell r="C79">
            <v>31164.07</v>
          </cell>
          <cell r="D79">
            <v>7281.6600000000008</v>
          </cell>
        </row>
        <row r="80">
          <cell r="A80" t="str">
            <v>Страхов Никита Евгеньевич</v>
          </cell>
          <cell r="B80">
            <v>99480.99</v>
          </cell>
          <cell r="C80">
            <v>86547.99</v>
          </cell>
          <cell r="D80">
            <v>20651.11</v>
          </cell>
        </row>
        <row r="81">
          <cell r="A81" t="str">
            <v>Суружиу Дмитрий Константинович</v>
          </cell>
          <cell r="B81">
            <v>49314.29</v>
          </cell>
          <cell r="C81">
            <v>42903.29</v>
          </cell>
          <cell r="D81">
            <v>10257.519999999999</v>
          </cell>
        </row>
        <row r="82">
          <cell r="A82" t="str">
            <v>Сычев Сергей Сергеевич</v>
          </cell>
          <cell r="C82">
            <v>104500</v>
          </cell>
        </row>
        <row r="83">
          <cell r="A83" t="str">
            <v>Ткаченко Александр Дмитриевич</v>
          </cell>
          <cell r="B83">
            <v>119300.83</v>
          </cell>
          <cell r="C83">
            <v>103791.83</v>
          </cell>
          <cell r="D83">
            <v>24814.46</v>
          </cell>
        </row>
        <row r="84">
          <cell r="A84" t="str">
            <v>Третьякова Евгения Павловна</v>
          </cell>
          <cell r="B84">
            <v>63250</v>
          </cell>
          <cell r="C84">
            <v>55028</v>
          </cell>
          <cell r="D84">
            <v>13155.5</v>
          </cell>
        </row>
        <row r="85">
          <cell r="A85" t="str">
            <v>Тюленев Юрий Юрьевич</v>
          </cell>
          <cell r="B85">
            <v>40538</v>
          </cell>
          <cell r="C85">
            <v>35268</v>
          </cell>
          <cell r="D85">
            <v>8350.880000000001</v>
          </cell>
        </row>
        <row r="86">
          <cell r="A86" t="str">
            <v>Федькина Анна Алексеевна</v>
          </cell>
          <cell r="B86">
            <v>54911.9</v>
          </cell>
          <cell r="C86">
            <v>47772.9</v>
          </cell>
          <cell r="D86">
            <v>11422.119999999999</v>
          </cell>
        </row>
        <row r="87">
          <cell r="A87" t="str">
            <v>Федярова Карина Сергеевна</v>
          </cell>
          <cell r="B87">
            <v>36142.86</v>
          </cell>
          <cell r="C87">
            <v>31444.86</v>
          </cell>
          <cell r="D87">
            <v>7517.1500000000005</v>
          </cell>
        </row>
        <row r="88">
          <cell r="A88" t="str">
            <v>Филин Александр Александрович</v>
          </cell>
          <cell r="B88">
            <v>69000</v>
          </cell>
          <cell r="C88">
            <v>60030</v>
          </cell>
          <cell r="D88">
            <v>14214</v>
          </cell>
        </row>
        <row r="89">
          <cell r="A89" t="str">
            <v>Филиппова Екатерина Николаевна</v>
          </cell>
          <cell r="B89">
            <v>267642</v>
          </cell>
          <cell r="C89">
            <v>232848</v>
          </cell>
          <cell r="D89">
            <v>55670.07</v>
          </cell>
        </row>
        <row r="90">
          <cell r="A90" t="str">
            <v>Цаплина Олеся Рахимзяновна</v>
          </cell>
          <cell r="B90">
            <v>69315</v>
          </cell>
          <cell r="C90">
            <v>60850</v>
          </cell>
          <cell r="D90">
            <v>13871.569999999998</v>
          </cell>
        </row>
        <row r="91">
          <cell r="A91" t="str">
            <v>Чемоданова Ольга Сергеевна</v>
          </cell>
          <cell r="B91">
            <v>75115</v>
          </cell>
          <cell r="C91">
            <v>65350</v>
          </cell>
          <cell r="D91">
            <v>15623.97</v>
          </cell>
        </row>
        <row r="92">
          <cell r="A92" t="str">
            <v>Чернова Светлана Александровна</v>
          </cell>
          <cell r="B92">
            <v>88506</v>
          </cell>
          <cell r="C92">
            <v>77001</v>
          </cell>
          <cell r="D92">
            <v>18231.45</v>
          </cell>
        </row>
        <row r="93">
          <cell r="A93" t="str">
            <v>Шапочкина Екатерина Игоревна</v>
          </cell>
          <cell r="B93">
            <v>115315</v>
          </cell>
          <cell r="C93">
            <v>100324</v>
          </cell>
          <cell r="D93">
            <v>23985.570000000003</v>
          </cell>
        </row>
        <row r="94">
          <cell r="A94" t="str">
            <v>Швецов Никита Георгиевич</v>
          </cell>
          <cell r="B94">
            <v>115000</v>
          </cell>
          <cell r="C94">
            <v>100050</v>
          </cell>
          <cell r="D94">
            <v>23920</v>
          </cell>
        </row>
        <row r="95">
          <cell r="A95" t="str">
            <v>Щур Анастасия Игоревна</v>
          </cell>
          <cell r="B95">
            <v>14943</v>
          </cell>
          <cell r="C95">
            <v>13001</v>
          </cell>
          <cell r="D95">
            <v>3077.67</v>
          </cell>
        </row>
        <row r="96">
          <cell r="A96" t="str">
            <v>Юн Андрей Мансуевич</v>
          </cell>
          <cell r="B96">
            <v>92275</v>
          </cell>
          <cell r="C96">
            <v>82170</v>
          </cell>
          <cell r="D96">
            <v>17302.45</v>
          </cell>
        </row>
        <row r="97">
          <cell r="A97" t="str">
            <v>Юрченкова Марина Александровна</v>
          </cell>
          <cell r="B97">
            <v>122770.59</v>
          </cell>
          <cell r="C97">
            <v>106810.59</v>
          </cell>
          <cell r="D97">
            <v>25536.1</v>
          </cell>
        </row>
        <row r="98">
          <cell r="A98" t="str">
            <v>Итого</v>
          </cell>
          <cell r="B98">
            <v>8071172.7800000003</v>
          </cell>
          <cell r="C98">
            <v>7409325.7800000003</v>
          </cell>
          <cell r="D98">
            <v>1756304.2799999998</v>
          </cell>
        </row>
        <row r="99">
          <cell r="C99">
            <v>9165630.0600000005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_1"/>
    </sheetNames>
    <sheetDataSet>
      <sheetData sheetId="0">
        <row r="10">
          <cell r="A10" t="str">
            <v>Абрамова Екатерина Владимировна</v>
          </cell>
          <cell r="C10">
            <v>158416.26999999999</v>
          </cell>
          <cell r="D10">
            <v>37758.81</v>
          </cell>
        </row>
        <row r="11">
          <cell r="A11" t="str">
            <v>Аксенова Наталья Валериевна</v>
          </cell>
          <cell r="C11">
            <v>100050</v>
          </cell>
          <cell r="D11">
            <v>23920</v>
          </cell>
        </row>
        <row r="12">
          <cell r="A12" t="str">
            <v>Арнаут Денис Александрович</v>
          </cell>
          <cell r="C12">
            <v>88871.88</v>
          </cell>
          <cell r="D12">
            <v>21246.77</v>
          </cell>
        </row>
        <row r="13">
          <cell r="A13" t="str">
            <v>Балабанова Евгения Юрьевна</v>
          </cell>
          <cell r="C13">
            <v>59352.880000000005</v>
          </cell>
          <cell r="D13">
            <v>14190.300000000001</v>
          </cell>
        </row>
        <row r="14">
          <cell r="A14" t="str">
            <v>Баландина Наталия Владимировна</v>
          </cell>
          <cell r="C14">
            <v>19265.38</v>
          </cell>
          <cell r="D14">
            <v>4606.26</v>
          </cell>
        </row>
        <row r="15">
          <cell r="A15" t="str">
            <v>Безух Михаил Алексеевич</v>
          </cell>
          <cell r="C15">
            <v>120348</v>
          </cell>
          <cell r="D15">
            <v>28771.74</v>
          </cell>
        </row>
        <row r="16">
          <cell r="A16" t="str">
            <v>Богданова Маргарита Ивановна</v>
          </cell>
          <cell r="C16">
            <v>62990.64</v>
          </cell>
          <cell r="D16">
            <v>15060.49</v>
          </cell>
        </row>
        <row r="17">
          <cell r="A17" t="str">
            <v>Бойко Мария Сергеевна</v>
          </cell>
          <cell r="C17">
            <v>76638.27</v>
          </cell>
          <cell r="D17">
            <v>18321.96</v>
          </cell>
        </row>
        <row r="18">
          <cell r="A18" t="str">
            <v>Боровова Дарья Алексеевна</v>
          </cell>
          <cell r="C18">
            <v>39388.26</v>
          </cell>
          <cell r="D18">
            <v>9417.4</v>
          </cell>
        </row>
        <row r="19">
          <cell r="A19" t="str">
            <v>Васькина Анастасия Юрьевна</v>
          </cell>
          <cell r="C19">
            <v>40000</v>
          </cell>
          <cell r="D19">
            <v>9563.2000000000007</v>
          </cell>
        </row>
        <row r="20">
          <cell r="A20" t="str">
            <v>Волков Денис Андреевич</v>
          </cell>
          <cell r="C20">
            <v>84628.31</v>
          </cell>
          <cell r="D20">
            <v>20232.32</v>
          </cell>
        </row>
        <row r="21">
          <cell r="A21" t="str">
            <v>Гуслякова Виктория Сергеевна</v>
          </cell>
          <cell r="C21">
            <v>10966.45</v>
          </cell>
          <cell r="D21">
            <v>2622.2200000000003</v>
          </cell>
        </row>
        <row r="22">
          <cell r="A22" t="str">
            <v>Гутина Юлия Игоревна</v>
          </cell>
          <cell r="C22">
            <v>60484.729999999996</v>
          </cell>
          <cell r="D22">
            <v>14460.77</v>
          </cell>
        </row>
        <row r="23">
          <cell r="A23" t="str">
            <v>Ильин Иван Константинович</v>
          </cell>
          <cell r="C23">
            <v>557311</v>
          </cell>
          <cell r="D23">
            <v>186509</v>
          </cell>
        </row>
        <row r="24">
          <cell r="A24" t="str">
            <v>Ильин Константин Иванович</v>
          </cell>
          <cell r="C24">
            <v>8765</v>
          </cell>
          <cell r="D24">
            <v>2095.85</v>
          </cell>
        </row>
        <row r="25">
          <cell r="A25" t="str">
            <v>Ионкина Вера Сергеевна</v>
          </cell>
          <cell r="C25">
            <v>105050</v>
          </cell>
          <cell r="D25">
            <v>25116.35</v>
          </cell>
        </row>
        <row r="26">
          <cell r="A26" t="str">
            <v>Исмаилова Людмила Юрьевна</v>
          </cell>
          <cell r="C26">
            <v>78994.05</v>
          </cell>
          <cell r="D26">
            <v>18886.25</v>
          </cell>
        </row>
        <row r="27">
          <cell r="A27" t="str">
            <v>Кадышев Алексей Александрович</v>
          </cell>
          <cell r="C27">
            <v>63162.91</v>
          </cell>
          <cell r="D27">
            <v>15100.87</v>
          </cell>
        </row>
        <row r="28">
          <cell r="A28" t="str">
            <v>Кнутов Артём Виталиевич</v>
          </cell>
          <cell r="C28">
            <v>110000</v>
          </cell>
          <cell r="D28">
            <v>26299.079999999998</v>
          </cell>
        </row>
        <row r="29">
          <cell r="A29" t="str">
            <v>Князев Дмитрий Игоревич</v>
          </cell>
          <cell r="C29">
            <v>100271</v>
          </cell>
          <cell r="D29">
            <v>24054.74</v>
          </cell>
        </row>
        <row r="30">
          <cell r="A30" t="str">
            <v>Коваленко Ольга Владимировна</v>
          </cell>
          <cell r="C30">
            <v>80327</v>
          </cell>
          <cell r="D30">
            <v>19204.740000000002</v>
          </cell>
        </row>
        <row r="31">
          <cell r="A31" t="str">
            <v>Козикова Анастасия Валерьевна</v>
          </cell>
          <cell r="C31">
            <v>61818.36</v>
          </cell>
          <cell r="D31">
            <v>14779.32</v>
          </cell>
        </row>
        <row r="32">
          <cell r="A32" t="str">
            <v>Колупаева Дарья Георгиевна</v>
          </cell>
          <cell r="C32">
            <v>70322</v>
          </cell>
          <cell r="D32">
            <v>16812.740000000002</v>
          </cell>
        </row>
        <row r="33">
          <cell r="A33" t="str">
            <v>Копаева Юлия Андреевна</v>
          </cell>
          <cell r="C33">
            <v>82013.86</v>
          </cell>
          <cell r="D33">
            <v>19607.97</v>
          </cell>
        </row>
        <row r="34">
          <cell r="A34" t="str">
            <v>Коробач Евгений Сергеевич</v>
          </cell>
          <cell r="C34">
            <v>58150.320000000007</v>
          </cell>
          <cell r="D34">
            <v>13902.46</v>
          </cell>
        </row>
        <row r="35">
          <cell r="A35" t="str">
            <v>Котов Александр Владимирович</v>
          </cell>
          <cell r="C35">
            <v>70944.12</v>
          </cell>
          <cell r="D35">
            <v>16961.509999999998</v>
          </cell>
        </row>
        <row r="36">
          <cell r="A36" t="str">
            <v>Крыгина Наталья Сергеевна</v>
          </cell>
          <cell r="C36">
            <v>151937</v>
          </cell>
          <cell r="D36">
            <v>36324.92</v>
          </cell>
        </row>
        <row r="37">
          <cell r="A37" t="str">
            <v>Куракин Валерий Сергеевич</v>
          </cell>
          <cell r="C37">
            <v>120060</v>
          </cell>
          <cell r="D37">
            <v>28704</v>
          </cell>
        </row>
        <row r="38">
          <cell r="A38" t="str">
            <v>Лобанов Артем Николаевич</v>
          </cell>
          <cell r="C38">
            <v>93132.15</v>
          </cell>
          <cell r="D38">
            <v>22265.759999999998</v>
          </cell>
        </row>
        <row r="39">
          <cell r="A39" t="str">
            <v>Логвинова Уэзерфилд Линас</v>
          </cell>
          <cell r="C39">
            <v>100337</v>
          </cell>
          <cell r="D39">
            <v>23988.74</v>
          </cell>
        </row>
        <row r="40">
          <cell r="A40" t="str">
            <v>Майборода Софья Викторовна</v>
          </cell>
          <cell r="C40">
            <v>71465.95</v>
          </cell>
          <cell r="D40">
            <v>17086.310000000001</v>
          </cell>
        </row>
        <row r="41">
          <cell r="A41" t="str">
            <v>Малыхина Юлия Эдуардовна</v>
          </cell>
          <cell r="C41">
            <v>150287</v>
          </cell>
          <cell r="D41">
            <v>35931.040000000001</v>
          </cell>
        </row>
        <row r="42">
          <cell r="A42" t="str">
            <v>Мартынова Наталья Юрьевна</v>
          </cell>
          <cell r="C42">
            <v>70322</v>
          </cell>
          <cell r="D42">
            <v>16812.740000000002</v>
          </cell>
        </row>
        <row r="43">
          <cell r="A43" t="str">
            <v>Мирошникова Елена Владимировна</v>
          </cell>
          <cell r="C43">
            <v>76941.929999999993</v>
          </cell>
          <cell r="D43">
            <v>18395.240000000002</v>
          </cell>
        </row>
        <row r="44">
          <cell r="A44" t="str">
            <v>Мулаева Анастасия Олеговна</v>
          </cell>
          <cell r="C44">
            <v>58840.630000000005</v>
          </cell>
          <cell r="D44">
            <v>13842.050000000001</v>
          </cell>
        </row>
        <row r="45">
          <cell r="A45" t="str">
            <v>Орлинская Мария Евгеньевна</v>
          </cell>
          <cell r="C45">
            <v>80327</v>
          </cell>
          <cell r="D45">
            <v>19204.740000000002</v>
          </cell>
        </row>
        <row r="46">
          <cell r="A46" t="str">
            <v>Орлова Алла Александровна</v>
          </cell>
          <cell r="C46">
            <v>79652.509999999995</v>
          </cell>
          <cell r="D46">
            <v>19043.260000000002</v>
          </cell>
        </row>
        <row r="47">
          <cell r="A47" t="str">
            <v>Паршакина Ольга Сергеевна</v>
          </cell>
          <cell r="C47">
            <v>117249.38</v>
          </cell>
          <cell r="D47">
            <v>28032.010000000002</v>
          </cell>
        </row>
        <row r="48">
          <cell r="A48" t="str">
            <v>Петров Владислав Валерьевич</v>
          </cell>
          <cell r="C48">
            <v>140287</v>
          </cell>
          <cell r="D48">
            <v>33540.5</v>
          </cell>
        </row>
        <row r="49">
          <cell r="A49" t="str">
            <v>Пономаренко Елизавета Дмитриевна</v>
          </cell>
          <cell r="C49">
            <v>16424.18</v>
          </cell>
          <cell r="D49">
            <v>3926.5</v>
          </cell>
        </row>
        <row r="50">
          <cell r="A50" t="str">
            <v>Попова Ева Андреевна</v>
          </cell>
          <cell r="C50">
            <v>112799.46</v>
          </cell>
          <cell r="D50">
            <v>26968.05</v>
          </cell>
        </row>
        <row r="51">
          <cell r="A51" t="str">
            <v>Попова Юлия Андреевна</v>
          </cell>
          <cell r="C51">
            <v>74145.259999999995</v>
          </cell>
          <cell r="D51">
            <v>17726.490000000002</v>
          </cell>
        </row>
        <row r="52">
          <cell r="A52" t="str">
            <v>Потковский Иван Владимирович</v>
          </cell>
          <cell r="C52">
            <v>80287</v>
          </cell>
          <cell r="D52">
            <v>19195.150000000001</v>
          </cell>
        </row>
        <row r="53">
          <cell r="A53" t="str">
            <v>Проклашкин Александр Сергеевич</v>
          </cell>
          <cell r="C53">
            <v>90000</v>
          </cell>
          <cell r="D53">
            <v>21516.95</v>
          </cell>
        </row>
        <row r="54">
          <cell r="A54" t="str">
            <v>Пушкина Юлия Игоревна</v>
          </cell>
          <cell r="C54">
            <v>54117.55</v>
          </cell>
          <cell r="D54">
            <v>12938.95</v>
          </cell>
        </row>
        <row r="55">
          <cell r="A55" t="str">
            <v>Радецкая Лика Дмитриевна</v>
          </cell>
          <cell r="C55">
            <v>78653.89</v>
          </cell>
          <cell r="D55">
            <v>18804.740000000002</v>
          </cell>
        </row>
        <row r="56">
          <cell r="A56" t="str">
            <v>Реутов Алексей Александрович</v>
          </cell>
          <cell r="C56">
            <v>71547.56</v>
          </cell>
          <cell r="D56">
            <v>17106.689999999999</v>
          </cell>
        </row>
        <row r="57">
          <cell r="A57" t="str">
            <v>Рязанцев Андрей Николаевич</v>
          </cell>
          <cell r="C57">
            <v>65211.44</v>
          </cell>
          <cell r="D57">
            <v>15590.52</v>
          </cell>
        </row>
        <row r="58">
          <cell r="A58" t="str">
            <v>Самсаева Кристина Юрьевна</v>
          </cell>
          <cell r="C58">
            <v>141287.63</v>
          </cell>
          <cell r="D58">
            <v>33779.170000000006</v>
          </cell>
        </row>
        <row r="59">
          <cell r="A59" t="str">
            <v>Свистунов Даниил Иванович</v>
          </cell>
          <cell r="C59">
            <v>140536.67000000001</v>
          </cell>
          <cell r="D59">
            <v>33599.86</v>
          </cell>
        </row>
        <row r="60">
          <cell r="A60" t="str">
            <v>Сидорова Елена Александровна</v>
          </cell>
          <cell r="C60">
            <v>80327</v>
          </cell>
          <cell r="D60">
            <v>19204.740000000002</v>
          </cell>
        </row>
        <row r="61">
          <cell r="A61" t="str">
            <v>Симанович Варвара Сергеевна</v>
          </cell>
          <cell r="C61">
            <v>76520.55</v>
          </cell>
          <cell r="D61">
            <v>18294.46</v>
          </cell>
        </row>
        <row r="62">
          <cell r="A62" t="str">
            <v>Скрябина Елена Сергеевна</v>
          </cell>
          <cell r="C62">
            <v>95287</v>
          </cell>
          <cell r="D62">
            <v>22780.95</v>
          </cell>
        </row>
        <row r="63">
          <cell r="A63" t="str">
            <v>Смирнова Светлана Николаевна</v>
          </cell>
          <cell r="C63">
            <v>1889.6100000000001</v>
          </cell>
          <cell r="D63">
            <v>282</v>
          </cell>
        </row>
        <row r="64">
          <cell r="A64" t="str">
            <v>Суружиу Дмитрий Константинович</v>
          </cell>
          <cell r="C64">
            <v>95082</v>
          </cell>
          <cell r="D64">
            <v>22731.54</v>
          </cell>
        </row>
        <row r="65">
          <cell r="A65" t="str">
            <v>Ткаченко Александр Дмитриевич</v>
          </cell>
          <cell r="C65">
            <v>95776.73</v>
          </cell>
          <cell r="D65">
            <v>22897.839999999997</v>
          </cell>
        </row>
        <row r="66">
          <cell r="A66" t="str">
            <v>Третьякова Евгения Павловна</v>
          </cell>
          <cell r="C66">
            <v>54425.06</v>
          </cell>
          <cell r="D66">
            <v>13011.45</v>
          </cell>
        </row>
        <row r="67">
          <cell r="A67" t="str">
            <v>Федькина Анна Алексеевна</v>
          </cell>
          <cell r="C67">
            <v>86001.07</v>
          </cell>
          <cell r="D67">
            <v>20560.39</v>
          </cell>
        </row>
        <row r="68">
          <cell r="A68" t="str">
            <v>Федярова Карина Сергеевна</v>
          </cell>
          <cell r="C68">
            <v>93500</v>
          </cell>
          <cell r="D68">
            <v>22353.739999999998</v>
          </cell>
        </row>
        <row r="69">
          <cell r="A69" t="str">
            <v>Филиппова Екатерина Николаевна</v>
          </cell>
          <cell r="C69">
            <v>311906</v>
          </cell>
          <cell r="D69">
            <v>79296.95</v>
          </cell>
        </row>
        <row r="70">
          <cell r="A70" t="str">
            <v>Цаплина Олеся Рахимзяновна</v>
          </cell>
          <cell r="C70">
            <v>57476.08</v>
          </cell>
          <cell r="D70">
            <v>14417.98</v>
          </cell>
        </row>
        <row r="71">
          <cell r="A71" t="str">
            <v>Чемоданова Ольга Сергеевна</v>
          </cell>
          <cell r="C71">
            <v>65363</v>
          </cell>
          <cell r="D71">
            <v>15627.140000000001</v>
          </cell>
        </row>
        <row r="72">
          <cell r="A72" t="str">
            <v>Шапочкина Екатерина Игоревна</v>
          </cell>
          <cell r="C72">
            <v>102598.32</v>
          </cell>
          <cell r="D72">
            <v>24529.489999999998</v>
          </cell>
        </row>
        <row r="73">
          <cell r="A73" t="str">
            <v>Швецов Никита Георгиевич</v>
          </cell>
          <cell r="C73">
            <v>106050</v>
          </cell>
          <cell r="D73">
            <v>25354.959999999999</v>
          </cell>
        </row>
        <row r="74">
          <cell r="A74" t="str">
            <v>Юмакулова Аида Александровна</v>
          </cell>
          <cell r="C74">
            <v>8033.09</v>
          </cell>
          <cell r="D74">
            <v>1921.26</v>
          </cell>
        </row>
        <row r="75">
          <cell r="A75" t="str">
            <v>Юн Андрей Мансуевич</v>
          </cell>
          <cell r="C75">
            <v>81619</v>
          </cell>
          <cell r="D75">
            <v>17869.620000000003</v>
          </cell>
        </row>
        <row r="76">
          <cell r="A76" t="str">
            <v>Юрченкова Марина Александровна</v>
          </cell>
          <cell r="C76">
            <v>161749</v>
          </cell>
          <cell r="D76">
            <v>38670.61</v>
          </cell>
        </row>
        <row r="77">
          <cell r="A77" t="str">
            <v>Итого</v>
          </cell>
          <cell r="C77">
            <v>6177984.3900000006</v>
          </cell>
          <cell r="D77">
            <v>1533632.6199999999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_1"/>
    </sheetNames>
    <sheetDataSet>
      <sheetData sheetId="0" refreshError="1">
        <row r="10">
          <cell r="A10" t="str">
            <v>Абрамова Екатерина Владимировна</v>
          </cell>
          <cell r="C10">
            <v>133310.87</v>
          </cell>
          <cell r="D10">
            <v>31872</v>
          </cell>
        </row>
        <row r="11">
          <cell r="A11" t="str">
            <v>Аксенова Наталья Валериевна</v>
          </cell>
          <cell r="C11">
            <v>100050</v>
          </cell>
          <cell r="D11">
            <v>23920</v>
          </cell>
        </row>
        <row r="12">
          <cell r="A12" t="str">
            <v>Арнаут Денис Александрович</v>
          </cell>
          <cell r="C12">
            <v>42636.61</v>
          </cell>
          <cell r="D12">
            <v>10193.6</v>
          </cell>
        </row>
        <row r="13">
          <cell r="A13" t="str">
            <v>Балабанова Евгения Юрьевна</v>
          </cell>
          <cell r="C13">
            <v>75000</v>
          </cell>
          <cell r="D13">
            <v>17931.14</v>
          </cell>
        </row>
        <row r="14">
          <cell r="A14" t="str">
            <v>Баландина Наталия Владимировна</v>
          </cell>
          <cell r="C14">
            <v>40179</v>
          </cell>
          <cell r="D14">
            <v>9513.91</v>
          </cell>
        </row>
        <row r="15">
          <cell r="A15" t="str">
            <v>Безух Михаил Алексеевич</v>
          </cell>
          <cell r="C15">
            <v>120360</v>
          </cell>
          <cell r="D15">
            <v>28775.91</v>
          </cell>
        </row>
        <row r="16">
          <cell r="A16" t="str">
            <v>Богданова Маргарита Ивановна</v>
          </cell>
          <cell r="C16">
            <v>64989</v>
          </cell>
          <cell r="D16">
            <v>15537.6</v>
          </cell>
        </row>
        <row r="17">
          <cell r="A17" t="str">
            <v>Бойко Мария Сергеевна</v>
          </cell>
          <cell r="C17">
            <v>80300</v>
          </cell>
          <cell r="D17">
            <v>19198.329999999998</v>
          </cell>
        </row>
        <row r="18">
          <cell r="A18" t="str">
            <v>Боровова Дарья Алексеевна</v>
          </cell>
          <cell r="C18">
            <v>40020</v>
          </cell>
          <cell r="D18">
            <v>9568</v>
          </cell>
        </row>
        <row r="19">
          <cell r="A19" t="str">
            <v>Васькина Анастасия Юрьевна</v>
          </cell>
          <cell r="C19">
            <v>45216.87</v>
          </cell>
          <cell r="D19">
            <v>10810.970000000001</v>
          </cell>
        </row>
        <row r="20">
          <cell r="A20" t="str">
            <v>Волков Александр Александрович</v>
          </cell>
          <cell r="C20">
            <v>651</v>
          </cell>
          <cell r="D20">
            <v>153.85</v>
          </cell>
        </row>
        <row r="21">
          <cell r="A21" t="str">
            <v>Волков Денис Андреевич</v>
          </cell>
          <cell r="C21">
            <v>85554</v>
          </cell>
          <cell r="D21">
            <v>20455.45</v>
          </cell>
        </row>
        <row r="22">
          <cell r="A22" t="str">
            <v>Волынина Светлана Сергеевна</v>
          </cell>
          <cell r="C22">
            <v>9003</v>
          </cell>
          <cell r="D22">
            <v>2131.4499999999998</v>
          </cell>
        </row>
        <row r="23">
          <cell r="A23" t="str">
            <v>Гуренкова Инна Михайловна</v>
          </cell>
          <cell r="C23">
            <v>139391.87</v>
          </cell>
          <cell r="D23">
            <v>33326.230000000003</v>
          </cell>
        </row>
        <row r="24">
          <cell r="A24" t="str">
            <v>Гуслякова Виктория Сергеевна</v>
          </cell>
          <cell r="C24">
            <v>60330</v>
          </cell>
          <cell r="D24">
            <v>14423.910000000002</v>
          </cell>
        </row>
        <row r="25">
          <cell r="A25" t="str">
            <v>Гутина Юлия Игоревна</v>
          </cell>
          <cell r="C25">
            <v>23487.95</v>
          </cell>
          <cell r="D25">
            <v>5444.58</v>
          </cell>
        </row>
        <row r="26">
          <cell r="A26" t="str">
            <v>Давтян Инга Гагиковна</v>
          </cell>
          <cell r="C26">
            <v>7003</v>
          </cell>
          <cell r="D26">
            <v>1658.8</v>
          </cell>
        </row>
        <row r="27">
          <cell r="A27" t="str">
            <v>Денисенко Елизавета Павловна</v>
          </cell>
          <cell r="C27">
            <v>100350</v>
          </cell>
          <cell r="D27">
            <v>23991.91</v>
          </cell>
        </row>
        <row r="28">
          <cell r="A28" t="str">
            <v>Еремин Михаил Сергеевич</v>
          </cell>
          <cell r="C28">
            <v>10805</v>
          </cell>
          <cell r="D28">
            <v>2558.92</v>
          </cell>
        </row>
        <row r="29">
          <cell r="A29" t="str">
            <v>Ильин Иван Константинович</v>
          </cell>
          <cell r="C29">
            <v>532790</v>
          </cell>
          <cell r="D29">
            <v>178690</v>
          </cell>
        </row>
        <row r="30">
          <cell r="A30" t="str">
            <v>Ильин Константин Иванович</v>
          </cell>
          <cell r="C30">
            <v>8765</v>
          </cell>
          <cell r="D30">
            <v>2095.85</v>
          </cell>
        </row>
        <row r="31">
          <cell r="A31" t="str">
            <v>Ионкина Вера Сергеевна</v>
          </cell>
          <cell r="C31">
            <v>115050</v>
          </cell>
          <cell r="D31">
            <v>27505.8</v>
          </cell>
        </row>
        <row r="32">
          <cell r="A32" t="str">
            <v>Исмаилова Людмила Юрьевна</v>
          </cell>
          <cell r="C32">
            <v>75430.570000000007</v>
          </cell>
          <cell r="D32">
            <v>17752.099999999999</v>
          </cell>
        </row>
        <row r="33">
          <cell r="A33" t="str">
            <v>Кадышев Алексей Александрович</v>
          </cell>
          <cell r="C33">
            <v>105689.14</v>
          </cell>
          <cell r="D33">
            <v>25268.61</v>
          </cell>
        </row>
        <row r="34">
          <cell r="A34" t="str">
            <v>Кнутов Артём Виталиевич</v>
          </cell>
          <cell r="C34">
            <v>110001</v>
          </cell>
          <cell r="D34">
            <v>26298.079999999998</v>
          </cell>
        </row>
        <row r="35">
          <cell r="A35" t="str">
            <v>Князев Дмитрий Игоревич</v>
          </cell>
          <cell r="C35">
            <v>100350</v>
          </cell>
          <cell r="D35">
            <v>23991.91</v>
          </cell>
        </row>
        <row r="36">
          <cell r="A36" t="str">
            <v>Коваленко Ольга Владимировна</v>
          </cell>
          <cell r="C36">
            <v>80340</v>
          </cell>
          <cell r="D36">
            <v>19207.91</v>
          </cell>
        </row>
        <row r="37">
          <cell r="A37" t="str">
            <v>Козикова Анастасия Валерьевна</v>
          </cell>
          <cell r="C37">
            <v>80000</v>
          </cell>
          <cell r="D37">
            <v>19126.420000000002</v>
          </cell>
        </row>
        <row r="38">
          <cell r="A38" t="str">
            <v>Колупаева Дарья Георгиевна</v>
          </cell>
          <cell r="C38">
            <v>70336</v>
          </cell>
          <cell r="D38">
            <v>16814.91</v>
          </cell>
        </row>
        <row r="39">
          <cell r="A39" t="str">
            <v>Копаева Юлия Андреевна</v>
          </cell>
          <cell r="C39">
            <v>121040.82</v>
          </cell>
          <cell r="D39">
            <v>28937.89</v>
          </cell>
        </row>
        <row r="40">
          <cell r="A40" t="str">
            <v>Коробач Евгений Сергеевич</v>
          </cell>
          <cell r="C40">
            <v>85300</v>
          </cell>
          <cell r="D40">
            <v>20393.59</v>
          </cell>
        </row>
        <row r="41">
          <cell r="A41" t="str">
            <v>Котов Александр Владимирович</v>
          </cell>
          <cell r="C41">
            <v>86679.23</v>
          </cell>
          <cell r="D41">
            <v>20723.239999999998</v>
          </cell>
        </row>
        <row r="42">
          <cell r="A42" t="str">
            <v>Крыгина Наталья Сергеевна</v>
          </cell>
          <cell r="C42">
            <v>151931</v>
          </cell>
          <cell r="D42">
            <v>36323.379999999997</v>
          </cell>
        </row>
        <row r="43">
          <cell r="A43" t="str">
            <v>Куракин Валерий Сергеевич</v>
          </cell>
          <cell r="C43">
            <v>120060</v>
          </cell>
          <cell r="D43">
            <v>28704</v>
          </cell>
        </row>
        <row r="44">
          <cell r="A44" t="str">
            <v>Лобанов Артем Николаевич</v>
          </cell>
          <cell r="C44">
            <v>103300</v>
          </cell>
          <cell r="D44">
            <v>24697.410000000003</v>
          </cell>
        </row>
        <row r="45">
          <cell r="A45" t="str">
            <v>Логвинова Уэзерфилд Линас</v>
          </cell>
          <cell r="C45">
            <v>92934.52</v>
          </cell>
          <cell r="D45">
            <v>22219.07</v>
          </cell>
        </row>
        <row r="46">
          <cell r="A46" t="str">
            <v>Майборода Софья Викторовна</v>
          </cell>
          <cell r="C46">
            <v>56444.28</v>
          </cell>
          <cell r="D46">
            <v>13494.51</v>
          </cell>
        </row>
        <row r="47">
          <cell r="A47" t="str">
            <v>Малыхина Юлия Эдуардовна</v>
          </cell>
          <cell r="C47">
            <v>150301</v>
          </cell>
          <cell r="D47">
            <v>35933.199999999997</v>
          </cell>
        </row>
        <row r="48">
          <cell r="A48" t="str">
            <v>Мартынова Наталья Юрьевна</v>
          </cell>
          <cell r="C48">
            <v>70335</v>
          </cell>
          <cell r="D48">
            <v>16815.91</v>
          </cell>
        </row>
        <row r="49">
          <cell r="A49" t="str">
            <v>Мирошникова Елена Владимировна</v>
          </cell>
          <cell r="C49">
            <v>80340</v>
          </cell>
          <cell r="D49">
            <v>19207.91</v>
          </cell>
        </row>
        <row r="50">
          <cell r="A50" t="str">
            <v>Морозова Анастасия Леонидовна</v>
          </cell>
          <cell r="C50">
            <v>34868</v>
          </cell>
          <cell r="D50">
            <v>8255.92</v>
          </cell>
        </row>
        <row r="51">
          <cell r="A51" t="str">
            <v>Мулаева Анастасия Олеговна</v>
          </cell>
          <cell r="C51">
            <v>65182</v>
          </cell>
          <cell r="D51">
            <v>15358.61</v>
          </cell>
        </row>
        <row r="52">
          <cell r="A52" t="str">
            <v>Орёл Оксана Анатольевна</v>
          </cell>
          <cell r="C52">
            <v>17465</v>
          </cell>
          <cell r="D52">
            <v>4175.8499999999995</v>
          </cell>
        </row>
        <row r="53">
          <cell r="A53" t="str">
            <v>Орлинская Мария Евгеньевна</v>
          </cell>
          <cell r="C53">
            <v>58537.210000000006</v>
          </cell>
          <cell r="D53">
            <v>13994.099999999999</v>
          </cell>
        </row>
        <row r="54">
          <cell r="A54" t="str">
            <v>Орлова Алла Александровна</v>
          </cell>
          <cell r="C54">
            <v>80300</v>
          </cell>
          <cell r="D54">
            <v>19198.32</v>
          </cell>
        </row>
        <row r="55">
          <cell r="A55" t="str">
            <v>Паршакина Ольга Сергеевна</v>
          </cell>
          <cell r="C55">
            <v>120000</v>
          </cell>
          <cell r="D55">
            <v>28689.620000000003</v>
          </cell>
        </row>
        <row r="56">
          <cell r="A56" t="str">
            <v>Петров Владислав Валерьевич</v>
          </cell>
          <cell r="C56">
            <v>128100.95999999999</v>
          </cell>
          <cell r="D56">
            <v>30625.87</v>
          </cell>
        </row>
        <row r="57">
          <cell r="A57" t="str">
            <v>Полукеева Алина Владимировна</v>
          </cell>
          <cell r="C57">
            <v>357272</v>
          </cell>
          <cell r="D57">
            <v>84596.01</v>
          </cell>
        </row>
        <row r="58">
          <cell r="A58" t="str">
            <v>Пономаренко Елизавета Дмитриевна</v>
          </cell>
          <cell r="C58">
            <v>90345</v>
          </cell>
          <cell r="D58">
            <v>21599.91</v>
          </cell>
        </row>
        <row r="59">
          <cell r="A59" t="str">
            <v>Попова Ева Андреевна</v>
          </cell>
          <cell r="C59">
            <v>120360</v>
          </cell>
          <cell r="D59">
            <v>28775.91</v>
          </cell>
        </row>
        <row r="60">
          <cell r="A60" t="str">
            <v>Попова Юлия Андреевна</v>
          </cell>
          <cell r="C60">
            <v>75300</v>
          </cell>
          <cell r="D60">
            <v>18003.059999999998</v>
          </cell>
        </row>
        <row r="61">
          <cell r="A61" t="str">
            <v>Потковский Иван Владимирович</v>
          </cell>
          <cell r="C61">
            <v>90300</v>
          </cell>
          <cell r="D61">
            <v>21588.86</v>
          </cell>
        </row>
        <row r="62">
          <cell r="A62" t="str">
            <v>Проклашкин Александр Сергеевич</v>
          </cell>
          <cell r="C62">
            <v>90000</v>
          </cell>
          <cell r="D62">
            <v>21516.95</v>
          </cell>
        </row>
        <row r="63">
          <cell r="A63" t="str">
            <v>Пушкина Юлия Игоревна</v>
          </cell>
          <cell r="C63">
            <v>76522</v>
          </cell>
          <cell r="D63">
            <v>18294.57</v>
          </cell>
        </row>
        <row r="64">
          <cell r="A64" t="str">
            <v>Радецкая Лика Дмитриевна</v>
          </cell>
          <cell r="C64">
            <v>61531.14</v>
          </cell>
          <cell r="D64">
            <v>14319.92</v>
          </cell>
        </row>
        <row r="65">
          <cell r="A65" t="str">
            <v>Рязанцев Андрей Николаевич</v>
          </cell>
          <cell r="C65">
            <v>70300</v>
          </cell>
          <cell r="D65">
            <v>16807.79</v>
          </cell>
        </row>
        <row r="66">
          <cell r="A66" t="str">
            <v>Самсаева Кристина Юрьевна</v>
          </cell>
          <cell r="C66">
            <v>150075</v>
          </cell>
          <cell r="D66">
            <v>35880</v>
          </cell>
        </row>
        <row r="67">
          <cell r="A67" t="str">
            <v>Свистунов Даниил Иванович</v>
          </cell>
          <cell r="C67">
            <v>130065</v>
          </cell>
          <cell r="D67">
            <v>31096</v>
          </cell>
        </row>
        <row r="68">
          <cell r="A68" t="str">
            <v>Сидорова Елена Александровна</v>
          </cell>
          <cell r="C68">
            <v>80340</v>
          </cell>
          <cell r="D68">
            <v>19207.91</v>
          </cell>
        </row>
        <row r="69">
          <cell r="A69" t="str">
            <v>Симанович Варвара Сергеевна</v>
          </cell>
          <cell r="C69">
            <v>144654.19</v>
          </cell>
          <cell r="D69">
            <v>34583.99</v>
          </cell>
        </row>
        <row r="70">
          <cell r="A70" t="str">
            <v>Скрябина Елена Сергеевна</v>
          </cell>
          <cell r="C70">
            <v>89943.360000000001</v>
          </cell>
          <cell r="D70">
            <v>21503.91</v>
          </cell>
        </row>
        <row r="71">
          <cell r="A71" t="str">
            <v>Страхов Никита Евгеньевич</v>
          </cell>
          <cell r="C71">
            <v>41271</v>
          </cell>
          <cell r="D71">
            <v>9772.2900000000009</v>
          </cell>
        </row>
        <row r="72">
          <cell r="A72" t="str">
            <v>Суружиу Дмитрий Константинович</v>
          </cell>
          <cell r="C72">
            <v>95080</v>
          </cell>
          <cell r="D72">
            <v>22732.47</v>
          </cell>
        </row>
        <row r="73">
          <cell r="A73" t="str">
            <v>Ткаченко Александр Дмитриевич</v>
          </cell>
          <cell r="C73">
            <v>100350</v>
          </cell>
          <cell r="D73">
            <v>23991.91</v>
          </cell>
        </row>
        <row r="74">
          <cell r="A74" t="str">
            <v>Третьякова Евгения Павловна</v>
          </cell>
          <cell r="C74">
            <v>57538.34</v>
          </cell>
          <cell r="D74">
            <v>13756.630000000001</v>
          </cell>
        </row>
        <row r="75">
          <cell r="A75" t="str">
            <v>Трусов Максим Валентинович</v>
          </cell>
          <cell r="C75">
            <v>45240</v>
          </cell>
          <cell r="D75">
            <v>10712</v>
          </cell>
        </row>
        <row r="76">
          <cell r="A76" t="str">
            <v>Тюленев Юрий Юрьевич</v>
          </cell>
          <cell r="C76">
            <v>32267</v>
          </cell>
          <cell r="D76">
            <v>7639.6900000000005</v>
          </cell>
        </row>
        <row r="77">
          <cell r="A77" t="str">
            <v>Устинова Марина Александровна</v>
          </cell>
          <cell r="C77">
            <v>123657.76000000001</v>
          </cell>
          <cell r="D77">
            <v>29564.59</v>
          </cell>
        </row>
        <row r="78">
          <cell r="A78" t="str">
            <v>Федярова Карина Сергеевна</v>
          </cell>
          <cell r="C78">
            <v>93499</v>
          </cell>
          <cell r="D78">
            <v>22354.73</v>
          </cell>
        </row>
        <row r="79">
          <cell r="A79" t="str">
            <v>Филиппова Екатерина Николаевна</v>
          </cell>
          <cell r="C79">
            <v>311037.26</v>
          </cell>
          <cell r="D79">
            <v>83431.25</v>
          </cell>
        </row>
        <row r="80">
          <cell r="A80" t="str">
            <v>Цаплина Олеся Рахимзяновна</v>
          </cell>
          <cell r="C80">
            <v>60330</v>
          </cell>
          <cell r="D80">
            <v>14423.910000000002</v>
          </cell>
        </row>
        <row r="81">
          <cell r="A81" t="str">
            <v>Чемоданова Ольга Сергеевна</v>
          </cell>
          <cell r="C81">
            <v>65376</v>
          </cell>
          <cell r="D81">
            <v>15630.310000000001</v>
          </cell>
        </row>
        <row r="82">
          <cell r="A82" t="str">
            <v>Чепков Артём Андреевич</v>
          </cell>
          <cell r="C82">
            <v>34930</v>
          </cell>
          <cell r="D82">
            <v>8351.6999999999989</v>
          </cell>
        </row>
        <row r="83">
          <cell r="A83" t="str">
            <v>Чернова Светлана Александровна</v>
          </cell>
          <cell r="C83">
            <v>153326</v>
          </cell>
          <cell r="D83">
            <v>36305.01</v>
          </cell>
        </row>
        <row r="84">
          <cell r="A84" t="str">
            <v>Шапочкина Екатерина Игоревна</v>
          </cell>
          <cell r="C84">
            <v>110301</v>
          </cell>
          <cell r="D84">
            <v>26369.99</v>
          </cell>
        </row>
        <row r="85">
          <cell r="A85" t="str">
            <v>Швецов Никита Георгиевич</v>
          </cell>
          <cell r="C85">
            <v>113150</v>
          </cell>
          <cell r="D85">
            <v>27051.440000000002</v>
          </cell>
        </row>
        <row r="86">
          <cell r="A86" t="str">
            <v>Щур Анастасия Игоревна</v>
          </cell>
          <cell r="C86">
            <v>37301</v>
          </cell>
          <cell r="D86">
            <v>8832.5</v>
          </cell>
        </row>
        <row r="87">
          <cell r="A87" t="str">
            <v>Юмакулова Аида Александровна</v>
          </cell>
          <cell r="C87">
            <v>1889.6100000000001</v>
          </cell>
          <cell r="D87">
            <v>282</v>
          </cell>
        </row>
        <row r="88">
          <cell r="A88" t="str">
            <v>Юн Андрей Мансуевич</v>
          </cell>
          <cell r="C88">
            <v>72118.92</v>
          </cell>
          <cell r="D88">
            <v>17242.88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_1"/>
    </sheetNames>
    <sheetDataSet>
      <sheetData sheetId="0">
        <row r="10">
          <cell r="A10" t="str">
            <v>Абрамова Екатерина Владимировна</v>
          </cell>
          <cell r="C10">
            <v>195735</v>
          </cell>
          <cell r="E10">
            <v>170289</v>
          </cell>
          <cell r="F10">
            <v>40713.33</v>
          </cell>
        </row>
        <row r="11">
          <cell r="A11" t="str">
            <v>Аксенова Наталья Валериевна</v>
          </cell>
          <cell r="C11">
            <v>115000</v>
          </cell>
          <cell r="E11">
            <v>100050</v>
          </cell>
          <cell r="F11">
            <v>23920</v>
          </cell>
        </row>
        <row r="12">
          <cell r="A12" t="str">
            <v>Алесенко Екатерина Руслановна</v>
          </cell>
          <cell r="C12">
            <v>72781.58</v>
          </cell>
          <cell r="E12">
            <v>63319.58</v>
          </cell>
          <cell r="F12">
            <v>15138.96</v>
          </cell>
        </row>
        <row r="13">
          <cell r="A13" t="str">
            <v>Арнаут Денис Александрович</v>
          </cell>
          <cell r="C13">
            <v>75085</v>
          </cell>
          <cell r="E13">
            <v>65324</v>
          </cell>
          <cell r="F13">
            <v>15617.63</v>
          </cell>
        </row>
        <row r="14">
          <cell r="A14" t="str">
            <v>Балабанова Евгения Юрьевна</v>
          </cell>
          <cell r="C14">
            <v>86207</v>
          </cell>
          <cell r="E14">
            <v>75000</v>
          </cell>
          <cell r="F14">
            <v>17931.14</v>
          </cell>
        </row>
        <row r="15">
          <cell r="A15" t="str">
            <v>Баландина Наталия Владимировна</v>
          </cell>
          <cell r="C15">
            <v>22088</v>
          </cell>
          <cell r="E15">
            <v>19217</v>
          </cell>
          <cell r="F15">
            <v>4549.6900000000005</v>
          </cell>
        </row>
        <row r="16">
          <cell r="A16" t="str">
            <v>Безух Михаил Алексеевич</v>
          </cell>
          <cell r="C16">
            <v>138285</v>
          </cell>
          <cell r="E16">
            <v>120308</v>
          </cell>
          <cell r="F16">
            <v>28763.23</v>
          </cell>
        </row>
        <row r="17">
          <cell r="A17" t="str">
            <v>Богданова Маргарита Ивановна</v>
          </cell>
          <cell r="C17">
            <v>76998</v>
          </cell>
          <cell r="E17">
            <v>66989</v>
          </cell>
          <cell r="F17">
            <v>16014.84</v>
          </cell>
        </row>
        <row r="18">
          <cell r="A18" t="str">
            <v>Бойко Мария Сергеевна</v>
          </cell>
          <cell r="C18">
            <v>90208.1</v>
          </cell>
          <cell r="E18">
            <v>78481.100000000006</v>
          </cell>
          <cell r="F18">
            <v>18763.23</v>
          </cell>
        </row>
        <row r="19">
          <cell r="A19" t="str">
            <v>Боровова Дарья Алексеевна</v>
          </cell>
          <cell r="C19">
            <v>49784.67</v>
          </cell>
          <cell r="E19">
            <v>43312.67</v>
          </cell>
          <cell r="F19">
            <v>10355.200000000001</v>
          </cell>
        </row>
        <row r="20">
          <cell r="A20" t="str">
            <v>Васькина Анастасия Юрьевна</v>
          </cell>
          <cell r="C20">
            <v>59770</v>
          </cell>
          <cell r="E20">
            <v>52000</v>
          </cell>
          <cell r="F20">
            <v>12432.060000000001</v>
          </cell>
        </row>
        <row r="21">
          <cell r="A21" t="str">
            <v>Волков Денис Андреевич</v>
          </cell>
          <cell r="C21">
            <v>98279</v>
          </cell>
          <cell r="E21">
            <v>85503</v>
          </cell>
          <cell r="F21">
            <v>20441.760000000002</v>
          </cell>
        </row>
        <row r="22">
          <cell r="A22" t="str">
            <v>Волынина Светлана Сергеевна</v>
          </cell>
          <cell r="C22">
            <v>4828</v>
          </cell>
          <cell r="E22">
            <v>4201</v>
          </cell>
          <cell r="F22">
            <v>993.93000000000006</v>
          </cell>
        </row>
        <row r="23">
          <cell r="A23" t="str">
            <v>Горина Ирина Николаевна</v>
          </cell>
          <cell r="C23">
            <v>24198.42</v>
          </cell>
          <cell r="E23">
            <v>23236.42</v>
          </cell>
          <cell r="F23">
            <v>2849.48</v>
          </cell>
        </row>
        <row r="24">
          <cell r="A24" t="str">
            <v>Гуренкова Инна Михайловна</v>
          </cell>
          <cell r="C24">
            <v>207182</v>
          </cell>
          <cell r="E24">
            <v>180249</v>
          </cell>
          <cell r="F24">
            <v>43093.19</v>
          </cell>
        </row>
        <row r="25">
          <cell r="A25" t="str">
            <v>Гуслякова Виктория Сергеевна</v>
          </cell>
          <cell r="C25">
            <v>69285</v>
          </cell>
          <cell r="E25">
            <v>60278</v>
          </cell>
          <cell r="F25">
            <v>14411.23</v>
          </cell>
        </row>
        <row r="26">
          <cell r="A26" t="str">
            <v>Денисенко Елизавета Павловна</v>
          </cell>
          <cell r="C26">
            <v>115285</v>
          </cell>
          <cell r="E26">
            <v>100298</v>
          </cell>
          <cell r="F26">
            <v>23979.23</v>
          </cell>
        </row>
        <row r="27">
          <cell r="A27" t="str">
            <v>Ильин Иван Константинович</v>
          </cell>
          <cell r="C27">
            <v>690000</v>
          </cell>
          <cell r="E27">
            <v>558010</v>
          </cell>
          <cell r="F27">
            <v>185810</v>
          </cell>
        </row>
        <row r="28">
          <cell r="A28" t="str">
            <v>Ильин Константин Иванович</v>
          </cell>
          <cell r="C28">
            <v>10075</v>
          </cell>
          <cell r="E28">
            <v>8766</v>
          </cell>
          <cell r="F28">
            <v>2094.85</v>
          </cell>
        </row>
        <row r="29">
          <cell r="A29" t="str">
            <v>Ионкина Вера Сергеевна</v>
          </cell>
          <cell r="C29">
            <v>115000</v>
          </cell>
          <cell r="E29">
            <v>100050</v>
          </cell>
          <cell r="F29">
            <v>23920</v>
          </cell>
        </row>
        <row r="30">
          <cell r="A30" t="str">
            <v>Исмаилова Людмила Юрьевна</v>
          </cell>
          <cell r="C30">
            <v>85347.74</v>
          </cell>
          <cell r="E30">
            <v>74252.740000000005</v>
          </cell>
          <cell r="F30">
            <v>17752.13</v>
          </cell>
        </row>
        <row r="31">
          <cell r="A31" t="str">
            <v>Кадышев Алексей Александрович</v>
          </cell>
          <cell r="C31">
            <v>100471</v>
          </cell>
          <cell r="E31">
            <v>87410</v>
          </cell>
          <cell r="F31">
            <v>20897.739999999998</v>
          </cell>
        </row>
        <row r="32">
          <cell r="A32" t="str">
            <v>Кнутов Артём Виталиевич</v>
          </cell>
          <cell r="C32">
            <v>126437</v>
          </cell>
          <cell r="E32">
            <v>110000</v>
          </cell>
          <cell r="F32">
            <v>26299.079999999998</v>
          </cell>
        </row>
        <row r="33">
          <cell r="A33" t="str">
            <v>Князев Дмитрий Игоревич</v>
          </cell>
          <cell r="C33">
            <v>128331.5</v>
          </cell>
          <cell r="E33">
            <v>111648.5</v>
          </cell>
          <cell r="F33">
            <v>26692.850000000002</v>
          </cell>
        </row>
        <row r="34">
          <cell r="A34" t="str">
            <v>Коваленко Ольга Владимировна</v>
          </cell>
          <cell r="C34">
            <v>92285</v>
          </cell>
          <cell r="E34">
            <v>80288</v>
          </cell>
          <cell r="F34">
            <v>19195.23</v>
          </cell>
        </row>
        <row r="35">
          <cell r="A35" t="str">
            <v>Козикова Анастасия Валерьевна</v>
          </cell>
          <cell r="C35">
            <v>103488</v>
          </cell>
          <cell r="E35">
            <v>90034</v>
          </cell>
          <cell r="F35">
            <v>21526.06</v>
          </cell>
        </row>
        <row r="36">
          <cell r="A36" t="str">
            <v>Колупаева Дарья Георгиевна</v>
          </cell>
          <cell r="C36">
            <v>92239</v>
          </cell>
          <cell r="E36">
            <v>80248</v>
          </cell>
          <cell r="F36">
            <v>19185.64</v>
          </cell>
        </row>
        <row r="37">
          <cell r="A37" t="str">
            <v>Копаева Юлия Андреевна</v>
          </cell>
          <cell r="C37">
            <v>130941.47</v>
          </cell>
          <cell r="E37">
            <v>113918.47</v>
          </cell>
          <cell r="F37">
            <v>27236.43</v>
          </cell>
        </row>
        <row r="38">
          <cell r="A38" t="str">
            <v>Коробач Евгений Сергеевич</v>
          </cell>
          <cell r="C38">
            <v>109480</v>
          </cell>
          <cell r="E38">
            <v>95248</v>
          </cell>
          <cell r="F38">
            <v>22771.439999999999</v>
          </cell>
        </row>
        <row r="39">
          <cell r="A39" t="str">
            <v>Котов Александр Владимирович</v>
          </cell>
          <cell r="C39">
            <v>58256.21</v>
          </cell>
          <cell r="E39">
            <v>50683.21</v>
          </cell>
          <cell r="F39">
            <v>12116.980000000001</v>
          </cell>
        </row>
        <row r="40">
          <cell r="A40" t="str">
            <v>Крыгина Наталья Сергеевна</v>
          </cell>
          <cell r="C40">
            <v>169581</v>
          </cell>
          <cell r="E40">
            <v>147535</v>
          </cell>
          <cell r="F40">
            <v>35273.310000000005</v>
          </cell>
        </row>
        <row r="41">
          <cell r="A41" t="str">
            <v>Куракин Валерий Сергеевич</v>
          </cell>
          <cell r="C41">
            <v>138000</v>
          </cell>
          <cell r="E41">
            <v>120060</v>
          </cell>
          <cell r="F41">
            <v>28704</v>
          </cell>
        </row>
        <row r="42">
          <cell r="A42" t="str">
            <v>Лобанов Артем Николаевич</v>
          </cell>
          <cell r="C42">
            <v>118676</v>
          </cell>
          <cell r="E42">
            <v>103248</v>
          </cell>
          <cell r="F42">
            <v>24684.720000000001</v>
          </cell>
        </row>
        <row r="43">
          <cell r="A43" t="str">
            <v>Логвинова Уэзерфилд Линас</v>
          </cell>
          <cell r="C43">
            <v>159445.51</v>
          </cell>
          <cell r="E43">
            <v>138717.51</v>
          </cell>
          <cell r="F43">
            <v>33164.75</v>
          </cell>
        </row>
        <row r="44">
          <cell r="A44" t="str">
            <v>Малыхина Юлия Эдуардовна</v>
          </cell>
          <cell r="C44">
            <v>165359.9</v>
          </cell>
          <cell r="E44">
            <v>143862.9</v>
          </cell>
          <cell r="F44">
            <v>34395.07</v>
          </cell>
        </row>
        <row r="45">
          <cell r="A45" t="str">
            <v>Мартынова Наталья Юрьевна</v>
          </cell>
          <cell r="C45">
            <v>86210.58</v>
          </cell>
          <cell r="E45">
            <v>75003.58</v>
          </cell>
          <cell r="F45">
            <v>17931.43</v>
          </cell>
        </row>
        <row r="46">
          <cell r="A46" t="str">
            <v>Мирошникова Елена Владимировна</v>
          </cell>
          <cell r="C46">
            <v>92285</v>
          </cell>
          <cell r="E46">
            <v>80288</v>
          </cell>
          <cell r="F46">
            <v>19195.23</v>
          </cell>
        </row>
        <row r="47">
          <cell r="A47" t="str">
            <v>Морозова Анастасия Леонидовна</v>
          </cell>
          <cell r="C47">
            <v>31850</v>
          </cell>
          <cell r="E47">
            <v>27710</v>
          </cell>
          <cell r="F47">
            <v>6560.6</v>
          </cell>
        </row>
        <row r="48">
          <cell r="A48" t="str">
            <v>Мулаева Анастасия Олеговна</v>
          </cell>
          <cell r="C48">
            <v>65237.07</v>
          </cell>
          <cell r="E48">
            <v>56756.07</v>
          </cell>
          <cell r="F48">
            <v>13569.5</v>
          </cell>
        </row>
        <row r="49">
          <cell r="A49" t="str">
            <v>Орёл Оксана Анатольевна</v>
          </cell>
          <cell r="C49">
            <v>98032</v>
          </cell>
          <cell r="E49">
            <v>85288</v>
          </cell>
          <cell r="F49">
            <v>20390.490000000002</v>
          </cell>
        </row>
        <row r="50">
          <cell r="A50" t="str">
            <v>Орлова Алла Александровна</v>
          </cell>
          <cell r="C50">
            <v>104318</v>
          </cell>
          <cell r="E50">
            <v>90756</v>
          </cell>
          <cell r="F50">
            <v>21698.809999999998</v>
          </cell>
        </row>
        <row r="51">
          <cell r="A51" t="str">
            <v>Паршакина Ольга Сергеевна</v>
          </cell>
          <cell r="C51">
            <v>137931</v>
          </cell>
          <cell r="E51">
            <v>120000</v>
          </cell>
          <cell r="F51">
            <v>28689.61</v>
          </cell>
        </row>
        <row r="52">
          <cell r="A52" t="str">
            <v>Петров Владислав Валерьевич</v>
          </cell>
          <cell r="C52">
            <v>161205</v>
          </cell>
          <cell r="E52">
            <v>140248</v>
          </cell>
          <cell r="F52">
            <v>33530.990000000005</v>
          </cell>
        </row>
        <row r="53">
          <cell r="A53" t="str">
            <v>Пономаренко Елизавета Дмитриевна</v>
          </cell>
          <cell r="C53">
            <v>103785</v>
          </cell>
          <cell r="E53">
            <v>90293</v>
          </cell>
          <cell r="F53">
            <v>21587.23</v>
          </cell>
        </row>
        <row r="54">
          <cell r="A54" t="str">
            <v>Попова Ева Андреевна</v>
          </cell>
          <cell r="C54">
            <v>138285</v>
          </cell>
          <cell r="E54">
            <v>120308</v>
          </cell>
          <cell r="F54">
            <v>28763.23</v>
          </cell>
        </row>
        <row r="55">
          <cell r="A55" t="str">
            <v>Попова Юлия Андреевна</v>
          </cell>
          <cell r="C55">
            <v>86492</v>
          </cell>
          <cell r="E55">
            <v>75248</v>
          </cell>
          <cell r="F55">
            <v>17990.37</v>
          </cell>
        </row>
        <row r="56">
          <cell r="A56" t="str">
            <v>Потковский Иван Владимирович</v>
          </cell>
          <cell r="C56">
            <v>103733</v>
          </cell>
          <cell r="E56">
            <v>90248</v>
          </cell>
          <cell r="F56">
            <v>21576.18</v>
          </cell>
        </row>
        <row r="57">
          <cell r="A57" t="str">
            <v>Проклашкин Александр Сергеевич</v>
          </cell>
          <cell r="C57">
            <v>114943</v>
          </cell>
          <cell r="E57">
            <v>100000</v>
          </cell>
          <cell r="F57">
            <v>23908.559999999998</v>
          </cell>
        </row>
        <row r="58">
          <cell r="A58" t="str">
            <v>Пушкина Юлия Игоревна</v>
          </cell>
          <cell r="C58">
            <v>89510.06</v>
          </cell>
          <cell r="E58">
            <v>77873.06</v>
          </cell>
          <cell r="F58">
            <v>18054.419999999998</v>
          </cell>
        </row>
        <row r="59">
          <cell r="A59" t="str">
            <v>Радецкая Лика Дмитриевна</v>
          </cell>
          <cell r="C59">
            <v>80935.759999999995</v>
          </cell>
          <cell r="E59">
            <v>70413.759999999995</v>
          </cell>
          <cell r="F59">
            <v>16834.989999999998</v>
          </cell>
        </row>
        <row r="60">
          <cell r="A60" t="str">
            <v>Рязанцев Андрей Николаевич</v>
          </cell>
          <cell r="C60">
            <v>80745</v>
          </cell>
          <cell r="E60">
            <v>70248</v>
          </cell>
          <cell r="F60">
            <v>16795.11</v>
          </cell>
        </row>
        <row r="61">
          <cell r="A61" t="str">
            <v>Самсаева Кристина Юрьевна</v>
          </cell>
          <cell r="C61">
            <v>165620.79</v>
          </cell>
          <cell r="E61">
            <v>144089.79</v>
          </cell>
          <cell r="F61">
            <v>34449.42</v>
          </cell>
        </row>
        <row r="62">
          <cell r="A62" t="str">
            <v>Свистунов Даниил Иванович</v>
          </cell>
          <cell r="C62">
            <v>149500</v>
          </cell>
          <cell r="E62">
            <v>130065</v>
          </cell>
          <cell r="F62">
            <v>31096</v>
          </cell>
        </row>
        <row r="63">
          <cell r="A63" t="str">
            <v>Сидорова Елена Александровна</v>
          </cell>
          <cell r="C63">
            <v>92285</v>
          </cell>
          <cell r="E63">
            <v>80288</v>
          </cell>
          <cell r="F63">
            <v>19195.23</v>
          </cell>
        </row>
        <row r="64">
          <cell r="A64" t="str">
            <v>Симанович Варвара Сергеевна</v>
          </cell>
          <cell r="C64">
            <v>165716.15</v>
          </cell>
          <cell r="E64">
            <v>144173.15</v>
          </cell>
          <cell r="F64">
            <v>34455.06</v>
          </cell>
        </row>
        <row r="65">
          <cell r="A65" t="str">
            <v>Скрябина Елена Сергеевна</v>
          </cell>
          <cell r="C65">
            <v>109480</v>
          </cell>
          <cell r="E65">
            <v>95248</v>
          </cell>
          <cell r="F65">
            <v>22771.439999999999</v>
          </cell>
        </row>
        <row r="66">
          <cell r="A66" t="str">
            <v>Суружиу Дмитрий Константинович</v>
          </cell>
          <cell r="C66">
            <v>109289</v>
          </cell>
          <cell r="E66">
            <v>95082</v>
          </cell>
          <cell r="F66">
            <v>22731.54</v>
          </cell>
        </row>
        <row r="67">
          <cell r="A67" t="str">
            <v>Ткаченко Александр Дмитриевич</v>
          </cell>
          <cell r="C67">
            <v>121032</v>
          </cell>
          <cell r="E67">
            <v>105298</v>
          </cell>
          <cell r="F67">
            <v>25174.49</v>
          </cell>
        </row>
        <row r="68">
          <cell r="A68" t="str">
            <v>Третьякова Евгения Павловна</v>
          </cell>
          <cell r="C68">
            <v>68784.210000000006</v>
          </cell>
          <cell r="E68">
            <v>59842.210000000006</v>
          </cell>
          <cell r="F68">
            <v>14307.17</v>
          </cell>
        </row>
        <row r="69">
          <cell r="A69" t="str">
            <v>Тюленев Юрий Юрьевич</v>
          </cell>
          <cell r="C69">
            <v>15525</v>
          </cell>
          <cell r="E69">
            <v>13507</v>
          </cell>
          <cell r="F69">
            <v>3197.9</v>
          </cell>
        </row>
        <row r="70">
          <cell r="A70" t="str">
            <v>Устинова Марина Александровна</v>
          </cell>
          <cell r="C70">
            <v>130941.47</v>
          </cell>
          <cell r="E70">
            <v>113919.47</v>
          </cell>
          <cell r="F70">
            <v>27235.43</v>
          </cell>
        </row>
        <row r="71">
          <cell r="A71" t="str">
            <v>Федярова Карина Сергеевна</v>
          </cell>
          <cell r="C71">
            <v>117414.84</v>
          </cell>
          <cell r="E71">
            <v>102150.84</v>
          </cell>
          <cell r="F71">
            <v>24422.36</v>
          </cell>
        </row>
        <row r="72">
          <cell r="A72" t="str">
            <v>Филиппова Екатерина Николаевна</v>
          </cell>
          <cell r="C72">
            <v>357809.05</v>
          </cell>
          <cell r="E72">
            <v>304138.05</v>
          </cell>
          <cell r="F72">
            <v>81580.11</v>
          </cell>
        </row>
        <row r="73">
          <cell r="A73" t="str">
            <v>Цаплина Олеся Рахимзяновна</v>
          </cell>
          <cell r="C73">
            <v>69285</v>
          </cell>
          <cell r="E73">
            <v>60278</v>
          </cell>
          <cell r="F73">
            <v>14411.23</v>
          </cell>
        </row>
        <row r="74">
          <cell r="A74" t="str">
            <v>Чемоданова Ольга Сергеевна</v>
          </cell>
          <cell r="C74">
            <v>75085</v>
          </cell>
          <cell r="E74">
            <v>65324</v>
          </cell>
          <cell r="F74">
            <v>15617.63</v>
          </cell>
        </row>
        <row r="75">
          <cell r="A75" t="str">
            <v>Чепков Артём Андреевич</v>
          </cell>
          <cell r="C75">
            <v>92285</v>
          </cell>
          <cell r="E75">
            <v>80288</v>
          </cell>
          <cell r="F75">
            <v>19195.23</v>
          </cell>
        </row>
        <row r="76">
          <cell r="A76" t="str">
            <v>Чернова Светлана Александровна</v>
          </cell>
          <cell r="C76">
            <v>109690</v>
          </cell>
          <cell r="E76">
            <v>95430</v>
          </cell>
          <cell r="F76">
            <v>22596.440000000002</v>
          </cell>
        </row>
        <row r="77">
          <cell r="A77" t="str">
            <v>Шапочкина Екатерина Игоревна</v>
          </cell>
          <cell r="C77">
            <v>124139.02</v>
          </cell>
          <cell r="E77">
            <v>108000.02</v>
          </cell>
          <cell r="F77">
            <v>25821.85</v>
          </cell>
        </row>
        <row r="78">
          <cell r="A78" t="str">
            <v>Швецов Никита Георгиевич</v>
          </cell>
          <cell r="C78">
            <v>115000</v>
          </cell>
          <cell r="E78">
            <v>100050</v>
          </cell>
          <cell r="F78">
            <v>23920</v>
          </cell>
        </row>
        <row r="79">
          <cell r="A79" t="str">
            <v>Шендрик Полина Сергеевна</v>
          </cell>
          <cell r="C79">
            <v>47390.53</v>
          </cell>
          <cell r="E79">
            <v>41229.53</v>
          </cell>
          <cell r="F79">
            <v>9857.4600000000009</v>
          </cell>
        </row>
        <row r="80">
          <cell r="A80" t="str">
            <v>Щур Анастасия Игоревна</v>
          </cell>
          <cell r="C80">
            <v>23679</v>
          </cell>
          <cell r="E80">
            <v>20601</v>
          </cell>
          <cell r="F80">
            <v>4877.6000000000004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ин.модель"/>
      <sheetName val="план-факт"/>
      <sheetName val="Текущий портфель"/>
      <sheetName val="продажи"/>
      <sheetName val="База расходы зп"/>
      <sheetName val="База расходы"/>
      <sheetName val="Отток"/>
      <sheetName val="Клиенты на входе"/>
      <sheetName val="План поступлений с новых продаж"/>
      <sheetName val="Найм сотрудников"/>
      <sheetName val="Новый клиентский портфель план "/>
      <sheetName val="выручка емс 2023-коэффициент се"/>
    </sheetNames>
    <sheetDataSet>
      <sheetData sheetId="0">
        <row r="7">
          <cell r="D7">
            <v>13555007.632427732</v>
          </cell>
          <cell r="F7">
            <v>15930970.729961313</v>
          </cell>
          <cell r="H7">
            <v>16766905.548106529</v>
          </cell>
          <cell r="N7">
            <v>17222231.898638308</v>
          </cell>
          <cell r="O7">
            <v>17812049.160874449</v>
          </cell>
          <cell r="P7">
            <v>17928410.101982307</v>
          </cell>
          <cell r="Q7">
            <v>18698293.146779105</v>
          </cell>
          <cell r="R7">
            <v>19377774.876417786</v>
          </cell>
          <cell r="S7">
            <v>19303535.556807954</v>
          </cell>
          <cell r="T7">
            <v>23742785.834562894</v>
          </cell>
          <cell r="U7">
            <v>22413783.528202116</v>
          </cell>
          <cell r="V7">
            <v>22994071.714572884</v>
          </cell>
        </row>
        <row r="97">
          <cell r="G97">
            <v>1305317.2459066655</v>
          </cell>
          <cell r="H97">
            <v>4122028.4508188614</v>
          </cell>
          <cell r="I97">
            <v>4941425.4051200002</v>
          </cell>
        </row>
        <row r="101">
          <cell r="D101">
            <v>2512470.1507483521</v>
          </cell>
          <cell r="E101">
            <v>4054553.5531866658</v>
          </cell>
          <cell r="F101">
            <v>3776098.2373939515</v>
          </cell>
        </row>
      </sheetData>
      <sheetData sheetId="1" refreshError="1"/>
      <sheetData sheetId="2">
        <row r="180">
          <cell r="O180">
            <v>16449478.89518095</v>
          </cell>
          <cell r="Q180">
            <v>16123668.619380951</v>
          </cell>
          <cell r="S180">
            <v>15846393.102180947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ин.модель"/>
      <sheetName val="план-факт"/>
      <sheetName val="анализ май"/>
      <sheetName val="Текущий портфель"/>
      <sheetName val="продажи"/>
      <sheetName val="База расходы зп"/>
      <sheetName val="База расходы"/>
      <sheetName val="Отток"/>
      <sheetName val="Клиенты на входе"/>
      <sheetName val="План поступлений с новых продаж"/>
      <sheetName val="Найм сотрудников"/>
      <sheetName val="Новый клиентский портфель план "/>
      <sheetName val="выручка емс 2023-коэффициент се"/>
    </sheetNames>
    <sheetDataSet>
      <sheetData sheetId="0" refreshError="1"/>
      <sheetData sheetId="1" refreshError="1"/>
      <sheetData sheetId="2" refreshError="1"/>
      <sheetData sheetId="3">
        <row r="132">
          <cell r="R132">
            <v>158101</v>
          </cell>
        </row>
        <row r="139">
          <cell r="R139">
            <v>300000</v>
          </cell>
        </row>
        <row r="142">
          <cell r="R142">
            <v>146250</v>
          </cell>
        </row>
        <row r="170">
          <cell r="R170">
            <v>73200</v>
          </cell>
        </row>
        <row r="174">
          <cell r="R174">
            <v>5000</v>
          </cell>
        </row>
        <row r="176">
          <cell r="R176">
            <v>51400</v>
          </cell>
        </row>
        <row r="187">
          <cell r="R187">
            <v>5000</v>
          </cell>
        </row>
      </sheetData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_1"/>
    </sheetNames>
    <sheetDataSet>
      <sheetData sheetId="0">
        <row r="8">
          <cell r="A8" t="str">
            <v>1-Й КРАСНОГВАРДЕЙСКИЙ ООО СЗ</v>
          </cell>
          <cell r="B8">
            <v>41200</v>
          </cell>
        </row>
        <row r="9">
          <cell r="A9" t="str">
            <v>WRF</v>
          </cell>
          <cell r="B9">
            <v>342316.7</v>
          </cell>
        </row>
        <row r="10">
          <cell r="A10" t="str">
            <v>АЛЬТЕР ООО</v>
          </cell>
          <cell r="B10">
            <v>3500</v>
          </cell>
        </row>
        <row r="11">
          <cell r="A11" t="str">
            <v>АО ЦВ ПРОТЕК</v>
          </cell>
          <cell r="B11">
            <v>93536</v>
          </cell>
        </row>
        <row r="12">
          <cell r="A12" t="str">
            <v>Арентов Артём Вячеславович ИП</v>
          </cell>
          <cell r="B12">
            <v>1500</v>
          </cell>
        </row>
        <row r="13">
          <cell r="A13" t="str">
            <v>АРТИС 21 ООО</v>
          </cell>
          <cell r="B13">
            <v>86970</v>
          </cell>
        </row>
        <row r="14">
          <cell r="A14" t="str">
            <v>БОРИСХОФ ХОЛДИНГ ООО</v>
          </cell>
          <cell r="B14">
            <v>107880</v>
          </cell>
        </row>
        <row r="15">
          <cell r="A15" t="str">
            <v>БРОНИРОВАНИЕ ГОСТИНИЦ ООО</v>
          </cell>
          <cell r="B15">
            <v>201620</v>
          </cell>
        </row>
        <row r="16">
          <cell r="A16" t="str">
            <v>БУРГЕР РУС ООО</v>
          </cell>
          <cell r="B16">
            <v>60000</v>
          </cell>
        </row>
        <row r="17">
          <cell r="A17" t="str">
            <v>В-ИМПОРТ ООО</v>
          </cell>
          <cell r="B17">
            <v>3500</v>
          </cell>
        </row>
        <row r="18">
          <cell r="A18" t="str">
            <v>ВУШ ООО</v>
          </cell>
          <cell r="B18">
            <v>112632</v>
          </cell>
        </row>
        <row r="19">
          <cell r="A19" t="str">
            <v>ГК СБСВ-КЛЮЧАВТО ООО</v>
          </cell>
          <cell r="B19">
            <v>103845</v>
          </cell>
        </row>
        <row r="20">
          <cell r="A20" t="str">
            <v>ГОРОДСКОЙ СУПЕРМАРКЕТ ООО</v>
          </cell>
          <cell r="B20">
            <v>121800</v>
          </cell>
        </row>
        <row r="21">
          <cell r="A21" t="str">
            <v>ГПМ ДАТА ООО</v>
          </cell>
          <cell r="B21">
            <v>77880</v>
          </cell>
        </row>
        <row r="22">
          <cell r="A22" t="str">
            <v>ГПМ ДАТА ООО</v>
          </cell>
          <cell r="B22">
            <v>81600</v>
          </cell>
        </row>
        <row r="23">
          <cell r="A23" t="str">
            <v>ГУЛЛИВЕР ОНЛАЙН ООО</v>
          </cell>
          <cell r="B23">
            <v>8000</v>
          </cell>
        </row>
        <row r="24">
          <cell r="A24" t="str">
            <v>ДЖ.Т.И. РОССИЯ ООО</v>
          </cell>
          <cell r="B24">
            <v>723025.2</v>
          </cell>
        </row>
        <row r="25">
          <cell r="A25" t="str">
            <v>Динаев Осман Русланович</v>
          </cell>
          <cell r="B25">
            <v>14595</v>
          </cell>
        </row>
        <row r="26">
          <cell r="A26" t="str">
            <v>ДИОНА ООО</v>
          </cell>
          <cell r="B26">
            <v>109250</v>
          </cell>
        </row>
        <row r="27">
          <cell r="A27" t="str">
            <v>ЕАПТЕКА ООО</v>
          </cell>
          <cell r="B27">
            <v>30653</v>
          </cell>
        </row>
        <row r="28">
          <cell r="A28" t="str">
            <v>ЕВРОПА ООО</v>
          </cell>
          <cell r="B28">
            <v>115000</v>
          </cell>
        </row>
        <row r="29">
          <cell r="A29" t="str">
            <v>ИКСПЛАНЕТ.РУ ООО</v>
          </cell>
          <cell r="B29">
            <v>261040</v>
          </cell>
        </row>
        <row r="30">
          <cell r="A30" t="str">
            <v>ИЛЬВЕС МАРИНА ВИТАЛЬЕВНА ИП</v>
          </cell>
          <cell r="B30">
            <v>13000</v>
          </cell>
        </row>
        <row r="31">
          <cell r="A31" t="str">
            <v>И-МЕДИА ООО</v>
          </cell>
          <cell r="B31">
            <v>11900</v>
          </cell>
        </row>
        <row r="32">
          <cell r="A32" t="str">
            <v>ИМПУЛЬС ООО</v>
          </cell>
          <cell r="B32">
            <v>246150</v>
          </cell>
        </row>
        <row r="33">
          <cell r="A33" t="str">
            <v>ИНТЕРНЕТ-МАГАЗИН МАРМАЛАТО ООО</v>
          </cell>
          <cell r="B33">
            <v>11500</v>
          </cell>
        </row>
        <row r="34">
          <cell r="A34" t="str">
            <v>КАЗАНЬ РЕАЛ ЭСТЕЙТ ООО</v>
          </cell>
          <cell r="B34">
            <v>696260</v>
          </cell>
        </row>
        <row r="35">
          <cell r="A35" t="str">
            <v>КАРШЕРИНГ РУССИЯ ПАО</v>
          </cell>
          <cell r="B35">
            <v>50625</v>
          </cell>
        </row>
        <row r="36">
          <cell r="A36" t="str">
            <v>КИНЕТИКА ООО</v>
          </cell>
          <cell r="B36">
            <v>7000</v>
          </cell>
        </row>
        <row r="37">
          <cell r="A37" t="str">
            <v>КИНЕТИКА ООО</v>
          </cell>
          <cell r="B37">
            <v>27500</v>
          </cell>
        </row>
        <row r="38">
          <cell r="A38" t="str">
            <v>КИНОПОИСК ООО</v>
          </cell>
          <cell r="B38">
            <v>240600</v>
          </cell>
        </row>
        <row r="39">
          <cell r="A39" t="str">
            <v>КНАУФ ГИПС ООО</v>
          </cell>
          <cell r="B39">
            <v>9940</v>
          </cell>
        </row>
        <row r="40">
          <cell r="A40" t="str">
            <v>КОЛЕСА ДАРОМ.РУ ООО</v>
          </cell>
          <cell r="B40">
            <v>300000</v>
          </cell>
        </row>
        <row r="41">
          <cell r="A41" t="str">
            <v>КОНДИТЕРСКАЯ ФАБРИКА ПОБЕДА ООО</v>
          </cell>
          <cell r="B41">
            <v>114875</v>
          </cell>
        </row>
        <row r="42">
          <cell r="A42" t="str">
            <v>Л`ОРЕАЛЬ АО</v>
          </cell>
          <cell r="B42">
            <v>48090</v>
          </cell>
        </row>
        <row r="43">
          <cell r="A43" t="str">
            <v>Л`ОРЕАЛЬ АО</v>
          </cell>
          <cell r="B43">
            <v>21145</v>
          </cell>
        </row>
        <row r="44">
          <cell r="A44" t="str">
            <v>ЛАРТА ГЛАСС ООО</v>
          </cell>
          <cell r="B44">
            <v>34904</v>
          </cell>
        </row>
        <row r="45">
          <cell r="A45" t="str">
            <v>ЛЕГАЛБЕТ ООО</v>
          </cell>
          <cell r="B45">
            <v>236000</v>
          </cell>
        </row>
        <row r="46">
          <cell r="A46" t="str">
            <v>ЛЕНТА ООО</v>
          </cell>
          <cell r="B46">
            <v>618240</v>
          </cell>
        </row>
        <row r="47">
          <cell r="A47" t="str">
            <v>Майндбокс ООО</v>
          </cell>
          <cell r="B47">
            <v>188035</v>
          </cell>
        </row>
        <row r="48">
          <cell r="A48" t="str">
            <v>Майндбокс ООО</v>
          </cell>
          <cell r="B48">
            <v>28613.66</v>
          </cell>
        </row>
        <row r="49">
          <cell r="A49" t="str">
            <v>Майндбокс ООО</v>
          </cell>
          <cell r="B49">
            <v>33740</v>
          </cell>
        </row>
        <row r="50">
          <cell r="A50" t="str">
            <v>МАРС ООО</v>
          </cell>
          <cell r="B50">
            <v>60450</v>
          </cell>
        </row>
        <row r="51">
          <cell r="A51" t="str">
            <v>МАРС ООО</v>
          </cell>
          <cell r="B51">
            <v>176750</v>
          </cell>
        </row>
        <row r="52">
          <cell r="A52" t="str">
            <v>МАСХ АНО ДПО</v>
          </cell>
          <cell r="B52">
            <v>1500</v>
          </cell>
        </row>
        <row r="53">
          <cell r="A53" t="str">
            <v>МАСХ АНО ДПО</v>
          </cell>
          <cell r="B53">
            <v>3500</v>
          </cell>
        </row>
        <row r="54">
          <cell r="A54" t="str">
            <v>МЕТРО КЭШ ЭНД КЕРРИ ООО</v>
          </cell>
          <cell r="B54">
            <v>129960</v>
          </cell>
        </row>
        <row r="55">
          <cell r="A55" t="str">
            <v>МОБИЛЬНАЯ КАРТА ООО НКО</v>
          </cell>
          <cell r="B55">
            <v>96513</v>
          </cell>
        </row>
        <row r="56">
          <cell r="A56" t="str">
            <v>ОККАМ ИКС ООО</v>
          </cell>
          <cell r="B56">
            <v>84750</v>
          </cell>
        </row>
        <row r="57">
          <cell r="A57" t="str">
            <v>ООО «СПАДРИМ»</v>
          </cell>
          <cell r="B57">
            <v>132500</v>
          </cell>
        </row>
        <row r="58">
          <cell r="A58" t="str">
            <v>ПЕТРОВАКС ФАРМ ООО</v>
          </cell>
          <cell r="B58">
            <v>524100</v>
          </cell>
        </row>
        <row r="59">
          <cell r="A59" t="str">
            <v>ПОЙДЁМ! АО КБ</v>
          </cell>
          <cell r="B59">
            <v>221750</v>
          </cell>
        </row>
        <row r="60">
          <cell r="A60" t="str">
            <v>ПРЕМИУМ ЭСТЕЙТ ООО</v>
          </cell>
          <cell r="B60">
            <v>399987</v>
          </cell>
        </row>
        <row r="61">
          <cell r="A61" t="str">
            <v>ПРОФИТАТОР ООО</v>
          </cell>
          <cell r="B61">
            <v>10400</v>
          </cell>
        </row>
        <row r="62">
          <cell r="A62" t="str">
            <v>Публичное акционерное общество "ПИК - специализированный застройщик"</v>
          </cell>
          <cell r="B62">
            <v>55660</v>
          </cell>
        </row>
        <row r="63">
          <cell r="A63" t="str">
            <v>РОССИЯ - СТРАНА ВОЗМОЖНОСТЕЙ АНО РСВ АНО</v>
          </cell>
          <cell r="B63">
            <v>380000</v>
          </cell>
        </row>
        <row r="64">
          <cell r="A64" t="str">
            <v>РСИЦ АО</v>
          </cell>
          <cell r="B64">
            <v>282000</v>
          </cell>
        </row>
        <row r="65">
          <cell r="A65" t="str">
            <v>РУСКАН АО</v>
          </cell>
          <cell r="B65">
            <v>339150</v>
          </cell>
        </row>
        <row r="66">
          <cell r="A66" t="str">
            <v>САМОЛЕТ САД ЧУДО</v>
          </cell>
          <cell r="B66">
            <v>15276</v>
          </cell>
        </row>
        <row r="67">
          <cell r="A67" t="str">
            <v>САМОЛЕТ-ГОСТЕПРИИМСТВО ООО</v>
          </cell>
          <cell r="B67">
            <v>103056</v>
          </cell>
        </row>
        <row r="68">
          <cell r="A68" t="str">
            <v>САМОЛЕТ-НЕДВИЖИМОСТЬ МСК ООО</v>
          </cell>
          <cell r="B68">
            <v>516419.98</v>
          </cell>
        </row>
        <row r="69">
          <cell r="A69" t="str">
            <v>СБЕРМАРКЕТ</v>
          </cell>
          <cell r="B69">
            <v>643410</v>
          </cell>
        </row>
        <row r="70">
          <cell r="A70" t="str">
            <v>СЕРВЬЕ АО</v>
          </cell>
          <cell r="B70">
            <v>25560</v>
          </cell>
        </row>
        <row r="71">
          <cell r="A71" t="str">
            <v>СЗ БИЗНЕС ПАРК ОСТАНКИНО ООО</v>
          </cell>
          <cell r="B71">
            <v>26900</v>
          </cell>
        </row>
        <row r="72">
          <cell r="A72" t="str">
            <v>СЗ ЛАЙФ ПАВЕЛЕЦКАЯ АО</v>
          </cell>
          <cell r="B72">
            <v>53800</v>
          </cell>
        </row>
        <row r="73">
          <cell r="A73" t="str">
            <v>СЗ ПИОНЕР-1 ООО</v>
          </cell>
          <cell r="B73">
            <v>55100</v>
          </cell>
        </row>
        <row r="74">
          <cell r="A74" t="str">
            <v>СЗ ШИФТ ООО</v>
          </cell>
          <cell r="B74">
            <v>31300</v>
          </cell>
        </row>
        <row r="75">
          <cell r="A75" t="str">
            <v>СИМПЛ ООО КОМПАНИЯ</v>
          </cell>
          <cell r="B75">
            <v>28797</v>
          </cell>
        </row>
        <row r="76">
          <cell r="A76" t="str">
            <v>СОЛЬ ЗЕМЛИ ООО</v>
          </cell>
          <cell r="B76">
            <v>3500</v>
          </cell>
        </row>
        <row r="77">
          <cell r="A77" t="str">
            <v>ТАРГО КАСТОМЗ ИНДАСТРИЗ ООО</v>
          </cell>
          <cell r="B77">
            <v>17490</v>
          </cell>
        </row>
        <row r="78">
          <cell r="A78" t="str">
            <v>ТЕХНОНИКОЛЬ-СТРОИТЕЛЬНЫЕ СИСТЕМЫ ООО</v>
          </cell>
          <cell r="B78">
            <v>115250</v>
          </cell>
        </row>
        <row r="79">
          <cell r="A79" t="str">
            <v>ТРЭЙДМАТИК ООО</v>
          </cell>
          <cell r="B79">
            <v>16650</v>
          </cell>
        </row>
        <row r="80">
          <cell r="A80" t="str">
            <v>ФГБУК "Государственный академический Большой театр России"</v>
          </cell>
          <cell r="B80">
            <v>14375</v>
          </cell>
        </row>
        <row r="81">
          <cell r="A81" t="str">
            <v>ФЕРСТ ДАТА ООО</v>
          </cell>
          <cell r="B81">
            <v>228880</v>
          </cell>
        </row>
        <row r="82">
          <cell r="A82" t="str">
            <v>Х21 ООО</v>
          </cell>
          <cell r="B82">
            <v>62050</v>
          </cell>
        </row>
        <row r="83">
          <cell r="A83" t="str">
            <v>ХАНТФЛОУ ООО</v>
          </cell>
          <cell r="B83">
            <v>6500</v>
          </cell>
        </row>
        <row r="84">
          <cell r="A84" t="str">
            <v>ХЕНДЭ МОТОР СНГ ООО</v>
          </cell>
          <cell r="B84">
            <v>135080</v>
          </cell>
        </row>
        <row r="85">
          <cell r="A85" t="str">
            <v>ШКОЛА СПУТНИК ОАНО</v>
          </cell>
          <cell r="B85">
            <v>14136</v>
          </cell>
        </row>
        <row r="86">
          <cell r="A86" t="str">
            <v>ЮМАНИ ООО НКО</v>
          </cell>
          <cell r="B86">
            <v>1447.5</v>
          </cell>
        </row>
        <row r="87">
          <cell r="A87" t="str">
            <v>ЮНИСЕНДЕР СМАРТ ООО</v>
          </cell>
          <cell r="B87">
            <v>528404.96</v>
          </cell>
        </row>
        <row r="88">
          <cell r="A88" t="str">
            <v>ЯНДЕКС МУЗЫКА ООО</v>
          </cell>
          <cell r="B88">
            <v>231100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_1"/>
    </sheetNames>
    <sheetDataSet>
      <sheetData sheetId="0">
        <row r="2">
          <cell r="A2" t="str">
            <v>1-Й КРАСНОГВАРДЕЙСКИЙ ООО СЗ</v>
          </cell>
          <cell r="B2" t="str">
            <v>31.07.2024</v>
          </cell>
          <cell r="C2">
            <v>41200</v>
          </cell>
        </row>
        <row r="3">
          <cell r="A3" t="str">
            <v>WRF</v>
          </cell>
          <cell r="C3">
            <v>216224.5</v>
          </cell>
        </row>
        <row r="4">
          <cell r="A4" t="str">
            <v>АЙСКУЛ ООО</v>
          </cell>
          <cell r="B4" t="str">
            <v>16.07.2024</v>
          </cell>
          <cell r="C4">
            <v>15792</v>
          </cell>
        </row>
        <row r="5">
          <cell r="A5" t="str">
            <v>АЛОР+ ООО</v>
          </cell>
          <cell r="B5" t="str">
            <v>31.07.2024</v>
          </cell>
          <cell r="C5">
            <v>89250</v>
          </cell>
        </row>
        <row r="6">
          <cell r="A6" t="str">
            <v>АЛЬТЕР ООО</v>
          </cell>
          <cell r="B6" t="str">
            <v>08.07.2024</v>
          </cell>
          <cell r="C6">
            <v>1930.95</v>
          </cell>
        </row>
        <row r="7">
          <cell r="A7" t="str">
            <v>АО ЦВ ПРОТЕК</v>
          </cell>
          <cell r="B7" t="str">
            <v>31.07.2024</v>
          </cell>
          <cell r="C7">
            <v>106150</v>
          </cell>
        </row>
        <row r="8">
          <cell r="A8" t="str">
            <v>Арентов Артём Вячеславович ИП</v>
          </cell>
          <cell r="B8" t="str">
            <v>22.07.2024</v>
          </cell>
          <cell r="C8">
            <v>1500</v>
          </cell>
        </row>
        <row r="9">
          <cell r="A9" t="str">
            <v>АРТИС 21 ООО</v>
          </cell>
          <cell r="B9" t="str">
            <v>31.07.2024</v>
          </cell>
          <cell r="C9">
            <v>86970</v>
          </cell>
        </row>
        <row r="10">
          <cell r="A10" t="str">
            <v>БАЛТИКА АО ФК</v>
          </cell>
          <cell r="B10" t="str">
            <v>26.07.2024</v>
          </cell>
          <cell r="C10">
            <v>112200</v>
          </cell>
        </row>
        <row r="11">
          <cell r="A11" t="str">
            <v>БЛОЧНЫЙ РЕДАКТОР ООО</v>
          </cell>
          <cell r="B11" t="str">
            <v>31.07.2024</v>
          </cell>
          <cell r="C11">
            <v>150930</v>
          </cell>
        </row>
        <row r="12">
          <cell r="A12" t="str">
            <v>БОРИСХОФ 1 ООО</v>
          </cell>
          <cell r="B12" t="str">
            <v>31.07.2024</v>
          </cell>
          <cell r="C12">
            <v>22500</v>
          </cell>
        </row>
        <row r="13">
          <cell r="A13" t="str">
            <v>БОРИСХОФ ХОЛДИНГ ООО</v>
          </cell>
          <cell r="B13" t="str">
            <v>31.07.2024</v>
          </cell>
          <cell r="C13">
            <v>93000</v>
          </cell>
        </row>
        <row r="14">
          <cell r="A14" t="str">
            <v>БРОНИРОВАНИЕ ГОСТИНИЦ ООО</v>
          </cell>
          <cell r="B14" t="str">
            <v>31.07.2024</v>
          </cell>
          <cell r="C14">
            <v>380830</v>
          </cell>
        </row>
        <row r="15">
          <cell r="A15" t="str">
            <v>БУРГЕР РУС ООО</v>
          </cell>
          <cell r="B15" t="str">
            <v>31.07.2024</v>
          </cell>
          <cell r="C15">
            <v>26100</v>
          </cell>
        </row>
        <row r="16">
          <cell r="A16" t="str">
            <v>ВУШ ООО</v>
          </cell>
          <cell r="B16" t="str">
            <v>31.07.2024</v>
          </cell>
          <cell r="C16">
            <v>132420</v>
          </cell>
        </row>
        <row r="17">
          <cell r="A17" t="str">
            <v>ГК СБСВ-КЛЮЧАВТО ООО</v>
          </cell>
          <cell r="B17" t="str">
            <v>31.07.2024</v>
          </cell>
          <cell r="C17">
            <v>178857</v>
          </cell>
        </row>
        <row r="18">
          <cell r="A18" t="str">
            <v>ГОРОДСКОЙ СУПЕРМАРКЕТ ООО</v>
          </cell>
          <cell r="B18" t="str">
            <v>31.07.2024</v>
          </cell>
          <cell r="C18">
            <v>160700</v>
          </cell>
        </row>
        <row r="19">
          <cell r="A19" t="str">
            <v>ГПМ ДАТА ООО</v>
          </cell>
          <cell r="B19" t="str">
            <v>31.07.2024</v>
          </cell>
          <cell r="C19">
            <v>13800</v>
          </cell>
        </row>
        <row r="20">
          <cell r="A20" t="str">
            <v>ГУЛЛИВЕР ОНЛАЙН ООО</v>
          </cell>
          <cell r="B20" t="str">
            <v>31.07.2024</v>
          </cell>
          <cell r="C20">
            <v>8000</v>
          </cell>
        </row>
        <row r="21">
          <cell r="A21" t="str">
            <v>ДЖ.Т.И. РОССИЯ ООО</v>
          </cell>
          <cell r="B21" t="str">
            <v>31.07.2024</v>
          </cell>
          <cell r="C21">
            <v>508008</v>
          </cell>
        </row>
        <row r="22">
          <cell r="A22" t="str">
            <v>Динаев Осман Русланович</v>
          </cell>
          <cell r="B22" t="str">
            <v>31.07.2024</v>
          </cell>
          <cell r="C22">
            <v>39935</v>
          </cell>
        </row>
        <row r="23">
          <cell r="A23" t="str">
            <v>ДИОНА ООО</v>
          </cell>
          <cell r="B23" t="str">
            <v>31.07.2024</v>
          </cell>
          <cell r="C23">
            <v>107200</v>
          </cell>
        </row>
        <row r="24">
          <cell r="A24" t="str">
            <v>ЕАПТЕКА ООО</v>
          </cell>
          <cell r="B24" t="str">
            <v>31.07.2024</v>
          </cell>
          <cell r="C24">
            <v>18094</v>
          </cell>
        </row>
        <row r="25">
          <cell r="A25" t="str">
            <v>ЕВРОПА ООО</v>
          </cell>
          <cell r="B25" t="str">
            <v>31.07.2024</v>
          </cell>
          <cell r="C25">
            <v>150900</v>
          </cell>
        </row>
        <row r="26">
          <cell r="A26" t="str">
            <v>ИКСПЛАНЕТ.РУ ООО</v>
          </cell>
          <cell r="B26" t="str">
            <v>31.07.2024</v>
          </cell>
          <cell r="C26">
            <v>426765</v>
          </cell>
        </row>
        <row r="27">
          <cell r="A27" t="str">
            <v>ИЛЬВЕС МАРИНА ВИТАЛЬЕВНА ИП</v>
          </cell>
          <cell r="B27" t="str">
            <v>19.07.2024</v>
          </cell>
          <cell r="C27">
            <v>6500</v>
          </cell>
        </row>
        <row r="28">
          <cell r="A28" t="str">
            <v>ИМПУЛЬС ООО</v>
          </cell>
          <cell r="B28" t="str">
            <v>31.07.2024</v>
          </cell>
          <cell r="C28">
            <v>180850</v>
          </cell>
        </row>
        <row r="29">
          <cell r="A29" t="str">
            <v>ИНТЕРНЕТ-МАГАЗИН МАРМАЛАТО ООО</v>
          </cell>
          <cell r="B29" t="str">
            <v>22.07.2024</v>
          </cell>
          <cell r="C29">
            <v>11500</v>
          </cell>
        </row>
        <row r="30">
          <cell r="A30" t="str">
            <v>ИНФОРМАЦИОННОЕ АГЕНТСТВО ИНТЕРФАКС АО</v>
          </cell>
          <cell r="B30" t="str">
            <v>31.07.2024</v>
          </cell>
          <cell r="C30">
            <v>22950.5</v>
          </cell>
        </row>
        <row r="31">
          <cell r="A31" t="str">
            <v>КАЗАНЬ РЕАЛ ЭСТЕЙТ ООО</v>
          </cell>
          <cell r="B31" t="str">
            <v>31.07.2024</v>
          </cell>
          <cell r="C31">
            <v>684654</v>
          </cell>
        </row>
        <row r="32">
          <cell r="A32" t="str">
            <v>КАРШЕРИНГ РУССИЯ ПАО</v>
          </cell>
          <cell r="B32" t="str">
            <v>31.07.2024</v>
          </cell>
          <cell r="C32">
            <v>234800</v>
          </cell>
        </row>
        <row r="33">
          <cell r="A33" t="str">
            <v>КИНЕТИКА ООО</v>
          </cell>
          <cell r="B33" t="str">
            <v>01.07.2024</v>
          </cell>
          <cell r="C33">
            <v>11500</v>
          </cell>
        </row>
        <row r="34">
          <cell r="A34" t="str">
            <v>КИНЕТИКА ООО</v>
          </cell>
          <cell r="B34" t="str">
            <v>09.07.2024</v>
          </cell>
          <cell r="C34">
            <v>1500</v>
          </cell>
        </row>
        <row r="35">
          <cell r="A35" t="str">
            <v>КИНЕТИКА ООО</v>
          </cell>
          <cell r="B35" t="str">
            <v>12.07.2024</v>
          </cell>
          <cell r="C35">
            <v>26000</v>
          </cell>
        </row>
        <row r="36">
          <cell r="A36" t="str">
            <v>КИНЕТИКА ООО</v>
          </cell>
          <cell r="B36" t="str">
            <v>31.07.2024</v>
          </cell>
          <cell r="C36">
            <v>11500</v>
          </cell>
        </row>
        <row r="37">
          <cell r="A37" t="str">
            <v>КИНОПОИСК ООО</v>
          </cell>
          <cell r="B37" t="str">
            <v>31.07.2024</v>
          </cell>
          <cell r="C37">
            <v>399900</v>
          </cell>
        </row>
        <row r="38">
          <cell r="A38" t="str">
            <v>КЛЮЧЕВОЙ ФАКТОР ООО</v>
          </cell>
          <cell r="B38" t="str">
            <v>30.07.2024</v>
          </cell>
          <cell r="C38">
            <v>33150</v>
          </cell>
        </row>
        <row r="39">
          <cell r="A39" t="str">
            <v>КОЛЕСА ДАРОМ.РУ ООО</v>
          </cell>
          <cell r="B39" t="str">
            <v>31.07.2024</v>
          </cell>
          <cell r="C39">
            <v>300000</v>
          </cell>
        </row>
        <row r="40">
          <cell r="A40" t="str">
            <v>КОНДИТЕРСКАЯ ФАБРИКА ПОБЕДА ООО</v>
          </cell>
          <cell r="B40" t="str">
            <v>31.07.2024</v>
          </cell>
          <cell r="C40">
            <v>114875</v>
          </cell>
        </row>
        <row r="41">
          <cell r="A41" t="str">
            <v>КРАСНАЯ ПОЛЯНА НАО</v>
          </cell>
          <cell r="B41" t="str">
            <v>31.07.2024</v>
          </cell>
          <cell r="C41">
            <v>86033</v>
          </cell>
        </row>
        <row r="42">
          <cell r="A42" t="str">
            <v>Л`ОРЕАЛЬ АО</v>
          </cell>
          <cell r="B42" t="str">
            <v>31.07.2024</v>
          </cell>
          <cell r="C42">
            <v>42777</v>
          </cell>
        </row>
        <row r="43">
          <cell r="A43" t="str">
            <v>Л`ОРЕАЛЬ АО</v>
          </cell>
          <cell r="B43" t="str">
            <v>31.07.2024</v>
          </cell>
          <cell r="C43">
            <v>30634</v>
          </cell>
        </row>
        <row r="44">
          <cell r="A44" t="str">
            <v>ЛЕНТА ООО</v>
          </cell>
          <cell r="B44" t="str">
            <v>31.07.2024</v>
          </cell>
          <cell r="C44">
            <v>428350</v>
          </cell>
        </row>
        <row r="45">
          <cell r="A45" t="str">
            <v>Майндбокс ООО</v>
          </cell>
          <cell r="B45" t="str">
            <v>31.07.2024</v>
          </cell>
          <cell r="C45">
            <v>279873.33</v>
          </cell>
        </row>
        <row r="46">
          <cell r="A46" t="str">
            <v>МАРС ООО</v>
          </cell>
          <cell r="B46" t="str">
            <v>31.07.2024</v>
          </cell>
          <cell r="C46">
            <v>824262</v>
          </cell>
        </row>
        <row r="47">
          <cell r="A47" t="str">
            <v>МАСХ АНО ДПО</v>
          </cell>
          <cell r="B47" t="str">
            <v>29.07.2024</v>
          </cell>
          <cell r="C47">
            <v>1500</v>
          </cell>
        </row>
        <row r="48">
          <cell r="A48" t="str">
            <v>МАСХ АНО ДПО</v>
          </cell>
          <cell r="B48" t="str">
            <v>31.07.2024</v>
          </cell>
          <cell r="C48">
            <v>1500</v>
          </cell>
        </row>
        <row r="49">
          <cell r="A49" t="str">
            <v>МЕТРО КЭШ ЭНД КЕРРИ ООО</v>
          </cell>
          <cell r="B49" t="str">
            <v>31.07.2024</v>
          </cell>
          <cell r="C49">
            <v>125186</v>
          </cell>
        </row>
        <row r="50">
          <cell r="A50" t="str">
            <v>МОБИЛЬНАЯ КАРТА ООО НКО</v>
          </cell>
          <cell r="B50" t="str">
            <v>19.07.2024</v>
          </cell>
          <cell r="C50">
            <v>95113</v>
          </cell>
        </row>
        <row r="51">
          <cell r="A51" t="str">
            <v>МУСА МОТОРС ДЖЕЙ ЭЛ ЭР ООО</v>
          </cell>
          <cell r="B51" t="str">
            <v>31.07.2024</v>
          </cell>
          <cell r="C51">
            <v>36000</v>
          </cell>
        </row>
        <row r="52">
          <cell r="A52" t="str">
            <v>ОБОИ ФАКТУРА ООО</v>
          </cell>
          <cell r="B52" t="str">
            <v>10.07.2024</v>
          </cell>
          <cell r="C52">
            <v>10500</v>
          </cell>
        </row>
        <row r="53">
          <cell r="A53" t="str">
            <v>ОККАМ ИКС ООО</v>
          </cell>
          <cell r="B53" t="str">
            <v>31.07.2024</v>
          </cell>
          <cell r="C53">
            <v>59050</v>
          </cell>
        </row>
        <row r="54">
          <cell r="A54" t="str">
            <v>ООО «СПАДРИМ»</v>
          </cell>
          <cell r="B54" t="str">
            <v>31.07.2024</v>
          </cell>
          <cell r="C54">
            <v>114550</v>
          </cell>
        </row>
        <row r="55">
          <cell r="A55" t="str">
            <v>ПАНФИЛОВ ДИДЖИТАЛ ООО</v>
          </cell>
          <cell r="B55" t="str">
            <v>23.07.2024</v>
          </cell>
          <cell r="C55">
            <v>20755</v>
          </cell>
        </row>
        <row r="56">
          <cell r="A56" t="str">
            <v>ПЕТРОВАКС ФАРМ ООО</v>
          </cell>
          <cell r="B56" t="str">
            <v>31.07.2024</v>
          </cell>
          <cell r="C56">
            <v>480900</v>
          </cell>
        </row>
        <row r="57">
          <cell r="A57" t="str">
            <v>ПОЙДЁМ! АО КБ</v>
          </cell>
          <cell r="B57" t="str">
            <v>31.07.2024</v>
          </cell>
          <cell r="C57">
            <v>32550</v>
          </cell>
        </row>
        <row r="58">
          <cell r="A58" t="str">
            <v>ПОЙДЁМ! АО КБ</v>
          </cell>
          <cell r="B58" t="str">
            <v>31.07.2024</v>
          </cell>
          <cell r="C58">
            <v>286150</v>
          </cell>
        </row>
        <row r="59">
          <cell r="A59" t="str">
            <v>ПРЕМИУМ ЭСТЕЙТ ООО</v>
          </cell>
          <cell r="B59" t="str">
            <v>31.07.2024</v>
          </cell>
          <cell r="C59">
            <v>562178</v>
          </cell>
        </row>
        <row r="60">
          <cell r="A60" t="str">
            <v>ПРОФИТАТОР ООО</v>
          </cell>
          <cell r="B60" t="str">
            <v>31.07.2024</v>
          </cell>
          <cell r="C60">
            <v>20800</v>
          </cell>
        </row>
        <row r="61">
          <cell r="A61" t="str">
            <v>РОКВУЛ ООО</v>
          </cell>
          <cell r="B61" t="str">
            <v>31.07.2024</v>
          </cell>
          <cell r="C61">
            <v>17908</v>
          </cell>
        </row>
        <row r="62">
          <cell r="A62" t="str">
            <v>РОССИЯ - СТРАНА ВОЗМОЖНОСТЕЙ АНО РСВ АНО</v>
          </cell>
          <cell r="B62" t="str">
            <v>31.07.2024</v>
          </cell>
          <cell r="C62">
            <v>240000</v>
          </cell>
        </row>
        <row r="63">
          <cell r="A63" t="str">
            <v>РСИЦ АО</v>
          </cell>
          <cell r="B63" t="str">
            <v>31.07.2024</v>
          </cell>
          <cell r="C63">
            <v>282000</v>
          </cell>
        </row>
        <row r="64">
          <cell r="A64" t="str">
            <v>САМОЛЕТ-НЕДВИЖИМОСТЬ МСК ООО</v>
          </cell>
          <cell r="B64" t="str">
            <v>31.07.2024</v>
          </cell>
          <cell r="C64">
            <v>561861</v>
          </cell>
        </row>
        <row r="65">
          <cell r="A65" t="str">
            <v>СБЕРМАРКЕТ</v>
          </cell>
          <cell r="B65" t="str">
            <v>31.07.2024</v>
          </cell>
          <cell r="C65">
            <v>484010</v>
          </cell>
        </row>
        <row r="66">
          <cell r="A66" t="str">
            <v>СЕРВЬЕ АО</v>
          </cell>
          <cell r="B66" t="str">
            <v>31.07.2024</v>
          </cell>
          <cell r="C66">
            <v>86052.41</v>
          </cell>
        </row>
        <row r="67">
          <cell r="A67" t="str">
            <v>СЗ БИЗНЕС ПАРК ОСТАНКИНО ООО</v>
          </cell>
          <cell r="B67" t="str">
            <v>31.07.2024</v>
          </cell>
          <cell r="C67">
            <v>17650</v>
          </cell>
        </row>
        <row r="68">
          <cell r="A68" t="str">
            <v>СЗ ЛАЙФ ПАВЕЛЕЦКАЯ АО</v>
          </cell>
          <cell r="B68" t="str">
            <v>31.07.2024</v>
          </cell>
          <cell r="C68">
            <v>35300</v>
          </cell>
        </row>
        <row r="69">
          <cell r="A69" t="str">
            <v>СЗ ПИОНЕР-1 ООО</v>
          </cell>
          <cell r="B69" t="str">
            <v>31.07.2024</v>
          </cell>
          <cell r="C69">
            <v>24250</v>
          </cell>
        </row>
        <row r="70">
          <cell r="A70" t="str">
            <v>СЗ ШИФТ ООО</v>
          </cell>
          <cell r="B70" t="str">
            <v>31.07.2024</v>
          </cell>
          <cell r="C70">
            <v>12900</v>
          </cell>
        </row>
        <row r="71">
          <cell r="A71" t="str">
            <v>СКАЙТЕХ КОМПАНИ ООО</v>
          </cell>
          <cell r="B71" t="str">
            <v>12.07.2024</v>
          </cell>
          <cell r="C71">
            <v>3000</v>
          </cell>
        </row>
        <row r="72">
          <cell r="A72" t="str">
            <v>СКАЙТЕХ КОМПАНИ ООО</v>
          </cell>
          <cell r="B72" t="str">
            <v>17.07.2024</v>
          </cell>
          <cell r="C72">
            <v>3000</v>
          </cell>
        </row>
        <row r="73">
          <cell r="A73" t="str">
            <v>СПАО Ингосстрах</v>
          </cell>
          <cell r="B73" t="str">
            <v>31.07.2024</v>
          </cell>
          <cell r="C73">
            <v>486300</v>
          </cell>
        </row>
        <row r="74">
          <cell r="A74" t="str">
            <v>СРАВНИ.РУ ООО</v>
          </cell>
          <cell r="B74" t="str">
            <v>31.07.2024</v>
          </cell>
          <cell r="C74">
            <v>84075</v>
          </cell>
        </row>
        <row r="75">
          <cell r="A75" t="str">
            <v>ТЕХНОНИКОЛЬ-СТРОИТЕЛЬНЫЕ СИСТЕМЫ ООО</v>
          </cell>
          <cell r="B75" t="str">
            <v>31.07.2024</v>
          </cell>
          <cell r="C75">
            <v>127800</v>
          </cell>
        </row>
        <row r="76">
          <cell r="A76" t="str">
            <v>ФГБУК "Государственный академический Большой театр России"</v>
          </cell>
          <cell r="B76" t="str">
            <v>31.07.2024</v>
          </cell>
          <cell r="C76">
            <v>20125</v>
          </cell>
        </row>
        <row r="77">
          <cell r="A77" t="str">
            <v>ФЕРСТ ДАТА ООО</v>
          </cell>
          <cell r="B77" t="str">
            <v>31.07.2024</v>
          </cell>
          <cell r="C77">
            <v>208000</v>
          </cell>
        </row>
        <row r="78">
          <cell r="A78" t="str">
            <v>Х21 ООО</v>
          </cell>
          <cell r="B78" t="str">
            <v>31.07.2024</v>
          </cell>
          <cell r="C78">
            <v>77800</v>
          </cell>
        </row>
        <row r="79">
          <cell r="A79" t="str">
            <v>ХАНТФЛОУ ООО</v>
          </cell>
          <cell r="B79" t="str">
            <v>31.07.2024</v>
          </cell>
          <cell r="C79">
            <v>6500</v>
          </cell>
        </row>
        <row r="80">
          <cell r="A80" t="str">
            <v>ЭСПЕРАНС ООО</v>
          </cell>
          <cell r="B80" t="str">
            <v>17.07.2024</v>
          </cell>
          <cell r="C80">
            <v>18000</v>
          </cell>
        </row>
        <row r="81">
          <cell r="A81" t="str">
            <v>ЮНИСЕНДЕР СМАРТ ООО</v>
          </cell>
          <cell r="B81" t="str">
            <v>08.07.2024</v>
          </cell>
          <cell r="C81">
            <v>273010.40000000002</v>
          </cell>
        </row>
        <row r="82">
          <cell r="A82" t="str">
            <v>ЯНДЕКС МУЗЫКА ООО</v>
          </cell>
          <cell r="B82" t="str">
            <v>31.07.2024</v>
          </cell>
          <cell r="C82">
            <v>276000</v>
          </cell>
        </row>
        <row r="83">
          <cell r="C83">
            <v>12013139.090000002</v>
          </cell>
        </row>
        <row r="84">
          <cell r="C84" t="str">
            <v>12 356 907,09</v>
          </cell>
        </row>
        <row r="85">
          <cell r="C85">
            <v>343767.99999999814</v>
          </cell>
        </row>
        <row r="87">
          <cell r="C87" t="str">
            <v xml:space="preserve"> </v>
          </cell>
        </row>
        <row r="88">
          <cell r="C88" t="str">
            <v>——————————</v>
          </cell>
        </row>
        <row r="89">
          <cell r="C89" t="str">
            <v>(подпись)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_1"/>
    </sheetNames>
    <sheetDataSet>
      <sheetData sheetId="0">
        <row r="1">
          <cell r="A1" t="str">
            <v>Информация</v>
          </cell>
          <cell r="B1" t="str">
            <v>Сумма</v>
          </cell>
          <cell r="C1" t="str">
            <v>Валюта</v>
          </cell>
        </row>
        <row r="2">
          <cell r="A2" t="str">
            <v>1-Й КРАСНОГВАРДЕЙСКИЙ ООО СЗ</v>
          </cell>
          <cell r="B2">
            <v>41200</v>
          </cell>
          <cell r="C2" t="str">
            <v>руб.</v>
          </cell>
        </row>
        <row r="3">
          <cell r="A3" t="str">
            <v>WRF</v>
          </cell>
          <cell r="B3">
            <v>124220.2</v>
          </cell>
          <cell r="C3" t="str">
            <v>руб.</v>
          </cell>
        </row>
        <row r="4">
          <cell r="A4" t="str">
            <v>АО ЦВ ПРОТЕК</v>
          </cell>
          <cell r="B4">
            <v>99309</v>
          </cell>
          <cell r="C4" t="str">
            <v>руб.</v>
          </cell>
        </row>
        <row r="5">
          <cell r="A5" t="str">
            <v>Арентов Артём Вячеславович ИП</v>
          </cell>
          <cell r="B5">
            <v>1500</v>
          </cell>
          <cell r="C5" t="str">
            <v>руб.</v>
          </cell>
        </row>
        <row r="6">
          <cell r="A6" t="str">
            <v>АРТИС 21 ООО</v>
          </cell>
          <cell r="B6">
            <v>75470</v>
          </cell>
          <cell r="C6" t="str">
            <v>руб.</v>
          </cell>
        </row>
        <row r="7">
          <cell r="A7" t="str">
            <v>БЛОЧНЫЙ РЕДАКТОР ООО</v>
          </cell>
          <cell r="B7">
            <v>193050</v>
          </cell>
          <cell r="C7" t="str">
            <v>руб.</v>
          </cell>
        </row>
        <row r="8">
          <cell r="A8" t="str">
            <v>БОРИСХОФ ХОЛДИНГ ООО</v>
          </cell>
          <cell r="B8">
            <v>127500</v>
          </cell>
          <cell r="C8" t="str">
            <v>руб.</v>
          </cell>
        </row>
        <row r="9">
          <cell r="A9" t="str">
            <v>БРОНИРОВАНИЕ ГОСТИНИЦ ООО</v>
          </cell>
          <cell r="B9">
            <v>383860</v>
          </cell>
          <cell r="C9" t="str">
            <v>руб.</v>
          </cell>
        </row>
        <row r="10">
          <cell r="A10" t="str">
            <v>БУРГЕР РУС ООО</v>
          </cell>
          <cell r="B10">
            <v>140300</v>
          </cell>
          <cell r="C10" t="str">
            <v>руб.</v>
          </cell>
        </row>
        <row r="11">
          <cell r="A11" t="str">
            <v>В-ИМПОРТ ООО</v>
          </cell>
          <cell r="B11">
            <v>7000</v>
          </cell>
          <cell r="C11" t="str">
            <v>руб.</v>
          </cell>
        </row>
        <row r="12">
          <cell r="A12" t="str">
            <v>ГК СБСВ-КЛЮЧАВТО ООО</v>
          </cell>
          <cell r="B12">
            <v>134547</v>
          </cell>
          <cell r="C12" t="str">
            <v>руб.</v>
          </cell>
        </row>
        <row r="13">
          <cell r="A13" t="str">
            <v>ГОРОДСКОЙ СУПЕРМАРКЕТ ООО</v>
          </cell>
          <cell r="B13">
            <v>69000</v>
          </cell>
          <cell r="C13" t="str">
            <v>руб.</v>
          </cell>
        </row>
        <row r="14">
          <cell r="A14" t="str">
            <v>ГУЛЛИВЕР ОНЛАЙН ООО</v>
          </cell>
          <cell r="B14">
            <v>8000</v>
          </cell>
          <cell r="C14" t="str">
            <v>руб.</v>
          </cell>
        </row>
        <row r="15">
          <cell r="A15" t="str">
            <v>ДЖ.Т.И. РОССИЯ ООО</v>
          </cell>
          <cell r="B15">
            <v>383210</v>
          </cell>
          <cell r="C15" t="str">
            <v>руб.</v>
          </cell>
        </row>
        <row r="16">
          <cell r="A16" t="str">
            <v>Динаев Осман Русланович</v>
          </cell>
          <cell r="B16">
            <v>32824</v>
          </cell>
          <cell r="C16" t="str">
            <v>руб.</v>
          </cell>
        </row>
        <row r="17">
          <cell r="A17" t="str">
            <v>ДИОНА ООО</v>
          </cell>
          <cell r="B17">
            <v>80850</v>
          </cell>
          <cell r="C17" t="str">
            <v>руб.</v>
          </cell>
        </row>
        <row r="18">
          <cell r="A18" t="str">
            <v>ЕАПТЕКА ООО</v>
          </cell>
          <cell r="B18">
            <v>34355</v>
          </cell>
          <cell r="C18" t="str">
            <v>руб.</v>
          </cell>
        </row>
        <row r="19">
          <cell r="A19" t="str">
            <v>ЕВРОПА ООО</v>
          </cell>
          <cell r="B19">
            <v>121500</v>
          </cell>
          <cell r="C19" t="str">
            <v>руб.</v>
          </cell>
        </row>
        <row r="20">
          <cell r="A20" t="str">
            <v>ИЛЬВЕС МАРИНА ВИТАЛЬЕВНА ИП</v>
          </cell>
          <cell r="B20">
            <v>6500</v>
          </cell>
          <cell r="C20" t="str">
            <v>руб.</v>
          </cell>
        </row>
        <row r="21">
          <cell r="A21" t="str">
            <v>ИМПУЛЬС ООО</v>
          </cell>
          <cell r="B21">
            <v>389900</v>
          </cell>
          <cell r="C21" t="str">
            <v>руб.</v>
          </cell>
        </row>
        <row r="22">
          <cell r="A22" t="str">
            <v>ИНТЕРНЕТ-МАГАЗИН МАРМАЛАТО ООО</v>
          </cell>
          <cell r="B22">
            <v>11500</v>
          </cell>
          <cell r="C22" t="str">
            <v>руб.</v>
          </cell>
        </row>
        <row r="23">
          <cell r="A23" t="str">
            <v>ИНФОРМАЦИОННОЕ АГЕНТСТВО ИНТЕРФАКС АО</v>
          </cell>
          <cell r="B23">
            <v>19853</v>
          </cell>
          <cell r="C23" t="str">
            <v>руб.</v>
          </cell>
        </row>
        <row r="24">
          <cell r="A24" t="str">
            <v>КАЗАНЬ РЕАЛ ЭСТЕЙТ ООО</v>
          </cell>
          <cell r="B24">
            <v>666208</v>
          </cell>
          <cell r="C24" t="str">
            <v>руб.</v>
          </cell>
        </row>
        <row r="25">
          <cell r="A25" t="str">
            <v>КАРШЕРИНГ РУССИЯ ПАО</v>
          </cell>
          <cell r="B25">
            <v>224075</v>
          </cell>
          <cell r="C25" t="str">
            <v>руб.</v>
          </cell>
        </row>
        <row r="26">
          <cell r="A26" t="str">
            <v>КИНЕТИКА ООО</v>
          </cell>
          <cell r="B26">
            <v>27500</v>
          </cell>
          <cell r="C26" t="str">
            <v>руб.</v>
          </cell>
        </row>
        <row r="27">
          <cell r="A27" t="str">
            <v>КИНОПОИСК ООО</v>
          </cell>
          <cell r="B27">
            <v>261100</v>
          </cell>
          <cell r="C27" t="str">
            <v>руб.</v>
          </cell>
        </row>
        <row r="28">
          <cell r="A28" t="str">
            <v>КОЛЕСА ДАРОМ.РУ ООО</v>
          </cell>
          <cell r="B28">
            <v>300000</v>
          </cell>
          <cell r="C28" t="str">
            <v>руб.</v>
          </cell>
        </row>
        <row r="29">
          <cell r="A29" t="str">
            <v>КОЛЛТРЕКИНГ ООО</v>
          </cell>
          <cell r="B29">
            <v>15300</v>
          </cell>
          <cell r="C29" t="str">
            <v>руб.</v>
          </cell>
        </row>
        <row r="30">
          <cell r="A30" t="str">
            <v>КОНДИТЕРСКАЯ ФАБРИКА ПОБЕДА ООО</v>
          </cell>
          <cell r="B30">
            <v>114875</v>
          </cell>
          <cell r="C30" t="str">
            <v>руб.</v>
          </cell>
        </row>
        <row r="31">
          <cell r="A31" t="str">
            <v>КРАСНАЯ ПОЛЯНА НАО</v>
          </cell>
          <cell r="B31">
            <v>106009</v>
          </cell>
          <cell r="C31" t="str">
            <v>руб.</v>
          </cell>
        </row>
        <row r="32">
          <cell r="A32" t="str">
            <v>Л`ОРЕАЛЬ АО</v>
          </cell>
          <cell r="B32">
            <v>42777</v>
          </cell>
          <cell r="C32" t="str">
            <v>руб.</v>
          </cell>
        </row>
        <row r="33">
          <cell r="A33" t="str">
            <v>ЛАРТА ГЛАСС ООО</v>
          </cell>
          <cell r="B33">
            <v>7880</v>
          </cell>
          <cell r="C33" t="str">
            <v>руб.</v>
          </cell>
        </row>
        <row r="34">
          <cell r="A34" t="str">
            <v>ЛЕНТА ООО</v>
          </cell>
          <cell r="B34">
            <v>653360</v>
          </cell>
          <cell r="C34" t="str">
            <v>руб.</v>
          </cell>
        </row>
        <row r="35">
          <cell r="A35" t="str">
            <v>Майндбокс ООО</v>
          </cell>
          <cell r="B35">
            <v>277020.77</v>
          </cell>
          <cell r="C35" t="str">
            <v>руб.</v>
          </cell>
        </row>
        <row r="36">
          <cell r="A36" t="str">
            <v>МАРС ООО</v>
          </cell>
          <cell r="B36">
            <v>512415</v>
          </cell>
          <cell r="C36" t="str">
            <v>руб.</v>
          </cell>
        </row>
        <row r="37">
          <cell r="A37" t="str">
            <v>МАСХ АНО ДПО</v>
          </cell>
          <cell r="B37">
            <v>1500</v>
          </cell>
          <cell r="C37" t="str">
            <v>руб.</v>
          </cell>
        </row>
        <row r="38">
          <cell r="A38" t="str">
            <v>МЕТРО КЭШ ЭНД КЕРРИ ООО</v>
          </cell>
          <cell r="B38">
            <v>159230</v>
          </cell>
          <cell r="C38" t="str">
            <v>руб.</v>
          </cell>
        </row>
        <row r="39">
          <cell r="A39" t="str">
            <v>МОБИЛЬНАЯ КАРТА ООО НКО</v>
          </cell>
          <cell r="B39">
            <v>62082</v>
          </cell>
          <cell r="C39" t="str">
            <v>руб.</v>
          </cell>
        </row>
        <row r="40">
          <cell r="A40" t="str">
            <v>ОККАМ ИКС ООО</v>
          </cell>
          <cell r="B40">
            <v>59050</v>
          </cell>
          <cell r="C40" t="str">
            <v>руб.</v>
          </cell>
        </row>
        <row r="41">
          <cell r="A41" t="str">
            <v>ООО «СПАДРИМ»</v>
          </cell>
          <cell r="B41">
            <v>126000</v>
          </cell>
          <cell r="C41" t="str">
            <v>руб.</v>
          </cell>
        </row>
        <row r="42">
          <cell r="A42" t="str">
            <v>ПЕТРОВАКС ФАРМ ООО</v>
          </cell>
          <cell r="B42">
            <v>279932</v>
          </cell>
          <cell r="C42" t="str">
            <v>руб.</v>
          </cell>
        </row>
        <row r="43">
          <cell r="A43" t="str">
            <v>ПОЙДЁМ! АО КБ</v>
          </cell>
          <cell r="B43">
            <v>350300</v>
          </cell>
          <cell r="C43" t="str">
            <v>руб.</v>
          </cell>
        </row>
        <row r="44">
          <cell r="A44" t="str">
            <v>ПРЕМИУМ ЭСТЕЙТ ООО</v>
          </cell>
          <cell r="B44">
            <v>518135</v>
          </cell>
          <cell r="C44" t="str">
            <v>руб.</v>
          </cell>
        </row>
        <row r="45">
          <cell r="A45" t="str">
            <v>РОКВУЛ ООО</v>
          </cell>
          <cell r="B45">
            <v>22880</v>
          </cell>
          <cell r="C45" t="str">
            <v>руб.</v>
          </cell>
        </row>
        <row r="46">
          <cell r="A46" t="str">
            <v>РСИЦ АО</v>
          </cell>
          <cell r="B46">
            <v>282000</v>
          </cell>
          <cell r="C46" t="str">
            <v>руб.</v>
          </cell>
        </row>
        <row r="47">
          <cell r="A47" t="str">
            <v>РУСКАН АО</v>
          </cell>
          <cell r="B47">
            <v>205404</v>
          </cell>
          <cell r="C47" t="str">
            <v>руб.</v>
          </cell>
        </row>
        <row r="48">
          <cell r="A48" t="str">
            <v>РУТА АО</v>
          </cell>
          <cell r="B48">
            <v>168300</v>
          </cell>
          <cell r="C48" t="str">
            <v>руб.</v>
          </cell>
        </row>
        <row r="49">
          <cell r="A49" t="str">
            <v>САМОЛЕТ-НЕДВИЖИМОСТЬ МСК ООО</v>
          </cell>
          <cell r="B49">
            <v>519600</v>
          </cell>
          <cell r="C49" t="str">
            <v>руб.</v>
          </cell>
        </row>
        <row r="50">
          <cell r="A50" t="str">
            <v>СБЕРМАРКЕТ</v>
          </cell>
          <cell r="B50">
            <v>576280</v>
          </cell>
          <cell r="C50" t="str">
            <v>руб.</v>
          </cell>
        </row>
        <row r="51">
          <cell r="A51" t="str">
            <v>СЕРВЬЕ АО</v>
          </cell>
          <cell r="B51">
            <v>388116.99</v>
          </cell>
          <cell r="C51" t="str">
            <v>руб.</v>
          </cell>
        </row>
        <row r="52">
          <cell r="A52" t="str">
            <v>СЗ БИЗНЕС ПАРК ОСТАНКИНО ООО</v>
          </cell>
          <cell r="B52">
            <v>25900</v>
          </cell>
          <cell r="C52" t="str">
            <v>руб.</v>
          </cell>
        </row>
        <row r="53">
          <cell r="A53" t="str">
            <v>СЗ ЛАЙФ ПАВЕЛЕЦКАЯ АО</v>
          </cell>
          <cell r="B53">
            <v>85500</v>
          </cell>
          <cell r="C53" t="str">
            <v>руб.</v>
          </cell>
        </row>
        <row r="54">
          <cell r="A54" t="str">
            <v>СЗ ПИОНЕР-1 ООО</v>
          </cell>
          <cell r="B54">
            <v>38700</v>
          </cell>
          <cell r="C54" t="str">
            <v>руб.</v>
          </cell>
        </row>
        <row r="55">
          <cell r="A55" t="str">
            <v>СЗ ШИФТ ООО</v>
          </cell>
          <cell r="B55">
            <v>31300</v>
          </cell>
          <cell r="C55" t="str">
            <v>руб.</v>
          </cell>
        </row>
        <row r="56">
          <cell r="A56" t="str">
            <v>СПАО Ингосстрах</v>
          </cell>
          <cell r="B56">
            <v>503810</v>
          </cell>
          <cell r="C56" t="str">
            <v>руб.</v>
          </cell>
        </row>
        <row r="57">
          <cell r="A57" t="str">
            <v>ТЕХНОНИКОЛЬ-СТРОИТЕЛЬНЫЕ СИСТЕМЫ ООО</v>
          </cell>
          <cell r="B57">
            <v>126450</v>
          </cell>
          <cell r="C57" t="str">
            <v>руб.</v>
          </cell>
        </row>
        <row r="58">
          <cell r="A58" t="str">
            <v>ТК КОУЗИ ХОУМ ООО</v>
          </cell>
          <cell r="B58">
            <v>100000</v>
          </cell>
          <cell r="C58" t="str">
            <v>руб.</v>
          </cell>
        </row>
        <row r="59">
          <cell r="A59" t="str">
            <v>ТРЭЙДМАТИК ООО</v>
          </cell>
          <cell r="B59">
            <v>16650</v>
          </cell>
          <cell r="C59" t="str">
            <v>руб.</v>
          </cell>
        </row>
        <row r="60">
          <cell r="A60" t="str">
            <v>ФГБУК "Государственный академический Большой театр России"</v>
          </cell>
          <cell r="B60">
            <v>17250</v>
          </cell>
          <cell r="C60" t="str">
            <v>руб.</v>
          </cell>
        </row>
        <row r="61">
          <cell r="A61" t="str">
            <v>ФЕДЕРАЛЬНЫЙ ЦЕНТР КОМПЕТЕНЦИЙ</v>
          </cell>
          <cell r="B61">
            <v>120000</v>
          </cell>
          <cell r="C61" t="str">
            <v>руб.</v>
          </cell>
        </row>
        <row r="62">
          <cell r="A62" t="str">
            <v>ФЕРСТ ДАТА ООО</v>
          </cell>
          <cell r="B62">
            <v>230050</v>
          </cell>
          <cell r="C62" t="str">
            <v>руб.</v>
          </cell>
        </row>
        <row r="63">
          <cell r="A63" t="str">
            <v>ХАНТФЛОУ ООО</v>
          </cell>
          <cell r="B63">
            <v>6500</v>
          </cell>
          <cell r="C63" t="str">
            <v>руб.</v>
          </cell>
        </row>
        <row r="64">
          <cell r="A64" t="str">
            <v>ЭВОКОМ ООО</v>
          </cell>
          <cell r="B64">
            <v>91000</v>
          </cell>
          <cell r="C64" t="str">
            <v>руб.</v>
          </cell>
        </row>
        <row r="65">
          <cell r="A65" t="str">
            <v>Ю-КОНСАЛТ ООО</v>
          </cell>
          <cell r="B65">
            <v>5076</v>
          </cell>
          <cell r="C65" t="str">
            <v>руб.</v>
          </cell>
        </row>
        <row r="66">
          <cell r="A66" t="str">
            <v>ЮМАНИ ООО НКО</v>
          </cell>
          <cell r="B66">
            <v>2895</v>
          </cell>
          <cell r="C66" t="str">
            <v>руб.</v>
          </cell>
        </row>
        <row r="67">
          <cell r="A67" t="str">
            <v>ЮНИСЕНДЕР СМАРТ ООО</v>
          </cell>
          <cell r="B67">
            <v>848895.52</v>
          </cell>
          <cell r="C67" t="str">
            <v>руб.</v>
          </cell>
        </row>
        <row r="68">
          <cell r="A68" t="str">
            <v>ЯНДЕКС МУЗЫКА ООО</v>
          </cell>
          <cell r="B68">
            <v>227700</v>
          </cell>
          <cell r="C68" t="str">
            <v>руб.</v>
          </cell>
        </row>
        <row r="69">
          <cell r="B69">
            <v>11890454.48</v>
          </cell>
          <cell r="C69" t="str">
            <v>руб.</v>
          </cell>
        </row>
        <row r="72">
          <cell r="B72" t="str">
            <v xml:space="preserve"> </v>
          </cell>
          <cell r="C72" t="str">
            <v>Пискунова Н. К.</v>
          </cell>
        </row>
        <row r="73">
          <cell r="B73" t="str">
            <v>——————————</v>
          </cell>
          <cell r="C73" t="str">
            <v>———————————</v>
          </cell>
        </row>
        <row r="74">
          <cell r="B74" t="str">
            <v>(подпись)</v>
          </cell>
          <cell r="C74" t="str">
            <v>(расшифровка подписи)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_1"/>
    </sheetNames>
    <sheetDataSet>
      <sheetData sheetId="0">
        <row r="2">
          <cell r="A2" t="str">
            <v>1-Й КРАСНОГВАРДЕЙСКИЙ ООО СЗ</v>
          </cell>
          <cell r="B2" t="str">
            <v>30.09.2024</v>
          </cell>
          <cell r="C2" t="str">
            <v>Реализация (акты, накладные, УПД)</v>
          </cell>
          <cell r="D2" t="str">
            <v>1430</v>
          </cell>
          <cell r="E2">
            <v>41200</v>
          </cell>
        </row>
        <row r="3">
          <cell r="A3" t="str">
            <v>АО ЦВ ПРОТЕК</v>
          </cell>
          <cell r="B3" t="str">
            <v>30.09.2024</v>
          </cell>
          <cell r="C3" t="str">
            <v>Реализация (акты, накладные, УПД)</v>
          </cell>
          <cell r="D3" t="str">
            <v>1438</v>
          </cell>
          <cell r="E3">
            <v>82761</v>
          </cell>
        </row>
        <row r="4">
          <cell r="A4" t="str">
            <v>Арентов Артём Вячеславович ИП</v>
          </cell>
          <cell r="B4" t="str">
            <v>23.09.2024</v>
          </cell>
          <cell r="C4" t="str">
            <v>Реализация (акты, накладные, УПД)</v>
          </cell>
          <cell r="D4" t="str">
            <v>1427</v>
          </cell>
          <cell r="E4">
            <v>1500</v>
          </cell>
        </row>
        <row r="5">
          <cell r="A5" t="str">
            <v>АРТИС 21 ООО</v>
          </cell>
          <cell r="B5" t="str">
            <v>30.09.2024</v>
          </cell>
          <cell r="C5" t="str">
            <v>Реализация (акты, накладные, УПД)</v>
          </cell>
          <cell r="D5" t="str">
            <v>1456</v>
          </cell>
          <cell r="E5">
            <v>11500</v>
          </cell>
        </row>
        <row r="6">
          <cell r="A6" t="str">
            <v>АРТИС 21 ООО</v>
          </cell>
          <cell r="B6" t="str">
            <v>30.09.2024</v>
          </cell>
          <cell r="C6" t="str">
            <v>Реализация (акты, накладные, УПД)</v>
          </cell>
          <cell r="D6" t="str">
            <v>1457</v>
          </cell>
          <cell r="E6">
            <v>75470</v>
          </cell>
        </row>
        <row r="7">
          <cell r="A7" t="str">
            <v>БЛОЧНЫЙ РЕДАКТОР ООО</v>
          </cell>
          <cell r="B7" t="str">
            <v>30.09.2024</v>
          </cell>
          <cell r="C7" t="str">
            <v>Реализация (акты, накладные, УПД)</v>
          </cell>
          <cell r="D7" t="str">
            <v>1488</v>
          </cell>
          <cell r="E7">
            <v>196560</v>
          </cell>
        </row>
        <row r="8">
          <cell r="A8" t="str">
            <v>БОРИСХОФ ХОЛДИНГ ООО</v>
          </cell>
          <cell r="B8" t="str">
            <v>30.09.2024</v>
          </cell>
          <cell r="C8" t="str">
            <v>Реализация (акты, накладные, УПД)</v>
          </cell>
          <cell r="D8" t="str">
            <v>1490</v>
          </cell>
          <cell r="E8">
            <v>99400</v>
          </cell>
        </row>
        <row r="9">
          <cell r="A9" t="str">
            <v>БРОНИРОВАНИЕ ГОСТИНИЦ ООО</v>
          </cell>
          <cell r="B9" t="str">
            <v>30.09.2024</v>
          </cell>
          <cell r="C9" t="str">
            <v>Реализация (акты, накладные, УПД)</v>
          </cell>
          <cell r="D9" t="str">
            <v>1491</v>
          </cell>
          <cell r="E9">
            <v>313780</v>
          </cell>
        </row>
        <row r="10">
          <cell r="A10" t="str">
            <v>БУРГЕР РУС ООО</v>
          </cell>
          <cell r="B10" t="str">
            <v>30.09.2024</v>
          </cell>
          <cell r="C10" t="str">
            <v>Реализация (акты, накладные, УПД)</v>
          </cell>
          <cell r="D10" t="str">
            <v>1504</v>
          </cell>
          <cell r="E10">
            <v>149800</v>
          </cell>
        </row>
        <row r="11">
          <cell r="A11" t="str">
            <v>В-ИМПОРТ ООО</v>
          </cell>
          <cell r="B11" t="str">
            <v>10.09.2024</v>
          </cell>
          <cell r="C11" t="str">
            <v>Реализация (акты, накладные, УПД)</v>
          </cell>
          <cell r="D11" t="str">
            <v>1392</v>
          </cell>
          <cell r="E11">
            <v>6500</v>
          </cell>
        </row>
        <row r="12">
          <cell r="A12" t="str">
            <v>ГК СБСВ-КЛЮЧАВТО ООО</v>
          </cell>
          <cell r="B12" t="str">
            <v>30.09.2024</v>
          </cell>
          <cell r="C12" t="str">
            <v>Реализация (акты, накладные, УПД)</v>
          </cell>
          <cell r="D12" t="str">
            <v>1502</v>
          </cell>
          <cell r="E12">
            <v>155610</v>
          </cell>
        </row>
        <row r="13">
          <cell r="A13" t="str">
            <v>ГОРОДСКОЙ СУПЕРМАРКЕТ ООО</v>
          </cell>
          <cell r="B13" t="str">
            <v>27.09.2024</v>
          </cell>
          <cell r="C13" t="str">
            <v>Реализация (акты, накладные, УПД)</v>
          </cell>
          <cell r="D13" t="str">
            <v>1443</v>
          </cell>
          <cell r="E13">
            <v>145300</v>
          </cell>
        </row>
        <row r="14">
          <cell r="A14" t="str">
            <v>ГУЛЛИВЕР ОНЛАЙН ООО</v>
          </cell>
          <cell r="B14" t="str">
            <v>30.09.2024</v>
          </cell>
          <cell r="C14" t="str">
            <v>Реализация (акты, накладные, УПД)</v>
          </cell>
          <cell r="D14" t="str">
            <v>1458</v>
          </cell>
          <cell r="E14">
            <v>8000</v>
          </cell>
        </row>
        <row r="15">
          <cell r="A15" t="str">
            <v>ДЖ.Т.И. РОССИЯ ООО</v>
          </cell>
          <cell r="B15" t="str">
            <v>30.09.2024</v>
          </cell>
          <cell r="C15" t="str">
            <v>Реализация (акты, накладные, УПД)</v>
          </cell>
          <cell r="D15" t="str">
            <v>1530</v>
          </cell>
          <cell r="E15">
            <v>350594</v>
          </cell>
        </row>
        <row r="16">
          <cell r="A16" t="str">
            <v>Динаев Осман Русланович</v>
          </cell>
          <cell r="B16" t="str">
            <v>30.09.2024</v>
          </cell>
          <cell r="C16" t="str">
            <v>Реализация (акты, накладные, УПД)</v>
          </cell>
          <cell r="D16" t="str">
            <v>1450</v>
          </cell>
          <cell r="E16">
            <v>10417</v>
          </cell>
        </row>
        <row r="17">
          <cell r="A17" t="str">
            <v>ДИОНА ООО</v>
          </cell>
          <cell r="B17" t="str">
            <v>30.09.2024</v>
          </cell>
          <cell r="C17" t="str">
            <v>Реализация (акты, накладные, УПД)</v>
          </cell>
          <cell r="D17" t="str">
            <v>1492</v>
          </cell>
          <cell r="E17">
            <v>79950</v>
          </cell>
        </row>
        <row r="18">
          <cell r="A18" t="str">
            <v>ЕВРОПА ООО</v>
          </cell>
          <cell r="B18" t="str">
            <v>30.09.2024</v>
          </cell>
          <cell r="C18" t="str">
            <v>Реализация (акты, накладные, УПД)</v>
          </cell>
          <cell r="D18" t="str">
            <v>1493</v>
          </cell>
          <cell r="E18">
            <v>167700</v>
          </cell>
        </row>
        <row r="19">
          <cell r="A19" t="str">
            <v>ИЛЬВЕС МАРИНА ВИТАЛЬЕВНА ИП</v>
          </cell>
          <cell r="B19" t="str">
            <v>19.09.2024</v>
          </cell>
          <cell r="C19" t="str">
            <v>Реализация (акты, накладные, УПД)</v>
          </cell>
          <cell r="D19" t="str">
            <v>1424</v>
          </cell>
          <cell r="E19">
            <v>6500</v>
          </cell>
        </row>
        <row r="20">
          <cell r="A20" t="str">
            <v>ИМПУЛЬС ООО</v>
          </cell>
          <cell r="B20" t="str">
            <v>30.09.2024</v>
          </cell>
          <cell r="C20" t="str">
            <v>Реализация (акты, накладные, УПД)</v>
          </cell>
          <cell r="D20" t="str">
            <v>1441</v>
          </cell>
          <cell r="E20">
            <v>436750</v>
          </cell>
        </row>
        <row r="21">
          <cell r="A21" t="str">
            <v>ИНСТАМАРТ СЕРВИС ООО</v>
          </cell>
          <cell r="B21" t="str">
            <v>30.09.2024</v>
          </cell>
          <cell r="C21" t="str">
            <v>Реализация (акты, накладные, УПД)</v>
          </cell>
          <cell r="D21" t="str">
            <v>1519</v>
          </cell>
          <cell r="E21">
            <v>689110</v>
          </cell>
        </row>
        <row r="22">
          <cell r="A22" t="str">
            <v>ИНТЕРНЕТ-МАГАЗИН МАРМАЛАТО ООО</v>
          </cell>
          <cell r="B22" t="str">
            <v>23.09.2024</v>
          </cell>
          <cell r="C22" t="str">
            <v>Реализация (акты, накладные, УПД)</v>
          </cell>
          <cell r="D22" t="str">
            <v>1428</v>
          </cell>
          <cell r="E22">
            <v>11500</v>
          </cell>
        </row>
        <row r="23">
          <cell r="A23" t="str">
            <v>ИНФОРМАЦИОННОЕ АГЕНТСТВО ИНТЕРФАКС АО</v>
          </cell>
          <cell r="B23" t="str">
            <v>30.09.2024</v>
          </cell>
          <cell r="C23" t="str">
            <v>Реализация (акты, накладные, УПД)</v>
          </cell>
          <cell r="D23" t="str">
            <v>1453</v>
          </cell>
          <cell r="E23">
            <v>196308</v>
          </cell>
        </row>
        <row r="24">
          <cell r="A24" t="str">
            <v>КАЗАНЬ РЕАЛ ЭСТЕЙТ ООО</v>
          </cell>
          <cell r="B24" t="str">
            <v>30.09.2024</v>
          </cell>
          <cell r="C24" t="str">
            <v>Реализация (акты, накладные, УПД)</v>
          </cell>
          <cell r="D24" t="str">
            <v>1524</v>
          </cell>
          <cell r="E24">
            <v>28000</v>
          </cell>
        </row>
        <row r="25">
          <cell r="A25" t="str">
            <v>КАЗАНЬ РЕАЛ ЭСТЕЙТ ООО</v>
          </cell>
          <cell r="B25" t="str">
            <v>30.09.2024</v>
          </cell>
          <cell r="C25" t="str">
            <v>Реализация (акты, накладные, УПД)</v>
          </cell>
          <cell r="D25" t="str">
            <v>1526</v>
          </cell>
          <cell r="E25">
            <v>786979</v>
          </cell>
        </row>
        <row r="26">
          <cell r="A26" t="str">
            <v>КАПИТАЛ ГРУП МАРКЕТИНГ ООО</v>
          </cell>
          <cell r="B26" t="str">
            <v>30.09.2024</v>
          </cell>
          <cell r="C26" t="str">
            <v>Реализация (акты, накладные, УПД)</v>
          </cell>
          <cell r="D26" t="str">
            <v>1505</v>
          </cell>
          <cell r="E26">
            <v>121800</v>
          </cell>
        </row>
        <row r="27">
          <cell r="A27" t="str">
            <v>КАРШЕРИНГ РУССИЯ ПАО</v>
          </cell>
          <cell r="B27" t="str">
            <v>30.09.2024</v>
          </cell>
          <cell r="C27" t="str">
            <v>Реализация (акты, накладные, УПД)</v>
          </cell>
          <cell r="D27" t="str">
            <v>1497</v>
          </cell>
          <cell r="E27">
            <v>199650</v>
          </cell>
        </row>
        <row r="28">
          <cell r="A28" t="str">
            <v>КИНЕТИКА ООО</v>
          </cell>
          <cell r="B28" t="str">
            <v>02.09.2024</v>
          </cell>
          <cell r="C28" t="str">
            <v>Реализация (акты, накладные, УПД)</v>
          </cell>
          <cell r="D28" t="str">
            <v>1272</v>
          </cell>
          <cell r="E28">
            <v>52000</v>
          </cell>
        </row>
        <row r="29">
          <cell r="A29" t="str">
            <v>КИНОПОИСК ООО</v>
          </cell>
          <cell r="B29" t="str">
            <v>30.09.2024</v>
          </cell>
          <cell r="C29" t="str">
            <v>Реализация (акты, накладные, УПД)</v>
          </cell>
          <cell r="D29" t="str">
            <v>1540</v>
          </cell>
          <cell r="E29">
            <v>286300</v>
          </cell>
        </row>
        <row r="30">
          <cell r="A30" t="str">
            <v>КНАУФ ГИПС ООО</v>
          </cell>
          <cell r="B30" t="str">
            <v>30.09.2024</v>
          </cell>
          <cell r="C30" t="str">
            <v>Реализация (акты, накладные, УПД)</v>
          </cell>
          <cell r="D30" t="str">
            <v>1429</v>
          </cell>
          <cell r="E30">
            <v>17425</v>
          </cell>
        </row>
        <row r="31">
          <cell r="A31" t="str">
            <v>КОЛЕСА ДАРОМ.РУ ООО</v>
          </cell>
          <cell r="B31" t="str">
            <v>30.09.2024</v>
          </cell>
          <cell r="C31" t="str">
            <v>Реализация (акты, накладные, УПД)</v>
          </cell>
          <cell r="D31" t="str">
            <v>1529</v>
          </cell>
          <cell r="E31">
            <v>300000</v>
          </cell>
        </row>
        <row r="32">
          <cell r="A32" t="str">
            <v>КОЛЛТРЕКИНГ ООО</v>
          </cell>
          <cell r="B32" t="str">
            <v>30.09.2024</v>
          </cell>
          <cell r="C32" t="str">
            <v>Реализация (акты, накладные, УПД)</v>
          </cell>
          <cell r="D32" t="str">
            <v>1536</v>
          </cell>
          <cell r="E32">
            <v>45900</v>
          </cell>
        </row>
        <row r="33">
          <cell r="A33" t="str">
            <v>КОНДИТЕРСКАЯ ФАБРИКА ПОБЕДА ООО</v>
          </cell>
          <cell r="B33" t="str">
            <v>30.09.2024</v>
          </cell>
          <cell r="C33" t="str">
            <v>Реализация (акты, накладные, УПД)</v>
          </cell>
          <cell r="D33" t="str">
            <v>1494</v>
          </cell>
          <cell r="E33">
            <v>114875</v>
          </cell>
        </row>
        <row r="34">
          <cell r="A34" t="str">
            <v>КРАСНАЯ ПОЛЯНА НАО</v>
          </cell>
          <cell r="B34" t="str">
            <v>30.09.2024</v>
          </cell>
          <cell r="C34" t="str">
            <v>Реализация (акты, накладные, УПД)</v>
          </cell>
          <cell r="D34" t="str">
            <v>1517</v>
          </cell>
          <cell r="E34">
            <v>110198</v>
          </cell>
        </row>
        <row r="35">
          <cell r="A35" t="str">
            <v>Кривошеин Алексей Валерьевич</v>
          </cell>
          <cell r="B35" t="str">
            <v>02.09.2024</v>
          </cell>
          <cell r="C35" t="str">
            <v>Реализация (акты, накладные, УПД)</v>
          </cell>
          <cell r="D35" t="str">
            <v>1326</v>
          </cell>
          <cell r="E35">
            <v>45847.5</v>
          </cell>
        </row>
        <row r="36">
          <cell r="A36" t="str">
            <v>ЛЕНТА ООО</v>
          </cell>
          <cell r="B36" t="str">
            <v>30.09.2024</v>
          </cell>
          <cell r="C36" t="str">
            <v>Реализация (акты, накладные, УПД)</v>
          </cell>
          <cell r="D36" t="str">
            <v>1510</v>
          </cell>
          <cell r="E36">
            <v>410620</v>
          </cell>
        </row>
        <row r="37">
          <cell r="A37" t="str">
            <v>Л'ОРЕАЛЬ АО</v>
          </cell>
          <cell r="B37" t="str">
            <v>09.09.2024</v>
          </cell>
          <cell r="C37" t="str">
            <v>Реализация (акты, накладные, УПД)</v>
          </cell>
          <cell r="D37" t="str">
            <v>1394</v>
          </cell>
          <cell r="E37">
            <v>73411</v>
          </cell>
        </row>
        <row r="38">
          <cell r="A38" t="str">
            <v>Майндбокс ООО</v>
          </cell>
          <cell r="B38" t="str">
            <v>30.09.2024</v>
          </cell>
          <cell r="C38" t="str">
            <v>Реализация (акты, накладные, УПД)</v>
          </cell>
          <cell r="D38" t="str">
            <v>1444</v>
          </cell>
          <cell r="E38">
            <v>385285.32</v>
          </cell>
        </row>
        <row r="39">
          <cell r="A39" t="str">
            <v>МАРС ООО</v>
          </cell>
          <cell r="B39" t="str">
            <v>30.09.2024</v>
          </cell>
          <cell r="C39" t="str">
            <v>Реализация (акты, накладные, УПД)</v>
          </cell>
          <cell r="D39" t="str">
            <v>1534</v>
          </cell>
          <cell r="E39">
            <v>1020950</v>
          </cell>
        </row>
        <row r="40">
          <cell r="A40" t="str">
            <v>МЕТРО КЭШ ЭНД КЕРРИ ООО</v>
          </cell>
          <cell r="B40" t="str">
            <v>30.09.2024</v>
          </cell>
          <cell r="C40" t="str">
            <v>Реализация (акты, накладные, УПД)</v>
          </cell>
          <cell r="D40" t="str">
            <v>1532</v>
          </cell>
          <cell r="E40">
            <v>170326</v>
          </cell>
        </row>
        <row r="41">
          <cell r="A41" t="str">
            <v>Мыздриков Андрей Андреевич</v>
          </cell>
          <cell r="B41" t="str">
            <v>04.09.2024</v>
          </cell>
          <cell r="C41" t="str">
            <v>Реализация (акты, накладные, УПД)</v>
          </cell>
          <cell r="D41" t="str">
            <v>1349</v>
          </cell>
          <cell r="E41">
            <v>10800</v>
          </cell>
        </row>
        <row r="42">
          <cell r="A42" t="str">
            <v>ОККАМ ИКС ООО</v>
          </cell>
          <cell r="B42" t="str">
            <v>30.09.2024</v>
          </cell>
          <cell r="C42" t="str">
            <v>Реализация (акты, накладные, УПД)</v>
          </cell>
          <cell r="D42" t="str">
            <v>1501</v>
          </cell>
          <cell r="E42">
            <v>59050</v>
          </cell>
        </row>
        <row r="43">
          <cell r="A43" t="str">
            <v>ООО «ДЖИЭФЭН КЛАУД ИНТЕРНЕТ СЕРВИСИС»</v>
          </cell>
          <cell r="B43" t="str">
            <v>30.09.2024</v>
          </cell>
          <cell r="C43" t="str">
            <v>Реализация (акты, накладные, УПД)</v>
          </cell>
          <cell r="D43" t="str">
            <v>1533</v>
          </cell>
          <cell r="E43">
            <v>1260</v>
          </cell>
        </row>
        <row r="44">
          <cell r="A44" t="str">
            <v>ООО «СПАДРИМ»</v>
          </cell>
          <cell r="B44" t="str">
            <v>30.09.2024</v>
          </cell>
          <cell r="C44" t="str">
            <v>Реализация (акты, накладные, УПД)</v>
          </cell>
          <cell r="D44" t="str">
            <v>1515</v>
          </cell>
          <cell r="E44">
            <v>153050</v>
          </cell>
        </row>
        <row r="45">
          <cell r="A45" t="str">
            <v>ПАВЛИКОВА ОЛЬГА ИВАНОВНА ИП</v>
          </cell>
          <cell r="B45" t="str">
            <v>30.09.2024</v>
          </cell>
          <cell r="C45" t="str">
            <v>Реализация (акты, накладные, УПД)</v>
          </cell>
          <cell r="D45" t="str">
            <v>1455</v>
          </cell>
          <cell r="E45">
            <v>3500</v>
          </cell>
        </row>
        <row r="46">
          <cell r="A46" t="str">
            <v>ПЕТРОВАКС ФАРМ ООО</v>
          </cell>
          <cell r="B46" t="str">
            <v>30.09.2024</v>
          </cell>
          <cell r="C46" t="str">
            <v>Реализация (акты, накладные, УПД)</v>
          </cell>
          <cell r="D46" t="str">
            <v>1503</v>
          </cell>
          <cell r="E46">
            <v>446200</v>
          </cell>
        </row>
        <row r="47">
          <cell r="A47" t="str">
            <v>ПОЙДЁМ! АО КБ</v>
          </cell>
          <cell r="B47" t="str">
            <v>30.09.2024</v>
          </cell>
          <cell r="C47" t="str">
            <v>Реализация (акты, накладные, УПД)</v>
          </cell>
          <cell r="D47" t="str">
            <v>1452</v>
          </cell>
          <cell r="E47">
            <v>185350</v>
          </cell>
        </row>
        <row r="48">
          <cell r="A48" t="str">
            <v>ПРЕМИУМ ЭСТЕЙТ ООО</v>
          </cell>
          <cell r="B48" t="str">
            <v>30.09.2024</v>
          </cell>
          <cell r="C48" t="str">
            <v>Реализация (акты, накладные, УПД)</v>
          </cell>
          <cell r="D48" t="str">
            <v>1544</v>
          </cell>
          <cell r="E48">
            <v>539950</v>
          </cell>
        </row>
        <row r="49">
          <cell r="A49" t="str">
            <v>Публичное акционерное общество "ПИК - специализированный застройщик"</v>
          </cell>
          <cell r="B49" t="str">
            <v>30.09.2024</v>
          </cell>
          <cell r="C49" t="str">
            <v>Реализация (акты, накладные, УПД)</v>
          </cell>
          <cell r="D49" t="str">
            <v>1495</v>
          </cell>
          <cell r="E49">
            <v>64262</v>
          </cell>
        </row>
        <row r="50">
          <cell r="A50" t="str">
            <v>ПУЛЬС ООО СК</v>
          </cell>
          <cell r="B50" t="str">
            <v>30.09.2024</v>
          </cell>
          <cell r="C50" t="str">
            <v>Реализация (акты, накладные, УПД)</v>
          </cell>
          <cell r="D50" t="str">
            <v>1449</v>
          </cell>
          <cell r="E50">
            <v>105600</v>
          </cell>
        </row>
        <row r="51">
          <cell r="A51" t="str">
            <v>РОКВУЛ ООО</v>
          </cell>
          <cell r="B51" t="str">
            <v>30.09.2024</v>
          </cell>
          <cell r="C51" t="str">
            <v>Реализация (акты, накладные, УПД)</v>
          </cell>
          <cell r="D51" t="str">
            <v>1439</v>
          </cell>
          <cell r="E51">
            <v>40546</v>
          </cell>
        </row>
        <row r="52">
          <cell r="A52" t="str">
            <v>РОССИЯ - СТРАНА ВОЗМОЖНОСТЕЙ АНО РСВ АНО</v>
          </cell>
          <cell r="B52" t="str">
            <v>30.09.2024</v>
          </cell>
          <cell r="C52" t="str">
            <v>Реализация (акты, накладные, УПД)</v>
          </cell>
          <cell r="D52" t="str">
            <v>1053</v>
          </cell>
          <cell r="E52">
            <v>300000</v>
          </cell>
        </row>
        <row r="53">
          <cell r="A53" t="str">
            <v>РСИЦ АО</v>
          </cell>
          <cell r="B53" t="str">
            <v>30.09.2024</v>
          </cell>
          <cell r="C53" t="str">
            <v>Реализация (акты, накладные, УПД)</v>
          </cell>
          <cell r="D53" t="str">
            <v>1448</v>
          </cell>
          <cell r="E53">
            <v>282000</v>
          </cell>
        </row>
        <row r="54">
          <cell r="A54" t="str">
            <v>РУТА АО</v>
          </cell>
          <cell r="B54" t="str">
            <v>30.09.2024</v>
          </cell>
          <cell r="C54" t="str">
            <v>Реализация (акты, накладные, УПД)</v>
          </cell>
          <cell r="D54" t="str">
            <v>1547</v>
          </cell>
          <cell r="E54">
            <v>277220</v>
          </cell>
        </row>
        <row r="55">
          <cell r="A55" t="str">
            <v>САМОЛЕТ-НЕДВИЖИМОСТЬ МСК ООО</v>
          </cell>
          <cell r="B55" t="str">
            <v>30.09.2024</v>
          </cell>
          <cell r="C55" t="str">
            <v>Реализация (акты, накладные, УПД)</v>
          </cell>
          <cell r="D55" t="str">
            <v>1496</v>
          </cell>
          <cell r="E55">
            <v>623580</v>
          </cell>
        </row>
        <row r="56">
          <cell r="A56" t="str">
            <v>САМОЛЕТ-РЕЗЕРВ ООО</v>
          </cell>
          <cell r="B56" t="str">
            <v>20.09.2024</v>
          </cell>
          <cell r="C56" t="str">
            <v>Реализация (акты, накладные, УПД)</v>
          </cell>
          <cell r="D56" t="str">
            <v>1426</v>
          </cell>
          <cell r="E56">
            <v>24624</v>
          </cell>
        </row>
        <row r="57">
          <cell r="A57" t="str">
            <v>СЕРВЬЕ АО</v>
          </cell>
          <cell r="B57" t="str">
            <v>30.09.2024</v>
          </cell>
          <cell r="C57" t="str">
            <v>Реализация (акты, накладные, УПД)</v>
          </cell>
          <cell r="D57" t="str">
            <v>1435</v>
          </cell>
          <cell r="E57">
            <v>303760.08</v>
          </cell>
        </row>
        <row r="58">
          <cell r="A58" t="str">
            <v>СЗ БИЗНЕС ПАРК ОСТАНКИНО ООО</v>
          </cell>
          <cell r="B58" t="str">
            <v>30.09.2024</v>
          </cell>
          <cell r="C58" t="str">
            <v>Реализация (акты, накладные, УПД)</v>
          </cell>
          <cell r="D58" t="str">
            <v>1486</v>
          </cell>
          <cell r="E58">
            <v>32425</v>
          </cell>
        </row>
        <row r="59">
          <cell r="A59" t="str">
            <v>СЗ ЛАЙФ ПАВЕЛЕЦКАЯ АО</v>
          </cell>
          <cell r="B59" t="str">
            <v>30.09.2024</v>
          </cell>
          <cell r="C59" t="str">
            <v>Реализация (акты, накладные, УПД)</v>
          </cell>
          <cell r="D59" t="str">
            <v>1484</v>
          </cell>
          <cell r="E59">
            <v>110200</v>
          </cell>
        </row>
        <row r="60">
          <cell r="A60" t="str">
            <v>СЗ ПИОНЕР-1 ООО</v>
          </cell>
          <cell r="B60" t="str">
            <v>30.09.2024</v>
          </cell>
          <cell r="C60" t="str">
            <v>Реализация (акты, накладные, УПД)</v>
          </cell>
          <cell r="D60" t="str">
            <v>1485</v>
          </cell>
          <cell r="E60">
            <v>29375</v>
          </cell>
        </row>
        <row r="61">
          <cell r="A61" t="str">
            <v>СЗ ШИФТ ООО</v>
          </cell>
          <cell r="B61" t="str">
            <v>30.09.2024</v>
          </cell>
          <cell r="C61" t="str">
            <v>Реализация (акты, накладные, УПД)</v>
          </cell>
          <cell r="D61" t="str">
            <v>1487</v>
          </cell>
          <cell r="E61">
            <v>15600</v>
          </cell>
        </row>
        <row r="62">
          <cell r="A62" t="str">
            <v>ТЕХНОНИКОЛЬ-СТРОИТЕЛЬНЫЕ СИСТЕМЫ ООО</v>
          </cell>
          <cell r="B62" t="str">
            <v>30.09.2024</v>
          </cell>
          <cell r="C62" t="str">
            <v>Реализация (акты, накладные, УПД)</v>
          </cell>
          <cell r="D62" t="str">
            <v>1442</v>
          </cell>
          <cell r="E62">
            <v>135500</v>
          </cell>
        </row>
        <row r="63">
          <cell r="A63" t="str">
            <v>ФГБУК "Государственный академический Большой театр России"</v>
          </cell>
          <cell r="B63" t="str">
            <v>30.09.2024</v>
          </cell>
          <cell r="C63" t="str">
            <v>Реализация (акты, накладные, УПД)</v>
          </cell>
          <cell r="D63" t="str">
            <v>1509</v>
          </cell>
          <cell r="E63">
            <v>17250</v>
          </cell>
        </row>
        <row r="64">
          <cell r="A64" t="str">
            <v>ФЕРСТ ДАТА ООО</v>
          </cell>
          <cell r="B64" t="str">
            <v>30.09.2024</v>
          </cell>
          <cell r="C64" t="str">
            <v>Реализация (акты, накладные, УПД)</v>
          </cell>
          <cell r="D64" t="str">
            <v>1520</v>
          </cell>
          <cell r="E64">
            <v>261100</v>
          </cell>
        </row>
        <row r="65">
          <cell r="A65" t="str">
            <v>ХАНТФЛОУ ООО</v>
          </cell>
          <cell r="B65" t="str">
            <v>30.09.2024</v>
          </cell>
          <cell r="C65" t="str">
            <v>Реализация (акты, накладные, УПД)</v>
          </cell>
          <cell r="D65" t="str">
            <v>1454</v>
          </cell>
          <cell r="E65">
            <v>13000</v>
          </cell>
        </row>
        <row r="66">
          <cell r="A66" t="str">
            <v>ХЕНДЭ МОТОР СНГ ООО</v>
          </cell>
          <cell r="B66" t="str">
            <v>30.09.2024</v>
          </cell>
          <cell r="C66" t="str">
            <v>Реализация (акты, накладные, УПД)</v>
          </cell>
          <cell r="D66" t="str">
            <v>1489</v>
          </cell>
          <cell r="E66">
            <v>49500</v>
          </cell>
        </row>
        <row r="67">
          <cell r="A67" t="str">
            <v>ЭВОКОМ ООО</v>
          </cell>
          <cell r="B67" t="str">
            <v>30.09.2024</v>
          </cell>
          <cell r="C67" t="str">
            <v>Реализация (акты, накладные, УПД)</v>
          </cell>
          <cell r="D67" t="str">
            <v>1451</v>
          </cell>
          <cell r="E67">
            <v>48650</v>
          </cell>
        </row>
        <row r="68">
          <cell r="A68" t="str">
            <v>ЭСПЕРАНС ООО</v>
          </cell>
          <cell r="B68" t="str">
            <v>26.09.2024</v>
          </cell>
          <cell r="C68" t="str">
            <v>Реализация (акты, накладные, УПД)</v>
          </cell>
          <cell r="D68" t="str">
            <v>1432</v>
          </cell>
          <cell r="E68">
            <v>52500</v>
          </cell>
        </row>
        <row r="69">
          <cell r="A69" t="str">
            <v>ЮМАК ООО</v>
          </cell>
          <cell r="B69" t="str">
            <v>30.09.2024</v>
          </cell>
          <cell r="C69" t="str">
            <v>Реализация (акты, накладные, УПД)</v>
          </cell>
          <cell r="D69" t="str">
            <v>1537</v>
          </cell>
          <cell r="E69">
            <v>99040</v>
          </cell>
        </row>
        <row r="70">
          <cell r="A70" t="str">
            <v>ЮМАНИ ООО НКО</v>
          </cell>
          <cell r="B70" t="str">
            <v>24.09.2024</v>
          </cell>
          <cell r="C70" t="str">
            <v>Реализация (акты, накладные, УПД)</v>
          </cell>
          <cell r="D70" t="str">
            <v>1440</v>
          </cell>
          <cell r="E70">
            <v>1447.5</v>
          </cell>
        </row>
        <row r="71">
          <cell r="A71" t="str">
            <v>ЮНИСЕНДЕР СМАРТ ООО</v>
          </cell>
          <cell r="B71" t="str">
            <v>09.09.2024</v>
          </cell>
          <cell r="C71" t="str">
            <v>Реализация (акты, накладные, УПД)</v>
          </cell>
          <cell r="D71" t="str">
            <v>1362</v>
          </cell>
          <cell r="E71">
            <v>469053.54</v>
          </cell>
        </row>
        <row r="72">
          <cell r="A72" t="str">
            <v>ЯНДЕКС МУЗЫКА ООО</v>
          </cell>
          <cell r="B72" t="str">
            <v>30.09.2024</v>
          </cell>
          <cell r="C72" t="str">
            <v>Реализация (акты, накладные, УПД)</v>
          </cell>
          <cell r="D72" t="str">
            <v>1539</v>
          </cell>
          <cell r="E72">
            <v>257200</v>
          </cell>
        </row>
        <row r="73">
          <cell r="A73" t="str">
            <v>12 418 369,94</v>
          </cell>
          <cell r="E73">
            <v>12418369.939999999</v>
          </cell>
        </row>
        <row r="76">
          <cell r="C76" t="str">
            <v>Руководитель отдела бухгалтерского и налогового учета</v>
          </cell>
          <cell r="E76" t="str">
            <v xml:space="preserve"> </v>
          </cell>
        </row>
        <row r="77">
          <cell r="C77" t="str">
            <v>———————————</v>
          </cell>
          <cell r="E77" t="str">
            <v>——————————</v>
          </cell>
        </row>
        <row r="78">
          <cell r="C78" t="str">
            <v>(должность)</v>
          </cell>
          <cell r="E78" t="str">
            <v>(подпись)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_1"/>
    </sheetNames>
    <sheetDataSet>
      <sheetData sheetId="0">
        <row r="6">
          <cell r="A6" t="str">
            <v>Информация</v>
          </cell>
          <cell r="B6" t="str">
            <v>Сумма</v>
          </cell>
        </row>
        <row r="8">
          <cell r="A8" t="str">
            <v>1-Й КРАСНОГВАРДЕЙСКИЙ ООО СЗ</v>
          </cell>
          <cell r="B8">
            <v>41200</v>
          </cell>
        </row>
        <row r="9">
          <cell r="A9" t="str">
            <v>АО ЦВ ПРОТЕК</v>
          </cell>
          <cell r="B9">
            <v>36980</v>
          </cell>
        </row>
        <row r="10">
          <cell r="A10" t="str">
            <v>Арентов Артём Вячеславович ИП</v>
          </cell>
          <cell r="B10">
            <v>1500</v>
          </cell>
        </row>
        <row r="11">
          <cell r="A11" t="str">
            <v>АРЛАЙТ РУС ООО</v>
          </cell>
          <cell r="B11">
            <v>303950</v>
          </cell>
        </row>
        <row r="12">
          <cell r="A12" t="str">
            <v>АРТИС 21 ООО</v>
          </cell>
          <cell r="B12">
            <v>86970</v>
          </cell>
        </row>
        <row r="13">
          <cell r="A13" t="str">
            <v>БЛОЧНЫЙ РЕДАКТОР ООО</v>
          </cell>
          <cell r="B13">
            <v>200070</v>
          </cell>
        </row>
        <row r="14">
          <cell r="A14" t="str">
            <v>БОРИСХОФ 1 ООО</v>
          </cell>
          <cell r="B14">
            <v>54600</v>
          </cell>
        </row>
        <row r="15">
          <cell r="A15" t="str">
            <v>БОРИСХОФ Т ООО</v>
          </cell>
          <cell r="B15">
            <v>9000</v>
          </cell>
        </row>
        <row r="16">
          <cell r="A16" t="str">
            <v>БОРИСХОФ ХОЛДИНГ ООО</v>
          </cell>
          <cell r="B16">
            <v>165200</v>
          </cell>
        </row>
        <row r="17">
          <cell r="A17" t="str">
            <v>БРОНИРОВАНИЕ ГОСТИНИЦ ООО</v>
          </cell>
          <cell r="B17">
            <v>374310</v>
          </cell>
        </row>
        <row r="18">
          <cell r="A18" t="str">
            <v>БУРГЕР РУС ООО</v>
          </cell>
          <cell r="B18">
            <v>79400</v>
          </cell>
        </row>
        <row r="19">
          <cell r="A19" t="str">
            <v>ВЕКТОРФАРМ ООО</v>
          </cell>
          <cell r="B19">
            <v>155225</v>
          </cell>
        </row>
        <row r="20">
          <cell r="A20" t="str">
            <v>ГК СБСВ-КЛЮЧАВТО ООО</v>
          </cell>
          <cell r="B20">
            <v>179865</v>
          </cell>
        </row>
        <row r="21">
          <cell r="A21" t="str">
            <v>ГОРОДСКОЙ СУПЕРМАРКЕТ ООО</v>
          </cell>
          <cell r="B21">
            <v>76700</v>
          </cell>
        </row>
        <row r="22">
          <cell r="A22" t="str">
            <v>ГУЛЛИВЕР ОНЛАЙН ООО</v>
          </cell>
          <cell r="B22">
            <v>8000</v>
          </cell>
        </row>
        <row r="23">
          <cell r="A23" t="str">
            <v>ДЖ.Т.И. РОССИЯ ООО</v>
          </cell>
          <cell r="B23">
            <v>355014</v>
          </cell>
        </row>
        <row r="24">
          <cell r="A24" t="str">
            <v>Динаев Осман Русланович</v>
          </cell>
          <cell r="B24">
            <v>81280</v>
          </cell>
        </row>
        <row r="25">
          <cell r="A25" t="str">
            <v>ДИОНА ООО</v>
          </cell>
          <cell r="B25">
            <v>137300</v>
          </cell>
        </row>
        <row r="26">
          <cell r="A26" t="str">
            <v>ЕВРОПА ООО</v>
          </cell>
          <cell r="B26">
            <v>228100</v>
          </cell>
        </row>
        <row r="27">
          <cell r="A27" t="str">
            <v>ИКСПЛАНЕТ.РУ ООО</v>
          </cell>
          <cell r="B27">
            <v>658867</v>
          </cell>
        </row>
        <row r="28">
          <cell r="A28" t="str">
            <v>ИМПУЛЬС ООО</v>
          </cell>
          <cell r="B28">
            <v>385050</v>
          </cell>
        </row>
        <row r="29">
          <cell r="A29" t="str">
            <v>ИНСТАМАРТ СЕРВИС ООО</v>
          </cell>
          <cell r="B29">
            <v>533160</v>
          </cell>
        </row>
        <row r="30">
          <cell r="A30" t="str">
            <v>КАЗАНЬ РЕАЛ ЭСТЕЙТ ООО</v>
          </cell>
          <cell r="B30">
            <v>657100</v>
          </cell>
        </row>
        <row r="31">
          <cell r="A31" t="str">
            <v>КАПИТАЛ ГРУП ООО</v>
          </cell>
          <cell r="B31">
            <v>321650</v>
          </cell>
        </row>
        <row r="32">
          <cell r="A32" t="str">
            <v>КАРШЕРИНГ РУССИЯ ПАО</v>
          </cell>
          <cell r="B32">
            <v>113750</v>
          </cell>
        </row>
        <row r="33">
          <cell r="A33" t="str">
            <v>КИНЕТИКА ООО</v>
          </cell>
          <cell r="B33">
            <v>45000</v>
          </cell>
        </row>
        <row r="34">
          <cell r="A34" t="str">
            <v>КИНОПОИСК ООО</v>
          </cell>
          <cell r="B34">
            <v>308500</v>
          </cell>
        </row>
        <row r="35">
          <cell r="A35" t="str">
            <v>КНАУФ ГИПС ООО</v>
          </cell>
          <cell r="B35">
            <v>22250</v>
          </cell>
        </row>
        <row r="36">
          <cell r="A36" t="str">
            <v>КОЛЕСА ДАРОМ.РУ ООО</v>
          </cell>
          <cell r="B36">
            <v>300000</v>
          </cell>
        </row>
        <row r="37">
          <cell r="A37" t="str">
            <v>КОЛЛТРЕКИНГ ООО</v>
          </cell>
          <cell r="B37">
            <v>72050</v>
          </cell>
        </row>
        <row r="38">
          <cell r="A38" t="str">
            <v>КОНДИТЕРСКАЯ ФАБРИКА ПОБЕДА ООО</v>
          </cell>
          <cell r="B38">
            <v>114875</v>
          </cell>
        </row>
        <row r="39">
          <cell r="A39" t="str">
            <v>КРАСНАЯ ПОЛЯНА НАО</v>
          </cell>
          <cell r="B39">
            <v>83194</v>
          </cell>
        </row>
        <row r="40">
          <cell r="A40" t="str">
            <v>ЛЕНТА ООО</v>
          </cell>
          <cell r="B40">
            <v>364441</v>
          </cell>
        </row>
        <row r="41">
          <cell r="A41" t="str">
            <v>Л'ОРЕАЛЬ АО</v>
          </cell>
          <cell r="B41">
            <v>24045</v>
          </cell>
        </row>
        <row r="42">
          <cell r="A42" t="str">
            <v>Майндбокс ООО</v>
          </cell>
          <cell r="B42">
            <v>359145.04</v>
          </cell>
        </row>
        <row r="43">
          <cell r="A43" t="str">
            <v>МАРС ООО</v>
          </cell>
          <cell r="B43">
            <v>552700</v>
          </cell>
        </row>
        <row r="44">
          <cell r="A44" t="str">
            <v>МАСХ АНО ДПО</v>
          </cell>
          <cell r="B44">
            <v>1500</v>
          </cell>
        </row>
        <row r="45">
          <cell r="A45" t="str">
            <v>МЕТРО КЭШ ЭНД КЕРРИ ООО</v>
          </cell>
          <cell r="B45">
            <v>136534</v>
          </cell>
        </row>
        <row r="46">
          <cell r="A46" t="str">
            <v>МУСА МОТОРС ДЖЕЙ ЭЛ ЭР ООО</v>
          </cell>
          <cell r="B46">
            <v>18200</v>
          </cell>
        </row>
        <row r="47">
          <cell r="A47" t="str">
            <v>ОБОИ ФАКТУРА ООО</v>
          </cell>
          <cell r="B47">
            <v>10500</v>
          </cell>
        </row>
        <row r="48">
          <cell r="A48" t="str">
            <v>ООО «СПАДРИМ»</v>
          </cell>
          <cell r="B48">
            <v>137450</v>
          </cell>
        </row>
        <row r="49">
          <cell r="A49" t="str">
            <v>ПЕТРОВАКС ФАРМ ООО</v>
          </cell>
          <cell r="B49">
            <v>459800</v>
          </cell>
        </row>
        <row r="50">
          <cell r="A50" t="str">
            <v>ПОЙДЁМ! АО КБ</v>
          </cell>
          <cell r="B50">
            <v>216750</v>
          </cell>
        </row>
        <row r="51">
          <cell r="A51" t="str">
            <v>ПОЙДЁМ! ООО МФК</v>
          </cell>
          <cell r="B51">
            <v>117400</v>
          </cell>
        </row>
        <row r="52">
          <cell r="A52" t="str">
            <v>ПРЕМИУМ ЭСТЕЙТ ООО</v>
          </cell>
          <cell r="B52">
            <v>461420</v>
          </cell>
        </row>
        <row r="53">
          <cell r="A53" t="str">
            <v>ПРОФИТАТОР ООО</v>
          </cell>
          <cell r="B53">
            <v>15600</v>
          </cell>
        </row>
        <row r="54">
          <cell r="A54" t="str">
            <v>РОКВУЛ ООО</v>
          </cell>
          <cell r="B54">
            <v>52228</v>
          </cell>
        </row>
        <row r="55">
          <cell r="A55" t="str">
            <v>РУСКАН АО</v>
          </cell>
          <cell r="B55">
            <v>585300</v>
          </cell>
        </row>
        <row r="56">
          <cell r="A56" t="str">
            <v>РУТА АО</v>
          </cell>
          <cell r="B56">
            <v>377725</v>
          </cell>
        </row>
        <row r="57">
          <cell r="A57" t="str">
            <v>САМОЛЕТ-НЕДВИЖИМОСТЬ МСК ООО</v>
          </cell>
          <cell r="B57">
            <v>383030.8</v>
          </cell>
        </row>
        <row r="58">
          <cell r="A58" t="str">
            <v>СЗ БИЗНЕС ПАРК ОСТАНКИНО ООО</v>
          </cell>
          <cell r="B58">
            <v>18475</v>
          </cell>
        </row>
        <row r="59">
          <cell r="A59" t="str">
            <v>СЗ ЛАЙФ ПАВЕЛЕЦКАЯ АО</v>
          </cell>
          <cell r="B59">
            <v>127850</v>
          </cell>
        </row>
        <row r="60">
          <cell r="A60" t="str">
            <v>СЗ ПИОНЕР-1 ООО</v>
          </cell>
          <cell r="B60">
            <v>18475</v>
          </cell>
        </row>
        <row r="61">
          <cell r="A61" t="str">
            <v>СЗ ШИФТ ООО</v>
          </cell>
          <cell r="B61">
            <v>12700</v>
          </cell>
        </row>
        <row r="62">
          <cell r="A62" t="str">
            <v>ТЕХНОНИКОЛЬ-СТРОИТЕЛЬНЫЕ СИСТЕМЫ ООО</v>
          </cell>
          <cell r="B62">
            <v>164150</v>
          </cell>
        </row>
        <row r="63">
          <cell r="A63" t="str">
            <v>ФГБУК "Государственный академический Большой театр России"</v>
          </cell>
          <cell r="B63">
            <v>17250</v>
          </cell>
        </row>
        <row r="64">
          <cell r="A64" t="str">
            <v>ФЕДЕРАЛЬНЫЙ ЦЕНТР КОМПЕТЕНЦИЙ</v>
          </cell>
          <cell r="B64">
            <v>105000</v>
          </cell>
        </row>
        <row r="65">
          <cell r="A65" t="str">
            <v>ФЕРСТ ДАТА ООО</v>
          </cell>
          <cell r="B65">
            <v>357930</v>
          </cell>
        </row>
        <row r="66">
          <cell r="A66" t="str">
            <v>ХАНТФЛОУ ООО</v>
          </cell>
          <cell r="B66">
            <v>6500</v>
          </cell>
        </row>
        <row r="67">
          <cell r="A67" t="str">
            <v>ЭВОКОМ ООО</v>
          </cell>
          <cell r="B67">
            <v>76000</v>
          </cell>
        </row>
        <row r="68">
          <cell r="A68" t="str">
            <v>ЭСПЕРАНС ООО</v>
          </cell>
          <cell r="B68">
            <v>29230</v>
          </cell>
        </row>
        <row r="69">
          <cell r="A69" t="str">
            <v>ЮМАНИ ООО НКО</v>
          </cell>
          <cell r="B69">
            <v>1447.5</v>
          </cell>
        </row>
        <row r="70">
          <cell r="A70" t="str">
            <v>ЮНИСЕНДЕР СМАРТ ООО</v>
          </cell>
          <cell r="B70">
            <v>821774.71</v>
          </cell>
        </row>
        <row r="71">
          <cell r="A71" t="str">
            <v>ЯНДЕКС МУЗЫКА ООО</v>
          </cell>
          <cell r="B71">
            <v>180000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ноябрь"/>
    </sheetNames>
    <sheetDataSet>
      <sheetData sheetId="0">
        <row r="2">
          <cell r="A2" t="str">
            <v>1-Й КРАСНОГВАРДЕЙСКИЙ ООО СЗ</v>
          </cell>
          <cell r="B2">
            <v>50839</v>
          </cell>
        </row>
        <row r="3">
          <cell r="A3" t="str">
            <v>АО ЦВ ПРОТЕК</v>
          </cell>
          <cell r="B3">
            <v>65853</v>
          </cell>
        </row>
        <row r="4">
          <cell r="A4" t="str">
            <v>Арентов Артём Вячеславович ИП</v>
          </cell>
          <cell r="B4">
            <v>1500</v>
          </cell>
        </row>
        <row r="5">
          <cell r="A5" t="str">
            <v>АРТИС 21 ООО</v>
          </cell>
          <cell r="B5">
            <v>80900</v>
          </cell>
        </row>
        <row r="6">
          <cell r="A6" t="str">
            <v>БЛОЧНЫЙ РЕДАКТОР ООО</v>
          </cell>
          <cell r="B6">
            <v>196560</v>
          </cell>
        </row>
        <row r="7">
          <cell r="A7" t="str">
            <v>БОРИСХОФ 1 ООО</v>
          </cell>
          <cell r="B7">
            <v>18200</v>
          </cell>
        </row>
        <row r="8">
          <cell r="A8" t="str">
            <v>БОРИСХОФ ХОЛДИНГ ООО</v>
          </cell>
          <cell r="B8">
            <v>75400</v>
          </cell>
        </row>
        <row r="9">
          <cell r="A9" t="str">
            <v>БРОНИРОВАНИЕ ГОСТИНИЦ ООО</v>
          </cell>
          <cell r="B9">
            <v>461130</v>
          </cell>
        </row>
        <row r="10">
          <cell r="A10" t="str">
            <v>БУРГЕР РУС ООО</v>
          </cell>
          <cell r="B10">
            <v>109600</v>
          </cell>
        </row>
        <row r="11">
          <cell r="A11" t="str">
            <v>В-ИМПОРТ ООО</v>
          </cell>
          <cell r="B11">
            <v>6500</v>
          </cell>
        </row>
        <row r="12">
          <cell r="A12" t="str">
            <v>ГК СБСВ-КЛЮЧАВТО ООО</v>
          </cell>
          <cell r="B12">
            <v>169008</v>
          </cell>
        </row>
        <row r="13">
          <cell r="A13" t="str">
            <v>ГОРОДСКОЙ СУПЕРМАРКЕТ ООО</v>
          </cell>
          <cell r="B13">
            <v>163500</v>
          </cell>
        </row>
        <row r="14">
          <cell r="A14" t="str">
            <v>ГУЛЛИВЕР ОНЛАЙН ООО</v>
          </cell>
          <cell r="B14">
            <v>8000</v>
          </cell>
        </row>
        <row r="15">
          <cell r="A15" t="str">
            <v>ДЖ.Т.И. РОССИЯ ООО</v>
          </cell>
          <cell r="B15">
            <v>366714</v>
          </cell>
        </row>
        <row r="16">
          <cell r="A16" t="str">
            <v>Динаев Осман Русланович</v>
          </cell>
          <cell r="B16">
            <v>35430</v>
          </cell>
        </row>
        <row r="17">
          <cell r="A17" t="str">
            <v>ДИОНА ООО</v>
          </cell>
          <cell r="B17">
            <v>171600</v>
          </cell>
        </row>
        <row r="18">
          <cell r="A18" t="str">
            <v>ДОНОР-СЁРЧ (ПОИСК ДОНОРОВ) АНО</v>
          </cell>
          <cell r="B18">
            <v>247000</v>
          </cell>
        </row>
        <row r="19">
          <cell r="A19" t="str">
            <v>ЕВРОПА ООО</v>
          </cell>
          <cell r="B19">
            <v>292500</v>
          </cell>
        </row>
        <row r="20">
          <cell r="A20" t="str">
            <v>ИКСПЛАНЕТ.РУ ООО</v>
          </cell>
          <cell r="B20">
            <v>369265</v>
          </cell>
        </row>
        <row r="21">
          <cell r="A21" t="str">
            <v>И-МЕДИА ООО</v>
          </cell>
          <cell r="B21">
            <v>39000</v>
          </cell>
        </row>
        <row r="22">
          <cell r="A22" t="str">
            <v>ИМПУЛЬС ООО</v>
          </cell>
          <cell r="B22">
            <v>243850</v>
          </cell>
        </row>
        <row r="23">
          <cell r="A23" t="str">
            <v>ИНТЕРНЕТ-МАГАЗИН МАРМАЛАТО ООО</v>
          </cell>
          <cell r="B23">
            <v>11500</v>
          </cell>
        </row>
        <row r="24">
          <cell r="A24" t="str">
            <v>ИНФОРМАЦИОННОЕ АГЕНТСТВО ИНТЕРФАКС АО</v>
          </cell>
          <cell r="B24">
            <v>65860</v>
          </cell>
        </row>
        <row r="25">
          <cell r="A25" t="str">
            <v>КАЗАНЬ РЕАЛ ЭСТЕЙТ ООО</v>
          </cell>
          <cell r="B25">
            <v>8823782</v>
          </cell>
        </row>
        <row r="26">
          <cell r="A26" t="str">
            <v>КАРШЕРИНГ РУССИЯ ПАО</v>
          </cell>
          <cell r="B26">
            <v>40175</v>
          </cell>
        </row>
        <row r="27">
          <cell r="A27" t="str">
            <v>КИНЕТИКА ООО</v>
          </cell>
          <cell r="B27">
            <v>34000</v>
          </cell>
        </row>
        <row r="28">
          <cell r="A28" t="str">
            <v>КИНОПОИСК ООО</v>
          </cell>
          <cell r="B28">
            <v>371500</v>
          </cell>
        </row>
        <row r="29">
          <cell r="A29" t="str">
            <v>КНАУФ ГИПС ООО</v>
          </cell>
          <cell r="B29">
            <v>110400</v>
          </cell>
        </row>
        <row r="30">
          <cell r="A30" t="str">
            <v>КОЛЕСА ДАРОМ.РУ ООО</v>
          </cell>
          <cell r="B30">
            <v>300000</v>
          </cell>
        </row>
        <row r="31">
          <cell r="A31" t="str">
            <v>КОНДИТЕРСКАЯ ФАБРИКА ПОБЕДА ООО</v>
          </cell>
          <cell r="B31">
            <v>114875</v>
          </cell>
        </row>
        <row r="32">
          <cell r="A32" t="str">
            <v>КРАСНАЯ ПОЛЯНА НАО</v>
          </cell>
          <cell r="B32">
            <v>100791</v>
          </cell>
        </row>
        <row r="33">
          <cell r="A33" t="str">
            <v>Кривошеин Алексей Валерьевич</v>
          </cell>
          <cell r="B33">
            <v>41000</v>
          </cell>
        </row>
        <row r="34">
          <cell r="A34" t="str">
            <v>ЛЕГАЛБЕТ ООО</v>
          </cell>
          <cell r="B34">
            <v>89000</v>
          </cell>
        </row>
        <row r="35">
          <cell r="A35" t="str">
            <v>ЛЕНТА ООО</v>
          </cell>
          <cell r="B35">
            <v>335184</v>
          </cell>
        </row>
        <row r="36">
          <cell r="A36" t="str">
            <v>Л'ОРЕАЛЬ АО</v>
          </cell>
          <cell r="B36">
            <v>61509</v>
          </cell>
        </row>
        <row r="37">
          <cell r="A37" t="str">
            <v>Майндбокс ООО</v>
          </cell>
          <cell r="B37">
            <v>231428.28</v>
          </cell>
        </row>
        <row r="38">
          <cell r="A38" t="str">
            <v>МАРС ООО</v>
          </cell>
          <cell r="B38">
            <v>1395400</v>
          </cell>
        </row>
        <row r="39">
          <cell r="A39" t="str">
            <v>МЕТРО КЭШ ЭНД КЕРРИ ООО</v>
          </cell>
          <cell r="B39">
            <v>38476</v>
          </cell>
        </row>
        <row r="40">
          <cell r="A40" t="str">
            <v>ОККАМ ИКС ООО</v>
          </cell>
          <cell r="B40">
            <v>59050</v>
          </cell>
        </row>
        <row r="41">
          <cell r="A41" t="str">
            <v>ООО «ДЖИЭФЭН КЛАУД ИНТЕРНЕТ СЕРВИСИС»</v>
          </cell>
          <cell r="B41">
            <v>93440</v>
          </cell>
        </row>
        <row r="42">
          <cell r="A42" t="str">
            <v>ООО «СПАДРИМ»</v>
          </cell>
          <cell r="B42">
            <v>122350</v>
          </cell>
        </row>
        <row r="43">
          <cell r="A43" t="str">
            <v>ОФИСЛОРД ООО</v>
          </cell>
          <cell r="B43">
            <v>201260</v>
          </cell>
        </row>
        <row r="44">
          <cell r="A44" t="str">
            <v>ПЕТРОВАКС ФАРМ ООО</v>
          </cell>
          <cell r="B44">
            <v>562500</v>
          </cell>
        </row>
        <row r="45">
          <cell r="A45" t="str">
            <v>ПОЙДЁМ! АО КБ</v>
          </cell>
          <cell r="B45">
            <v>208950</v>
          </cell>
        </row>
        <row r="46">
          <cell r="A46" t="str">
            <v>ПРЕМИУМ ЭСТЕЙТ ООО</v>
          </cell>
          <cell r="B46">
            <v>558520</v>
          </cell>
        </row>
        <row r="47">
          <cell r="A47" t="str">
            <v>Публичное акционерное общество "ПИК - специализированный застройщик"</v>
          </cell>
          <cell r="B47">
            <v>54303</v>
          </cell>
        </row>
        <row r="48">
          <cell r="A48" t="str">
            <v>РОКВУЛ ООО</v>
          </cell>
          <cell r="B48">
            <v>82522</v>
          </cell>
        </row>
        <row r="49">
          <cell r="A49" t="str">
            <v>РОССИЯ - СТРАНА ВОЗМОЖНОСТЕЙ АНО РСВ АНО</v>
          </cell>
          <cell r="B49">
            <v>40000</v>
          </cell>
        </row>
        <row r="50">
          <cell r="A50" t="str">
            <v>РТК ИБ ООО</v>
          </cell>
          <cell r="B50">
            <v>16875</v>
          </cell>
        </row>
        <row r="51">
          <cell r="A51" t="str">
            <v>РУСКАН АО</v>
          </cell>
          <cell r="B51">
            <v>650000</v>
          </cell>
        </row>
        <row r="52">
          <cell r="A52" t="str">
            <v>СЕРВЬЕ АО</v>
          </cell>
          <cell r="B52">
            <v>109742.01</v>
          </cell>
        </row>
        <row r="53">
          <cell r="A53" t="str">
            <v>СЗ БИЗНЕС ПАРК ОСТАНКИНО ООО</v>
          </cell>
          <cell r="B53">
            <v>34225</v>
          </cell>
        </row>
        <row r="54">
          <cell r="A54" t="str">
            <v>СЗ ЛАЙФ ПАВЕЛЕЦКАЯ АО</v>
          </cell>
          <cell r="B54">
            <v>86450</v>
          </cell>
        </row>
        <row r="55">
          <cell r="A55" t="str">
            <v>СЗ ПИОНЕР-1 ООО</v>
          </cell>
          <cell r="B55">
            <v>24925</v>
          </cell>
        </row>
        <row r="56">
          <cell r="A56" t="str">
            <v>СОФТ СПАЙСИ ООО</v>
          </cell>
          <cell r="B56">
            <v>26180</v>
          </cell>
        </row>
        <row r="57">
          <cell r="A57" t="str">
            <v>ТЕХНОНИКОЛЬ-СТРОИТЕЛЬНЫЕ СИСТЕМЫ ООО</v>
          </cell>
          <cell r="B57">
            <v>214800</v>
          </cell>
        </row>
        <row r="58">
          <cell r="A58" t="str">
            <v>ФГБУК "Государственный академический Большой театр России"</v>
          </cell>
          <cell r="B58">
            <v>17250</v>
          </cell>
        </row>
        <row r="59">
          <cell r="A59" t="str">
            <v>ФЕДЕРАЛЬНЫЙ ЦЕНТР КОМПЕТЕНЦИЙ</v>
          </cell>
          <cell r="B59">
            <v>215000</v>
          </cell>
        </row>
        <row r="60">
          <cell r="A60" t="str">
            <v>Циммер Евгения Владимировна</v>
          </cell>
          <cell r="B60">
            <v>33753</v>
          </cell>
        </row>
        <row r="61">
          <cell r="A61" t="str">
            <v>Шестаков Олег Олегович</v>
          </cell>
          <cell r="B61">
            <v>7977</v>
          </cell>
        </row>
        <row r="62">
          <cell r="A62" t="str">
            <v>ЭВОКОМ ООО</v>
          </cell>
          <cell r="B62">
            <v>49200</v>
          </cell>
        </row>
        <row r="63">
          <cell r="A63" t="str">
            <v>ЭСПЕРАНС ООО</v>
          </cell>
          <cell r="B63">
            <v>34100</v>
          </cell>
        </row>
        <row r="64">
          <cell r="A64" t="str">
            <v>Ю-КОНСАЛТ ООО</v>
          </cell>
          <cell r="B64">
            <v>6252</v>
          </cell>
        </row>
        <row r="65">
          <cell r="A65" t="str">
            <v>ЮМАК ООО</v>
          </cell>
          <cell r="B65">
            <v>2872.32</v>
          </cell>
        </row>
        <row r="66">
          <cell r="A66" t="str">
            <v>ЮМАНИ ООО НКО</v>
          </cell>
          <cell r="B66">
            <v>1447.5</v>
          </cell>
        </row>
        <row r="67">
          <cell r="A67" t="str">
            <v>ЮНИСЕНДЕР СМАРТ ООО</v>
          </cell>
          <cell r="B67">
            <v>759828.03</v>
          </cell>
        </row>
        <row r="68">
          <cell r="A68" t="str">
            <v>ЯНДЕКС МУЗЫКА ООО</v>
          </cell>
          <cell r="B68">
            <v>206800</v>
          </cell>
        </row>
        <row r="69">
          <cell r="B69">
            <v>19817801.140000004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ин.модель"/>
      <sheetName val="план-факт"/>
      <sheetName val="Продажи"/>
      <sheetName val="Текущий портфель"/>
      <sheetName val="База расходы зп"/>
      <sheetName val="База расходы"/>
      <sheetName val="Отток"/>
      <sheetName val="Клиенты на входе"/>
      <sheetName val="План поступлений с новых продаж"/>
      <sheetName val="Найм сотрудников"/>
      <sheetName val="Новый клиентский портфель план "/>
      <sheetName val="выручка емс 2023-коэффициент се"/>
    </sheetNames>
    <sheetDataSet>
      <sheetData sheetId="0"/>
      <sheetData sheetId="1"/>
      <sheetData sheetId="2"/>
      <sheetData sheetId="3">
        <row r="159">
          <cell r="I159">
            <v>13131369.52</v>
          </cell>
          <cell r="K159">
            <v>12016711.069999998</v>
          </cell>
          <cell r="N159">
            <v>13180905.5</v>
          </cell>
          <cell r="P159">
            <v>13642737.359999998</v>
          </cell>
          <cell r="R159">
            <v>12462546.49</v>
          </cell>
          <cell r="T159">
            <v>10851573.039999999</v>
          </cell>
          <cell r="V159">
            <v>11611995.640000001</v>
          </cell>
          <cell r="X159">
            <v>11893131.540000001</v>
          </cell>
          <cell r="Z159">
            <v>14349667.439999999</v>
          </cell>
          <cell r="AC159">
            <v>11647173.280000001</v>
          </cell>
          <cell r="AF159">
            <v>14316154.140000001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_1"/>
    </sheetNames>
    <sheetDataSet>
      <sheetData sheetId="0">
        <row r="5">
          <cell r="A5" t="str">
            <v>1-Й КРАСНОГВАРДЕЙСКИЙ ООО СЗ</v>
          </cell>
          <cell r="B5">
            <v>21630</v>
          </cell>
          <cell r="C5">
            <v>20600</v>
          </cell>
        </row>
        <row r="6">
          <cell r="A6" t="str">
            <v>TRADEMATIC LLC</v>
          </cell>
          <cell r="B6">
            <v>105682.5</v>
          </cell>
          <cell r="C6">
            <v>100650</v>
          </cell>
        </row>
        <row r="7">
          <cell r="A7" t="str">
            <v>АГИМА ИНТЕРАКТИВ ООО</v>
          </cell>
          <cell r="B7">
            <v>164633.60000000001</v>
          </cell>
          <cell r="C7">
            <v>156793.90476190476</v>
          </cell>
        </row>
        <row r="8">
          <cell r="A8" t="str">
            <v>АЙНЭТ ПРОДАКШЕН ООО</v>
          </cell>
          <cell r="B8">
            <v>101984</v>
          </cell>
          <cell r="C8">
            <v>97127.619047619039</v>
          </cell>
        </row>
        <row r="9">
          <cell r="A9" t="str">
            <v>АЙТИБ ООО</v>
          </cell>
          <cell r="B9">
            <v>186507.09</v>
          </cell>
          <cell r="C9">
            <v>177625.8</v>
          </cell>
        </row>
        <row r="10">
          <cell r="A10" t="str">
            <v>АРТИС 21 ООО</v>
          </cell>
          <cell r="B10">
            <v>114817.5</v>
          </cell>
          <cell r="C10">
            <v>109350</v>
          </cell>
        </row>
        <row r="11">
          <cell r="A11" t="str">
            <v>БАЛАНС - СПЕЦЗАСТРОЙЩИК АО</v>
          </cell>
          <cell r="B11">
            <v>226800</v>
          </cell>
          <cell r="C11">
            <v>216000</v>
          </cell>
        </row>
        <row r="12">
          <cell r="A12" t="str">
            <v>БЛОЧНЫЙ РЕДАКТОР ООО</v>
          </cell>
          <cell r="B12">
            <v>42045.77</v>
          </cell>
        </row>
        <row r="13">
          <cell r="A13" t="str">
            <v>БОРИСХОФ ХОЛДИНГ ООО</v>
          </cell>
          <cell r="B13">
            <v>115180.8</v>
          </cell>
          <cell r="C13">
            <v>109696</v>
          </cell>
        </row>
        <row r="14">
          <cell r="A14" t="str">
            <v>БРОНИРОВАНИЕ ГОСТИНИЦ ООО</v>
          </cell>
          <cell r="B14">
            <v>18039</v>
          </cell>
          <cell r="C14">
            <v>17180</v>
          </cell>
        </row>
        <row r="15">
          <cell r="A15" t="str">
            <v>БУРГЕР РУС ООО</v>
          </cell>
          <cell r="B15">
            <v>247800</v>
          </cell>
          <cell r="C15">
            <v>236000</v>
          </cell>
        </row>
        <row r="16">
          <cell r="A16" t="str">
            <v>ВК ООО</v>
          </cell>
          <cell r="B16">
            <v>12887.7</v>
          </cell>
          <cell r="C16">
            <v>12274</v>
          </cell>
        </row>
        <row r="17">
          <cell r="A17" t="str">
            <v>ГЕСС? СИАЙЭС ООО</v>
          </cell>
          <cell r="B17">
            <v>200000</v>
          </cell>
          <cell r="C17">
            <v>190476.19047619047</v>
          </cell>
        </row>
        <row r="18">
          <cell r="A18" t="str">
            <v>ГОРОДСКОЙ СУПЕРМАРКЕТ ООО</v>
          </cell>
          <cell r="B18">
            <v>155610</v>
          </cell>
          <cell r="C18">
            <v>148200</v>
          </cell>
        </row>
        <row r="19">
          <cell r="A19" t="str">
            <v>Государственный академический Большой театр России ФГБУК</v>
          </cell>
          <cell r="B19">
            <v>23722.5</v>
          </cell>
          <cell r="C19">
            <v>22592.857142857141</v>
          </cell>
        </row>
        <row r="20">
          <cell r="A20" t="str">
            <v>ДЖ.Т.И. РОССИЯ ООО</v>
          </cell>
          <cell r="B20">
            <v>433287.12</v>
          </cell>
          <cell r="C20">
            <v>412654.39999999997</v>
          </cell>
        </row>
        <row r="21">
          <cell r="A21" t="str">
            <v>ДЖОНСОН &amp; ДЖОНСОН ООО</v>
          </cell>
          <cell r="B21">
            <v>2314395.7599999998</v>
          </cell>
          <cell r="C21">
            <v>2204186.4380952376</v>
          </cell>
        </row>
        <row r="22">
          <cell r="A22" t="str">
            <v>ДОНОР-СЁРЧ (ПОИСК ДОНОРОВ) АНО</v>
          </cell>
          <cell r="B22">
            <v>40000</v>
          </cell>
          <cell r="C22">
            <v>38095.238095238092</v>
          </cell>
        </row>
        <row r="23">
          <cell r="A23" t="str">
            <v>ИНТЕРНЕТ ООО</v>
          </cell>
          <cell r="B23">
            <v>74854.2</v>
          </cell>
          <cell r="C23">
            <v>71289.714285714275</v>
          </cell>
        </row>
        <row r="24">
          <cell r="A24" t="str">
            <v>ИНТЕРФАКС АО</v>
          </cell>
          <cell r="B24">
            <v>226910.25</v>
          </cell>
          <cell r="C24">
            <v>216105</v>
          </cell>
        </row>
        <row r="25">
          <cell r="A25" t="str">
            <v>ИНФОРМАЦИОННОЕ АГЕНТСТВО ИНТЕРФАКС АО</v>
          </cell>
          <cell r="B25">
            <v>111717.15</v>
          </cell>
          <cell r="C25">
            <v>106397.28571428571</v>
          </cell>
        </row>
        <row r="26">
          <cell r="A26" t="str">
            <v>К2 ИНТЕГРАЦИЯ АО</v>
          </cell>
          <cell r="B26">
            <v>400890</v>
          </cell>
          <cell r="C26">
            <v>381800</v>
          </cell>
        </row>
        <row r="27">
          <cell r="A27" t="str">
            <v>КАЗАНЬ РЕАЛ ЭСТЕЙТ ООО</v>
          </cell>
          <cell r="B27">
            <v>830235</v>
          </cell>
          <cell r="C27">
            <v>790700</v>
          </cell>
        </row>
        <row r="28">
          <cell r="A28" t="str">
            <v>КАПИТАЛ ГРУП ООО</v>
          </cell>
          <cell r="B28">
            <v>335235.59999999998</v>
          </cell>
          <cell r="C28">
            <v>319271.99999999994</v>
          </cell>
        </row>
        <row r="29">
          <cell r="A29" t="str">
            <v>КАРШЕРИНГ РУССИЯ ПАО</v>
          </cell>
          <cell r="B29">
            <v>79380</v>
          </cell>
          <cell r="C29">
            <v>75600</v>
          </cell>
        </row>
        <row r="30">
          <cell r="A30" t="str">
            <v>КИНЕТИКА ООО</v>
          </cell>
          <cell r="B30">
            <v>6825</v>
          </cell>
          <cell r="C30">
            <v>6500</v>
          </cell>
        </row>
        <row r="31">
          <cell r="A31" t="str">
            <v>КИНОПОИСК ООО</v>
          </cell>
          <cell r="B31">
            <v>177817.5</v>
          </cell>
          <cell r="C31">
            <v>169350</v>
          </cell>
        </row>
        <row r="32">
          <cell r="A32" t="str">
            <v>КНАУФ ГИПС ООО</v>
          </cell>
          <cell r="B32">
            <v>18633.3</v>
          </cell>
          <cell r="C32">
            <v>17746</v>
          </cell>
        </row>
        <row r="33">
          <cell r="A33" t="str">
            <v>КОЛЕСА ДАРОМ.РУ ООО</v>
          </cell>
          <cell r="B33">
            <v>315000</v>
          </cell>
          <cell r="C33">
            <v>300000</v>
          </cell>
        </row>
        <row r="34">
          <cell r="A34" t="str">
            <v>КОНДИТЕРСКАЯ ФАБРИКА ПОБЕДА ООО</v>
          </cell>
          <cell r="B34">
            <v>113494.5</v>
          </cell>
          <cell r="C34">
            <v>108090</v>
          </cell>
        </row>
        <row r="35">
          <cell r="A35" t="str">
            <v>КОНСАЛТИНГОВЫЙ ЦЕНТР 223 ООО</v>
          </cell>
          <cell r="B35">
            <v>112600</v>
          </cell>
          <cell r="C35">
            <v>107238.09523809524</v>
          </cell>
        </row>
        <row r="36">
          <cell r="A36" t="str">
            <v>КРАСНАЯ ПОЛЯНА НАО</v>
          </cell>
          <cell r="B36">
            <v>155599.71</v>
          </cell>
          <cell r="C36">
            <v>148190.19999999998</v>
          </cell>
        </row>
        <row r="37">
          <cell r="A37" t="str">
            <v>ЛАБОРАТОРИЯ КАСПЕРСКОГО АО</v>
          </cell>
          <cell r="B37">
            <v>196560</v>
          </cell>
          <cell r="C37">
            <v>187200</v>
          </cell>
        </row>
        <row r="38">
          <cell r="A38" t="str">
            <v>Л'ОРЕАЛЬ АО</v>
          </cell>
          <cell r="B38">
            <v>125565.75999999999</v>
          </cell>
          <cell r="C38">
            <v>119586.43809523809</v>
          </cell>
        </row>
        <row r="39">
          <cell r="A39" t="str">
            <v>МАЙНДБОКС ООО</v>
          </cell>
          <cell r="B39">
            <v>41590.639999999999</v>
          </cell>
          <cell r="C39">
            <v>39610.133333333331</v>
          </cell>
        </row>
        <row r="40">
          <cell r="A40" t="str">
            <v>МАРС ООО</v>
          </cell>
          <cell r="B40">
            <v>801081.23</v>
          </cell>
        </row>
        <row r="41">
          <cell r="A41" t="str">
            <v>МАРС ООО</v>
          </cell>
          <cell r="B41">
            <v>704854.5</v>
          </cell>
          <cell r="C41">
            <v>671290</v>
          </cell>
        </row>
        <row r="42">
          <cell r="A42" t="str">
            <v>МАРС ООО</v>
          </cell>
          <cell r="B42">
            <v>508494</v>
          </cell>
          <cell r="C42">
            <v>484280</v>
          </cell>
        </row>
        <row r="43">
          <cell r="A43" t="str">
            <v>МЕТРО КЭШ ЭНД КЕРРИ ООО</v>
          </cell>
          <cell r="B43">
            <v>3654</v>
          </cell>
          <cell r="C43">
            <v>3480</v>
          </cell>
        </row>
        <row r="44">
          <cell r="A44" t="str">
            <v>Мидиан ООО</v>
          </cell>
          <cell r="B44">
            <v>10932</v>
          </cell>
          <cell r="C44">
            <v>10411.428571428571</v>
          </cell>
        </row>
        <row r="45">
          <cell r="A45" t="str">
            <v>МОДУМ-ТРАНС ООО</v>
          </cell>
          <cell r="B45">
            <v>189164.85</v>
          </cell>
          <cell r="C45">
            <v>180157</v>
          </cell>
        </row>
        <row r="46">
          <cell r="A46" t="str">
            <v>НОВАРТИС ФАРМА ООО</v>
          </cell>
          <cell r="B46">
            <v>97455.75</v>
          </cell>
          <cell r="C46">
            <v>92815</v>
          </cell>
        </row>
        <row r="47">
          <cell r="A47" t="str">
            <v>ОРИФЛЭЙМ КОСМЕТИКС ООО</v>
          </cell>
          <cell r="B47">
            <v>289612.5</v>
          </cell>
          <cell r="C47">
            <v>275821.42857142858</v>
          </cell>
        </row>
        <row r="48">
          <cell r="A48" t="str">
            <v>ПЕТРОВАКС ФАРМ ООО</v>
          </cell>
          <cell r="B48">
            <v>488075.7</v>
          </cell>
          <cell r="C48">
            <v>464834</v>
          </cell>
        </row>
        <row r="49">
          <cell r="A49" t="str">
            <v>ПРЕМИУМ ЭСТЕЙТ ООО</v>
          </cell>
          <cell r="B49">
            <v>385805.5</v>
          </cell>
          <cell r="C49">
            <v>367433.80952380953</v>
          </cell>
        </row>
        <row r="50">
          <cell r="A50" t="str">
            <v>РОКВУЛ ООО</v>
          </cell>
          <cell r="B50">
            <v>47724.6</v>
          </cell>
          <cell r="C50">
            <v>45452</v>
          </cell>
        </row>
        <row r="51">
          <cell r="A51" t="str">
            <v>РУСКАН АО</v>
          </cell>
          <cell r="B51">
            <v>998518.5</v>
          </cell>
          <cell r="C51">
            <v>950970</v>
          </cell>
        </row>
        <row r="52">
          <cell r="A52" t="str">
            <v>РУСКАН АО</v>
          </cell>
          <cell r="B52">
            <v>621075</v>
          </cell>
          <cell r="C52">
            <v>591500</v>
          </cell>
        </row>
        <row r="53">
          <cell r="A53" t="str">
            <v>РЭКФОРК ООО</v>
          </cell>
          <cell r="B53">
            <v>299200</v>
          </cell>
          <cell r="C53">
            <v>284952.38095238095</v>
          </cell>
        </row>
        <row r="54">
          <cell r="A54" t="str">
            <v>САМОЛЕТ-ГОСТЕПРИИМСТВО ООО</v>
          </cell>
          <cell r="B54">
            <v>11970</v>
          </cell>
          <cell r="C54">
            <v>11400</v>
          </cell>
        </row>
        <row r="55">
          <cell r="A55" t="str">
            <v>СЗ ЛАЙФ ПАВЕЛЕЦКАЯ АО</v>
          </cell>
          <cell r="B55">
            <v>91720.65</v>
          </cell>
          <cell r="C55">
            <v>87352.999999999985</v>
          </cell>
        </row>
        <row r="56">
          <cell r="A56" t="str">
            <v>СЗ ПИОНЕР-1 ООО</v>
          </cell>
          <cell r="B56">
            <v>21997.5</v>
          </cell>
          <cell r="C56">
            <v>20950</v>
          </cell>
        </row>
        <row r="57">
          <cell r="A57" t="str">
            <v>СЗ ШИФТ ООО</v>
          </cell>
          <cell r="B57">
            <v>29427.3</v>
          </cell>
          <cell r="C57">
            <v>28025.999999999996</v>
          </cell>
        </row>
        <row r="58">
          <cell r="A58" t="str">
            <v>ФИНАНСОВЫЕ ПАРТНЕРЫ ООО</v>
          </cell>
          <cell r="B58">
            <v>155540</v>
          </cell>
          <cell r="C58">
            <v>148133.33333333331</v>
          </cell>
        </row>
        <row r="59">
          <cell r="A59" t="str">
            <v>ХАЛСА ООО</v>
          </cell>
          <cell r="B59">
            <v>63660</v>
          </cell>
          <cell r="C59">
            <v>60628.571428571428</v>
          </cell>
        </row>
        <row r="60">
          <cell r="A60" t="str">
            <v>ХЕНДЭ МОТОР СНГ ООО</v>
          </cell>
          <cell r="B60">
            <v>19561.5</v>
          </cell>
          <cell r="C60">
            <v>18630</v>
          </cell>
        </row>
        <row r="61">
          <cell r="A61" t="str">
            <v>ЦЕМЕНТУМ ЦЕНТР ООО</v>
          </cell>
          <cell r="B61">
            <v>150562.32</v>
          </cell>
          <cell r="C61">
            <v>143392.6857142857</v>
          </cell>
        </row>
        <row r="62">
          <cell r="A62" t="str">
            <v>Шмелев Данила Владимирович</v>
          </cell>
          <cell r="B62">
            <v>120370</v>
          </cell>
          <cell r="C62">
            <v>114638.09523809524</v>
          </cell>
        </row>
        <row r="63">
          <cell r="A63" t="str">
            <v>ЭВОКОМ ООО</v>
          </cell>
          <cell r="B63">
            <v>297260</v>
          </cell>
          <cell r="C63">
            <v>283104.76190476189</v>
          </cell>
        </row>
        <row r="64">
          <cell r="A64" t="str">
            <v>ЭВОКОМ ООО</v>
          </cell>
          <cell r="B64">
            <v>333485</v>
          </cell>
          <cell r="C64">
            <v>317604.76190476189</v>
          </cell>
        </row>
        <row r="65">
          <cell r="A65" t="str">
            <v>ЭМДЖИКОМ ООО</v>
          </cell>
          <cell r="B65">
            <v>517585.58</v>
          </cell>
          <cell r="C65">
            <v>492938.64761904761</v>
          </cell>
        </row>
        <row r="66">
          <cell r="A66" t="str">
            <v>ЮНИСЕНДЕР СМАРТ ООО</v>
          </cell>
          <cell r="B66">
            <v>552236.32999999996</v>
          </cell>
          <cell r="C66">
            <v>525939.36190476187</v>
          </cell>
        </row>
        <row r="67">
          <cell r="A67" t="str">
            <v>ЯНДЕКС МУЗЫКА ООО</v>
          </cell>
          <cell r="B67">
            <v>291900</v>
          </cell>
          <cell r="C67">
            <v>278000</v>
          </cell>
        </row>
        <row r="68">
          <cell r="B68">
            <v>15950856.26</v>
          </cell>
          <cell r="C68">
            <v>14388313.580952382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_1"/>
    </sheetNames>
    <sheetDataSet>
      <sheetData sheetId="0">
        <row r="10">
          <cell r="A10" t="str">
            <v>Абрамова Екатерина Владимировна</v>
          </cell>
          <cell r="C10">
            <v>168293.92</v>
          </cell>
          <cell r="D10">
            <v>40235.39</v>
          </cell>
        </row>
        <row r="11">
          <cell r="A11" t="str">
            <v>Аксенова Наталья Валериевна</v>
          </cell>
          <cell r="C11">
            <v>100050</v>
          </cell>
          <cell r="D11">
            <v>23920</v>
          </cell>
        </row>
        <row r="12">
          <cell r="A12" t="str">
            <v>Алесенко Екатерина Руслановна</v>
          </cell>
          <cell r="C12">
            <v>120347</v>
          </cell>
          <cell r="D12">
            <v>28772.74</v>
          </cell>
        </row>
        <row r="13">
          <cell r="A13" t="str">
            <v>Арнаут Денис Александрович</v>
          </cell>
          <cell r="C13">
            <v>65363</v>
          </cell>
          <cell r="D13">
            <v>15627.140000000001</v>
          </cell>
        </row>
        <row r="14">
          <cell r="A14" t="str">
            <v>Балабанова Евгения Юрьевна</v>
          </cell>
          <cell r="C14">
            <v>72491.740000000005</v>
          </cell>
          <cell r="D14">
            <v>17331.260000000002</v>
          </cell>
        </row>
        <row r="15">
          <cell r="A15" t="str">
            <v>Баландина Наталия Владимировна</v>
          </cell>
          <cell r="C15">
            <v>32342</v>
          </cell>
          <cell r="D15">
            <v>7658.3</v>
          </cell>
        </row>
        <row r="16">
          <cell r="A16" t="str">
            <v>Безух Михаил Алексеевич</v>
          </cell>
          <cell r="C16">
            <v>120347</v>
          </cell>
          <cell r="D16">
            <v>28772.74</v>
          </cell>
        </row>
        <row r="17">
          <cell r="A17" t="str">
            <v>Богданова Маргарита Ивановна</v>
          </cell>
          <cell r="C17">
            <v>65576.33</v>
          </cell>
          <cell r="D17">
            <v>15678.279999999999</v>
          </cell>
        </row>
        <row r="18">
          <cell r="A18" t="str">
            <v>Бойко Мария Сергеевна</v>
          </cell>
          <cell r="C18">
            <v>80287</v>
          </cell>
          <cell r="D18">
            <v>19195.16</v>
          </cell>
        </row>
        <row r="19">
          <cell r="A19" t="str">
            <v>Бычкова Елена Вячеславовна</v>
          </cell>
          <cell r="C19">
            <v>10005</v>
          </cell>
          <cell r="D19">
            <v>2369</v>
          </cell>
        </row>
        <row r="20">
          <cell r="A20" t="str">
            <v>Васькина Анастасия Юрьевна</v>
          </cell>
          <cell r="C20">
            <v>52000</v>
          </cell>
          <cell r="D20">
            <v>12432.060000000001</v>
          </cell>
        </row>
        <row r="21">
          <cell r="A21" t="str">
            <v>Волков Денис Андреевич</v>
          </cell>
          <cell r="C21">
            <v>85542</v>
          </cell>
          <cell r="D21">
            <v>20451.280000000002</v>
          </cell>
        </row>
        <row r="22">
          <cell r="A22" t="str">
            <v>Волынина Светлана Сергеевна</v>
          </cell>
          <cell r="C22">
            <v>5500</v>
          </cell>
          <cell r="D22">
            <v>1302.47</v>
          </cell>
        </row>
        <row r="23">
          <cell r="A23" t="str">
            <v>Горина Ирина Николаевна</v>
          </cell>
          <cell r="C23">
            <v>62897</v>
          </cell>
          <cell r="D23">
            <v>15037.01</v>
          </cell>
        </row>
        <row r="24">
          <cell r="A24" t="str">
            <v>Гуренкова Инна Михайловна</v>
          </cell>
          <cell r="C24">
            <v>160288</v>
          </cell>
          <cell r="D24">
            <v>38321.640000000007</v>
          </cell>
        </row>
        <row r="25">
          <cell r="A25" t="str">
            <v>Гуслякова Виктория Сергеевна</v>
          </cell>
          <cell r="C25">
            <v>59638.81</v>
          </cell>
          <cell r="D25">
            <v>14257.890000000001</v>
          </cell>
        </row>
        <row r="26">
          <cell r="A26" t="str">
            <v>Денисенко Елизавета Павловна</v>
          </cell>
          <cell r="C26">
            <v>100337</v>
          </cell>
          <cell r="D26">
            <v>23988.74</v>
          </cell>
        </row>
        <row r="27">
          <cell r="A27" t="str">
            <v>Ильин Иван Константинович</v>
          </cell>
          <cell r="C27">
            <v>558112</v>
          </cell>
          <cell r="D27">
            <v>185708</v>
          </cell>
        </row>
        <row r="28">
          <cell r="A28" t="str">
            <v>Ильин Константин Иванович</v>
          </cell>
          <cell r="C28">
            <v>8668.06</v>
          </cell>
          <cell r="D28">
            <v>2073.1999999999998</v>
          </cell>
        </row>
        <row r="29">
          <cell r="A29" t="str">
            <v>Ионкина Вера Сергеевна</v>
          </cell>
          <cell r="C29">
            <v>97003.03</v>
          </cell>
          <cell r="D29">
            <v>23191.85</v>
          </cell>
        </row>
        <row r="30">
          <cell r="A30" t="str">
            <v>Исмаилова Людмила Юрьевна</v>
          </cell>
          <cell r="C30">
            <v>79977.679999999993</v>
          </cell>
          <cell r="D30">
            <v>19121.440000000002</v>
          </cell>
        </row>
        <row r="31">
          <cell r="A31" t="str">
            <v>Кадышев Алексей Александрович</v>
          </cell>
          <cell r="C31">
            <v>88585</v>
          </cell>
          <cell r="D31">
            <v>21179.11</v>
          </cell>
        </row>
        <row r="32">
          <cell r="A32" t="str">
            <v>Кирьянова Евгения Павловна</v>
          </cell>
          <cell r="C32">
            <v>63000</v>
          </cell>
          <cell r="D32">
            <v>15062.289999999999</v>
          </cell>
        </row>
        <row r="33">
          <cell r="A33" t="str">
            <v>Кнутов Артём Виталиевич</v>
          </cell>
          <cell r="C33">
            <v>110000</v>
          </cell>
          <cell r="D33">
            <v>26299.079999999998</v>
          </cell>
        </row>
        <row r="34">
          <cell r="A34" t="str">
            <v>Князев Дмитрий Игоревич</v>
          </cell>
          <cell r="C34">
            <v>95044.94</v>
          </cell>
          <cell r="D34">
            <v>22724.34</v>
          </cell>
        </row>
        <row r="35">
          <cell r="A35" t="str">
            <v>Коваленко Ольга Владимировна</v>
          </cell>
          <cell r="C35">
            <v>80327</v>
          </cell>
          <cell r="D35">
            <v>19204.740000000002</v>
          </cell>
        </row>
        <row r="36">
          <cell r="A36" t="str">
            <v>Козикова Анастасия Валерьевна</v>
          </cell>
          <cell r="C36">
            <v>88499.73</v>
          </cell>
          <cell r="D36">
            <v>21158.460000000003</v>
          </cell>
        </row>
        <row r="37">
          <cell r="A37" t="str">
            <v>Колупаева Дарья Георгиевна</v>
          </cell>
          <cell r="C37">
            <v>80287</v>
          </cell>
          <cell r="D37">
            <v>19195.150000000001</v>
          </cell>
        </row>
        <row r="38">
          <cell r="A38" t="str">
            <v>Копаева Юлия Андреевна</v>
          </cell>
          <cell r="C38">
            <v>122385.42000000001</v>
          </cell>
          <cell r="D38">
            <v>29259.45</v>
          </cell>
        </row>
        <row r="39">
          <cell r="A39" t="str">
            <v>Коробач Евгений Сергеевич</v>
          </cell>
          <cell r="C39">
            <v>95287</v>
          </cell>
          <cell r="D39">
            <v>22780.95</v>
          </cell>
        </row>
        <row r="40">
          <cell r="A40" t="str">
            <v>Кострома Дмитрий Геннадьевич</v>
          </cell>
          <cell r="C40">
            <v>108404.27</v>
          </cell>
          <cell r="D40">
            <v>25916.97</v>
          </cell>
        </row>
        <row r="41">
          <cell r="A41" t="str">
            <v>Котов Александр Владимирович</v>
          </cell>
          <cell r="C41">
            <v>76119.41</v>
          </cell>
          <cell r="D41">
            <v>17917.78</v>
          </cell>
        </row>
        <row r="42">
          <cell r="A42" t="str">
            <v>Крыгина Наталья Сергеевна</v>
          </cell>
          <cell r="C42">
            <v>138820</v>
          </cell>
          <cell r="D42">
            <v>33188.92</v>
          </cell>
        </row>
        <row r="43">
          <cell r="A43" t="str">
            <v>Куракин Валерий Сергеевич</v>
          </cell>
          <cell r="C43">
            <v>120060</v>
          </cell>
          <cell r="D43">
            <v>28704</v>
          </cell>
        </row>
        <row r="44">
          <cell r="A44" t="str">
            <v>Лобанов Артем Николаевич</v>
          </cell>
          <cell r="C44">
            <v>103288</v>
          </cell>
          <cell r="D44">
            <v>24693.239999999998</v>
          </cell>
        </row>
        <row r="45">
          <cell r="A45" t="str">
            <v>Малистова Анна Олеговна</v>
          </cell>
          <cell r="C45">
            <v>13642.82</v>
          </cell>
          <cell r="D45">
            <v>3262.18</v>
          </cell>
        </row>
        <row r="46">
          <cell r="A46" t="str">
            <v>Малыхина Юлия Эдуардовна</v>
          </cell>
          <cell r="C46">
            <v>150287</v>
          </cell>
          <cell r="D46">
            <v>35931.040000000001</v>
          </cell>
        </row>
        <row r="47">
          <cell r="A47" t="str">
            <v>Мартынова Наталья Юрьевна</v>
          </cell>
          <cell r="C47">
            <v>90287</v>
          </cell>
          <cell r="D47">
            <v>21585.690000000002</v>
          </cell>
        </row>
        <row r="48">
          <cell r="A48" t="str">
            <v>Мирошникова Елена Владимировна</v>
          </cell>
          <cell r="C48">
            <v>80327</v>
          </cell>
          <cell r="D48">
            <v>19204.740000000002</v>
          </cell>
        </row>
        <row r="49">
          <cell r="A49" t="str">
            <v>Морозова Анастасия Леонидовна</v>
          </cell>
          <cell r="C49">
            <v>15321</v>
          </cell>
          <cell r="D49">
            <v>3628.44</v>
          </cell>
        </row>
        <row r="50">
          <cell r="A50" t="str">
            <v>Мулаева Анастасия Олеговна</v>
          </cell>
          <cell r="C50">
            <v>61258.289999999994</v>
          </cell>
          <cell r="D50">
            <v>14419.78</v>
          </cell>
        </row>
        <row r="51">
          <cell r="A51" t="str">
            <v>Орёл Оксана Анатольевна</v>
          </cell>
          <cell r="C51">
            <v>85327</v>
          </cell>
          <cell r="D51">
            <v>20400</v>
          </cell>
        </row>
        <row r="52">
          <cell r="A52" t="str">
            <v>Орлова Алла Александровна</v>
          </cell>
          <cell r="C52">
            <v>80287</v>
          </cell>
          <cell r="D52">
            <v>19195.150000000001</v>
          </cell>
        </row>
        <row r="53">
          <cell r="A53" t="str">
            <v>Паршакина Ольга Сергеевна</v>
          </cell>
          <cell r="C53">
            <v>120000</v>
          </cell>
          <cell r="D53">
            <v>28689.620000000003</v>
          </cell>
        </row>
        <row r="54">
          <cell r="A54" t="str">
            <v>Петров Владислав Валерьевич</v>
          </cell>
          <cell r="C54">
            <v>140288</v>
          </cell>
          <cell r="D54">
            <v>33539.5</v>
          </cell>
        </row>
        <row r="55">
          <cell r="A55" t="str">
            <v>Плужник Арсений Игоревич</v>
          </cell>
          <cell r="C55">
            <v>27364.639999999999</v>
          </cell>
          <cell r="D55">
            <v>6542.3899999999994</v>
          </cell>
        </row>
        <row r="56">
          <cell r="A56" t="str">
            <v>Пономаренко Елизавета Дмитриевна</v>
          </cell>
          <cell r="C56">
            <v>90332</v>
          </cell>
          <cell r="D56">
            <v>21596.74</v>
          </cell>
        </row>
        <row r="57">
          <cell r="A57" t="str">
            <v>Попова Ева Андреевна</v>
          </cell>
          <cell r="C57">
            <v>117381.20999999999</v>
          </cell>
          <cell r="D57">
            <v>28063.850000000002</v>
          </cell>
        </row>
        <row r="58">
          <cell r="A58" t="str">
            <v>Попова Юлия Андреевна</v>
          </cell>
          <cell r="C58">
            <v>75288</v>
          </cell>
          <cell r="D58">
            <v>17998.88</v>
          </cell>
        </row>
        <row r="59">
          <cell r="A59" t="str">
            <v>Порываева Виктория Дмитриевна</v>
          </cell>
          <cell r="C59">
            <v>72941</v>
          </cell>
          <cell r="D59">
            <v>17438.52</v>
          </cell>
        </row>
        <row r="60">
          <cell r="A60" t="str">
            <v>Потковский Иван Владимирович</v>
          </cell>
          <cell r="C60">
            <v>90287</v>
          </cell>
          <cell r="D60">
            <v>21585.68</v>
          </cell>
        </row>
        <row r="61">
          <cell r="A61" t="str">
            <v>Проклашкин Александр Сергеевич</v>
          </cell>
          <cell r="C61">
            <v>100000</v>
          </cell>
          <cell r="D61">
            <v>23908.559999999998</v>
          </cell>
        </row>
        <row r="62">
          <cell r="A62" t="str">
            <v>Пушкина Юлия Игоревна</v>
          </cell>
          <cell r="C62">
            <v>80000</v>
          </cell>
          <cell r="D62">
            <v>19126.41</v>
          </cell>
        </row>
        <row r="63">
          <cell r="A63" t="str">
            <v>Радецкая Лика Дмитриевна</v>
          </cell>
          <cell r="C63">
            <v>78423.13</v>
          </cell>
          <cell r="D63">
            <v>18750.079999999998</v>
          </cell>
        </row>
        <row r="64">
          <cell r="A64" t="str">
            <v>Рязанцев Андрей Николаевич</v>
          </cell>
          <cell r="C64">
            <v>70288</v>
          </cell>
          <cell r="D64">
            <v>16803.620000000003</v>
          </cell>
        </row>
        <row r="65">
          <cell r="A65" t="str">
            <v>Самсаева Кристина Юрьевна</v>
          </cell>
          <cell r="C65">
            <v>146244.70000000001</v>
          </cell>
          <cell r="D65">
            <v>34964.620000000003</v>
          </cell>
        </row>
        <row r="66">
          <cell r="A66" t="str">
            <v>Свистунов Даниил Иванович</v>
          </cell>
          <cell r="C66">
            <v>128706.32</v>
          </cell>
          <cell r="D66">
            <v>30771.19</v>
          </cell>
        </row>
        <row r="67">
          <cell r="A67" t="str">
            <v>Сидорова Елена Александровна</v>
          </cell>
          <cell r="C67">
            <v>79439.97</v>
          </cell>
          <cell r="D67">
            <v>18992.18</v>
          </cell>
        </row>
        <row r="68">
          <cell r="A68" t="str">
            <v>Симанович Варвара Сергеевна</v>
          </cell>
          <cell r="C68">
            <v>15007</v>
          </cell>
          <cell r="D68">
            <v>3554</v>
          </cell>
        </row>
        <row r="69">
          <cell r="A69" t="str">
            <v>Скрябина Елена Сергеевна</v>
          </cell>
          <cell r="C69">
            <v>95287</v>
          </cell>
          <cell r="D69">
            <v>22780.95</v>
          </cell>
        </row>
        <row r="70">
          <cell r="A70" t="str">
            <v>Слепова Надежда Сергеевна</v>
          </cell>
          <cell r="C70">
            <v>65487.729999999996</v>
          </cell>
          <cell r="D70">
            <v>15656.27</v>
          </cell>
        </row>
        <row r="71">
          <cell r="A71" t="str">
            <v>Суружиу Дмитрий Константинович</v>
          </cell>
          <cell r="C71">
            <v>93081</v>
          </cell>
          <cell r="D71">
            <v>22254.219999999998</v>
          </cell>
        </row>
        <row r="72">
          <cell r="A72" t="str">
            <v>Сычев</v>
          </cell>
        </row>
        <row r="73">
          <cell r="A73" t="str">
            <v>Ткаченко Александр Дмитриевич</v>
          </cell>
          <cell r="C73">
            <v>105337</v>
          </cell>
          <cell r="D73">
            <v>25184</v>
          </cell>
        </row>
        <row r="74">
          <cell r="A74" t="str">
            <v>Тюленев Юрий Юрьевич</v>
          </cell>
          <cell r="C74">
            <v>10505</v>
          </cell>
          <cell r="D74">
            <v>2487.6999999999998</v>
          </cell>
        </row>
        <row r="75">
          <cell r="A75" t="str">
            <v>Устинова Марина Александровна</v>
          </cell>
          <cell r="C75">
            <v>230605</v>
          </cell>
          <cell r="D75">
            <v>55132.92</v>
          </cell>
        </row>
        <row r="76">
          <cell r="A76" t="str">
            <v>Федярова Карина Сергеевна</v>
          </cell>
          <cell r="C76">
            <v>102000</v>
          </cell>
          <cell r="D76">
            <v>24385.8</v>
          </cell>
        </row>
        <row r="77">
          <cell r="A77" t="str">
            <v>Филиппова Екатерина Николаевна</v>
          </cell>
          <cell r="C77">
            <v>311905</v>
          </cell>
          <cell r="D77">
            <v>83664.95</v>
          </cell>
        </row>
        <row r="78">
          <cell r="A78" t="str">
            <v>Цаплина Олеся Рахимзяновна</v>
          </cell>
          <cell r="C78">
            <v>75287</v>
          </cell>
          <cell r="D78">
            <v>17999.88</v>
          </cell>
        </row>
        <row r="79">
          <cell r="A79" t="str">
            <v>Чемоданова Ольга Сергеевна</v>
          </cell>
          <cell r="C79">
            <v>64638.33</v>
          </cell>
          <cell r="D79">
            <v>15454.19</v>
          </cell>
        </row>
        <row r="80">
          <cell r="A80" t="str">
            <v>Чепков Артём Андреевич</v>
          </cell>
          <cell r="C80">
            <v>76676.179999999993</v>
          </cell>
          <cell r="D80">
            <v>18331.39</v>
          </cell>
        </row>
        <row r="81">
          <cell r="A81" t="str">
            <v>Чернова Светлана Александровна</v>
          </cell>
          <cell r="C81">
            <v>84910</v>
          </cell>
          <cell r="D81">
            <v>20104.38</v>
          </cell>
        </row>
        <row r="82">
          <cell r="A82" t="str">
            <v>Чернышёв Денис Вадимович</v>
          </cell>
          <cell r="C82">
            <v>90145</v>
          </cell>
          <cell r="D82">
            <v>21551.969999999998</v>
          </cell>
        </row>
        <row r="83">
          <cell r="A83" t="str">
            <v>Шапочкина Екатерина Игоревна</v>
          </cell>
          <cell r="C83">
            <v>110309.42</v>
          </cell>
          <cell r="D83">
            <v>26371.72</v>
          </cell>
        </row>
        <row r="84">
          <cell r="A84" t="str">
            <v>Швецов Никита Георгиевич</v>
          </cell>
          <cell r="C84">
            <v>111350</v>
          </cell>
          <cell r="D84">
            <v>26622.14</v>
          </cell>
        </row>
        <row r="85">
          <cell r="A85" t="str">
            <v>Шендрик Полина Сергеевна</v>
          </cell>
          <cell r="C85">
            <v>65320</v>
          </cell>
          <cell r="D85">
            <v>15616.24</v>
          </cell>
        </row>
        <row r="86">
          <cell r="A86" t="str">
            <v>Щур Анастасия Игоревна</v>
          </cell>
          <cell r="C86">
            <v>17000</v>
          </cell>
          <cell r="D86">
            <v>4026.12</v>
          </cell>
        </row>
        <row r="87">
          <cell r="A87" t="str">
            <v>Юмакулова Аида Александровна</v>
          </cell>
          <cell r="C87">
            <v>20000</v>
          </cell>
          <cell r="D87">
            <v>4782.1399999999994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://jurassicocean.ru/" TargetMode="External"/><Relationship Id="rId2" Type="http://schemas.openxmlformats.org/officeDocument/2006/relationships/hyperlink" Target="http://labquest.ru/" TargetMode="External"/><Relationship Id="rId1" Type="http://schemas.openxmlformats.org/officeDocument/2006/relationships/hyperlink" Target="http://asna.ru/" TargetMode="External"/><Relationship Id="rId6" Type="http://schemas.openxmlformats.org/officeDocument/2006/relationships/comments" Target="../comments6.xml"/><Relationship Id="rId5" Type="http://schemas.openxmlformats.org/officeDocument/2006/relationships/vmlDrawing" Target="../drawings/vmlDrawing6.vml"/><Relationship Id="rId4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spreadsheets/d/1w-DemPbXj4nW9BtOh9w_B_nyhkb7oqM6rf0iWm7d0sU/edit?usp=sharing" TargetMode="External"/><Relationship Id="rId7" Type="http://schemas.openxmlformats.org/officeDocument/2006/relationships/printerSettings" Target="../printerSettings/printerSettings12.bin"/><Relationship Id="rId2" Type="http://schemas.openxmlformats.org/officeDocument/2006/relationships/hyperlink" Target="https://drive.google.com/file/d/1Kn6EQsIgdzN5G2oamb1jnWyCHJqIn_Sb/view?usp=sharing" TargetMode="External"/><Relationship Id="rId1" Type="http://schemas.openxmlformats.org/officeDocument/2006/relationships/hyperlink" Target="https://docs.google.com/spreadsheets/d/1b1WUTmEx3zipbC1gmqZt2M3-i84MC912xpcblHVLDj8/edit?usp=sharing" TargetMode="External"/><Relationship Id="rId6" Type="http://schemas.openxmlformats.org/officeDocument/2006/relationships/hyperlink" Target="https://prcss.notion.site/UX-CRM-group-969d2c52e0c04203b21268acfdf69382" TargetMode="External"/><Relationship Id="rId5" Type="http://schemas.openxmlformats.org/officeDocument/2006/relationships/hyperlink" Target="http://jurassicocean.ru/" TargetMode="External"/><Relationship Id="rId4" Type="http://schemas.openxmlformats.org/officeDocument/2006/relationships/hyperlink" Target="https://docs.google.com/spreadsheets/d/1-Ld98AbGO_mxzW-LtcryAwELWwRjhdRTlD4sExtAFzQ/edit?usp=sharing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outlinePr summaryRight="0"/>
    <pageSetUpPr fitToPage="1"/>
  </sheetPr>
  <dimension ref="A1:AE1016"/>
  <sheetViews>
    <sheetView workbookViewId="0">
      <pane xSplit="3" ySplit="9" topLeftCell="W106" activePane="bottomRight" state="frozen"/>
      <selection pane="topRight" activeCell="D1" sqref="D1"/>
      <selection pane="bottomLeft" activeCell="A8" sqref="A8"/>
      <selection pane="bottomRight" activeCell="AA120" sqref="AA120"/>
    </sheetView>
  </sheetViews>
  <sheetFormatPr defaultColWidth="12.6640625" defaultRowHeight="15.75" customHeight="1" outlineLevelRow="1"/>
  <cols>
    <col min="1" max="1" width="5.88671875" customWidth="1"/>
    <col min="2" max="2" width="47.33203125" customWidth="1"/>
    <col min="3" max="3" width="17.88671875" style="153" customWidth="1"/>
    <col min="4" max="4" width="16.6640625" style="94" customWidth="1"/>
    <col min="5" max="5" width="16.6640625" customWidth="1"/>
    <col min="6" max="6" width="18.109375" style="94" customWidth="1"/>
    <col min="7" max="7" width="18.109375" customWidth="1"/>
    <col min="8" max="8" width="14.6640625" style="94" customWidth="1"/>
    <col min="9" max="9" width="18.109375" customWidth="1"/>
    <col min="10" max="10" width="14.109375" style="94" customWidth="1"/>
    <col min="11" max="11" width="14.109375" customWidth="1"/>
    <col min="12" max="12" width="14.33203125" style="94" customWidth="1"/>
    <col min="13" max="13" width="14.33203125" customWidth="1"/>
    <col min="14" max="14" width="16.6640625" style="94" customWidth="1"/>
    <col min="15" max="15" width="16.109375" customWidth="1"/>
    <col min="16" max="16" width="15.33203125" style="94" customWidth="1"/>
    <col min="17" max="17" width="14.5546875" style="1261" customWidth="1"/>
    <col min="18" max="19" width="13.44140625" customWidth="1"/>
    <col min="20" max="20" width="13.6640625" style="1681" customWidth="1"/>
    <col min="21" max="21" width="13.6640625" customWidth="1"/>
    <col min="22" max="22" width="14.5546875" style="94" customWidth="1"/>
    <col min="23" max="23" width="14.5546875" style="1261" customWidth="1"/>
    <col min="24" max="25" width="13.44140625" customWidth="1"/>
    <col min="26" max="26" width="13.33203125" style="153" customWidth="1"/>
    <col min="27" max="27" width="13.33203125" style="94" customWidth="1"/>
    <col min="28" max="28" width="14.33203125" style="153" customWidth="1"/>
    <col min="29" max="29" width="14.44140625" style="2051" customWidth="1"/>
    <col min="30" max="30" width="15.77734375" style="2052" customWidth="1"/>
  </cols>
  <sheetData>
    <row r="1" spans="1:30" s="87" customFormat="1" ht="15.75" customHeight="1" outlineLevel="1">
      <c r="A1" s="102"/>
      <c r="B1" s="103"/>
      <c r="C1" s="1517"/>
      <c r="D1" s="1794"/>
      <c r="E1" s="1794"/>
      <c r="F1" s="1795"/>
      <c r="G1" s="1795"/>
      <c r="H1" s="1795"/>
      <c r="I1" s="1795"/>
      <c r="J1" s="1795"/>
      <c r="K1" s="1795"/>
      <c r="L1" s="1795"/>
      <c r="M1" s="1795"/>
      <c r="N1" s="1795"/>
      <c r="O1" s="1795"/>
      <c r="P1" s="1795"/>
      <c r="Q1" s="1795"/>
      <c r="R1" s="1795"/>
      <c r="S1" s="1795"/>
      <c r="T1" s="1795"/>
      <c r="U1" s="1795"/>
      <c r="V1" s="1795"/>
      <c r="W1" s="1795"/>
      <c r="X1" s="1795"/>
      <c r="Y1" s="1795"/>
      <c r="Z1" s="1795"/>
      <c r="AA1" s="1968"/>
      <c r="AB1" s="529"/>
      <c r="AC1" s="2049"/>
      <c r="AD1" s="2050"/>
    </row>
    <row r="2" spans="1:30" ht="15.75" customHeight="1">
      <c r="A2" s="95"/>
      <c r="B2" s="1" t="s">
        <v>482</v>
      </c>
      <c r="C2" s="1518">
        <f>D9+F9+H9+J9+L9+N9+P9+R9+T9+V9+X9+Z9</f>
        <v>194952340.52181536</v>
      </c>
      <c r="D2" s="1629"/>
      <c r="E2" s="1635"/>
      <c r="F2" s="95"/>
      <c r="G2" s="98"/>
      <c r="H2" s="1290"/>
      <c r="I2" s="98"/>
      <c r="J2" s="95"/>
      <c r="K2" s="98"/>
      <c r="L2" s="95"/>
      <c r="M2" s="98"/>
      <c r="N2" s="95"/>
      <c r="O2" s="98"/>
      <c r="P2" s="95"/>
      <c r="Q2" s="1245"/>
      <c r="R2" s="98"/>
      <c r="S2" s="98"/>
      <c r="T2" s="1659"/>
      <c r="U2" s="98"/>
      <c r="V2" s="95"/>
      <c r="W2" s="1245"/>
      <c r="X2" s="98"/>
      <c r="Y2" s="98"/>
      <c r="Z2" s="1588"/>
      <c r="AA2" s="95"/>
    </row>
    <row r="3" spans="1:30" ht="15.75" customHeight="1">
      <c r="A3" s="95"/>
      <c r="B3" s="1" t="s">
        <v>483</v>
      </c>
      <c r="C3" s="1518">
        <f>Z114</f>
        <v>53778631.535699978</v>
      </c>
      <c r="D3" s="1290"/>
      <c r="E3" s="1011"/>
      <c r="F3" s="95"/>
      <c r="G3" s="98"/>
      <c r="H3" s="95"/>
      <c r="I3" s="98"/>
      <c r="J3" s="95"/>
      <c r="K3" s="98"/>
      <c r="L3" s="95"/>
      <c r="M3" s="98"/>
      <c r="N3" s="95"/>
      <c r="O3" s="98"/>
      <c r="P3" s="95"/>
      <c r="Q3" s="1245"/>
      <c r="R3" s="98"/>
      <c r="S3" s="98"/>
      <c r="T3" s="1659"/>
      <c r="U3" s="98"/>
      <c r="V3" s="95"/>
      <c r="W3" s="1245"/>
      <c r="X3" s="98"/>
      <c r="Y3" s="98"/>
      <c r="Z3" s="1588"/>
      <c r="AA3" s="95"/>
    </row>
    <row r="4" spans="1:30" ht="15.75" customHeight="1">
      <c r="A4" s="95"/>
      <c r="B4" s="1" t="s">
        <v>791</v>
      </c>
      <c r="C4" s="1519">
        <f>C3/C2</f>
        <v>0.27585527514957991</v>
      </c>
      <c r="D4" s="95"/>
      <c r="E4" s="98"/>
      <c r="F4" s="95"/>
      <c r="G4" s="98"/>
      <c r="H4" s="95"/>
      <c r="I4" s="98"/>
      <c r="J4" s="95"/>
      <c r="K4" s="98"/>
      <c r="L4" s="95"/>
      <c r="M4" s="98"/>
      <c r="N4" s="95"/>
      <c r="O4" s="98"/>
      <c r="P4" s="95"/>
      <c r="Q4" s="1245"/>
      <c r="R4" s="98"/>
      <c r="S4" s="98"/>
      <c r="T4" s="1659"/>
      <c r="U4" s="98"/>
      <c r="V4" s="95"/>
      <c r="W4" s="1245"/>
      <c r="X4" s="98"/>
      <c r="Y4" s="98"/>
      <c r="Z4" s="1588"/>
      <c r="AA4" s="95"/>
    </row>
    <row r="5" spans="1:30" ht="15.75" customHeight="1">
      <c r="A5" s="95"/>
      <c r="B5" s="2"/>
      <c r="C5" s="1520"/>
      <c r="D5" s="1279" t="s">
        <v>63</v>
      </c>
      <c r="E5" s="794" t="s">
        <v>238</v>
      </c>
      <c r="F5" s="1279" t="s">
        <v>63</v>
      </c>
      <c r="G5" s="794" t="s">
        <v>238</v>
      </c>
      <c r="H5" s="1279" t="s">
        <v>63</v>
      </c>
      <c r="I5" s="794" t="s">
        <v>238</v>
      </c>
      <c r="J5" s="1279" t="s">
        <v>63</v>
      </c>
      <c r="K5" s="794" t="s">
        <v>238</v>
      </c>
      <c r="L5" s="1279" t="s">
        <v>63</v>
      </c>
      <c r="M5" s="794" t="s">
        <v>63</v>
      </c>
      <c r="N5" s="1279" t="s">
        <v>63</v>
      </c>
      <c r="O5" s="794" t="s">
        <v>238</v>
      </c>
      <c r="P5" s="1279" t="s">
        <v>63</v>
      </c>
      <c r="Q5" s="1246" t="s">
        <v>238</v>
      </c>
      <c r="R5" s="794" t="s">
        <v>63</v>
      </c>
      <c r="S5" s="794" t="s">
        <v>238</v>
      </c>
      <c r="T5" s="1660" t="s">
        <v>63</v>
      </c>
      <c r="U5" s="794" t="s">
        <v>238</v>
      </c>
      <c r="V5" s="1279" t="s">
        <v>63</v>
      </c>
      <c r="W5" s="1246" t="s">
        <v>238</v>
      </c>
      <c r="X5" s="794" t="s">
        <v>63</v>
      </c>
      <c r="Y5" s="794" t="s">
        <v>238</v>
      </c>
      <c r="Z5" s="934" t="s">
        <v>63</v>
      </c>
      <c r="AA5" s="1279" t="s">
        <v>238</v>
      </c>
      <c r="AB5" s="934" t="s">
        <v>337</v>
      </c>
      <c r="AC5" s="934" t="s">
        <v>1093</v>
      </c>
      <c r="AD5" s="1246" t="s">
        <v>1253</v>
      </c>
    </row>
    <row r="6" spans="1:30" ht="15.75" customHeight="1" thickBot="1">
      <c r="A6" s="95"/>
      <c r="B6" s="104" t="s">
        <v>0</v>
      </c>
      <c r="C6" s="1520"/>
      <c r="D6" s="1280">
        <v>1</v>
      </c>
      <c r="E6" s="795">
        <v>1</v>
      </c>
      <c r="F6" s="1280">
        <v>2</v>
      </c>
      <c r="G6" s="795">
        <v>2</v>
      </c>
      <c r="H6" s="1280">
        <v>3</v>
      </c>
      <c r="I6" s="795">
        <v>3</v>
      </c>
      <c r="J6" s="1280">
        <v>4</v>
      </c>
      <c r="K6" s="795">
        <v>4</v>
      </c>
      <c r="L6" s="1280">
        <v>5</v>
      </c>
      <c r="M6" s="795">
        <v>5</v>
      </c>
      <c r="N6" s="1280">
        <v>6</v>
      </c>
      <c r="O6" s="795">
        <v>6</v>
      </c>
      <c r="P6" s="1280">
        <v>7</v>
      </c>
      <c r="Q6" s="1247">
        <v>7</v>
      </c>
      <c r="R6" s="795">
        <v>8</v>
      </c>
      <c r="S6" s="795">
        <v>8</v>
      </c>
      <c r="T6" s="1661">
        <v>9</v>
      </c>
      <c r="U6" s="795">
        <v>9</v>
      </c>
      <c r="V6" s="1280">
        <v>10</v>
      </c>
      <c r="W6" s="1247">
        <v>10</v>
      </c>
      <c r="X6" s="795">
        <v>11</v>
      </c>
      <c r="Y6" s="795">
        <v>11</v>
      </c>
      <c r="Z6" s="1589">
        <v>12</v>
      </c>
      <c r="AA6" s="1280">
        <v>12</v>
      </c>
      <c r="AB6" s="2035"/>
    </row>
    <row r="7" spans="1:30" s="1513" customFormat="1" ht="15.75" customHeight="1">
      <c r="A7" s="1510"/>
      <c r="B7" s="1511" t="s">
        <v>1124</v>
      </c>
      <c r="C7" s="1521"/>
      <c r="D7" s="1576"/>
      <c r="E7" s="1512">
        <f>E9+E8</f>
        <v>10102614.961428571</v>
      </c>
      <c r="F7" s="1576"/>
      <c r="G7" s="1512">
        <f>G8+G9</f>
        <v>12029193.925238093</v>
      </c>
      <c r="H7" s="1576"/>
      <c r="I7" s="1512">
        <f>I8+I9</f>
        <v>11360492.840476189</v>
      </c>
      <c r="J7" s="1576"/>
      <c r="K7" s="1512">
        <f>K8+K9</f>
        <v>12078468.925238093</v>
      </c>
      <c r="L7" s="1576"/>
      <c r="M7" s="1512">
        <f>M9+M8</f>
        <v>12503714.840476189</v>
      </c>
      <c r="N7" s="1576"/>
      <c r="O7" s="1512">
        <f>O8+O9</f>
        <v>10971089.293333331</v>
      </c>
      <c r="P7" s="1576"/>
      <c r="Q7" s="1577">
        <f>Q8+Q9</f>
        <v>11716149.984285714</v>
      </c>
      <c r="R7" s="1512"/>
      <c r="S7" s="1512">
        <f>S9+S8</f>
        <v>10843120.382380953</v>
      </c>
      <c r="T7" s="1662"/>
      <c r="U7" s="1512">
        <f>U8+U9</f>
        <v>12070446.94142857</v>
      </c>
      <c r="V7" s="1576"/>
      <c r="W7" s="1577">
        <f>W8+W9</f>
        <v>12434280.285714285</v>
      </c>
      <c r="X7" s="1512"/>
      <c r="Y7" s="1512">
        <f>Y9+Y8</f>
        <v>12148776.057142857</v>
      </c>
      <c r="Z7" s="1590"/>
      <c r="AA7" s="1576">
        <f>AA8+AA9</f>
        <v>17199184.121428572</v>
      </c>
      <c r="AB7" s="1590"/>
      <c r="AC7" s="2053">
        <f>SUM(D7:AA7)</f>
        <v>145457532.5585714</v>
      </c>
      <c r="AD7" s="2054">
        <f t="shared" ref="AD7:AD8" si="0">AC7/12</f>
        <v>12121461.046547616</v>
      </c>
    </row>
    <row r="8" spans="1:30" s="1322" customFormat="1" ht="15.75" customHeight="1" thickBot="1">
      <c r="A8" s="1514"/>
      <c r="B8" s="1381" t="s">
        <v>1125</v>
      </c>
      <c r="C8" s="1522"/>
      <c r="D8" s="1578"/>
      <c r="E8" s="1515">
        <v>468663.42</v>
      </c>
      <c r="F8" s="1578"/>
      <c r="G8" s="1515">
        <v>536537.34</v>
      </c>
      <c r="H8" s="1578"/>
      <c r="I8" s="1515">
        <v>563526.69999999995</v>
      </c>
      <c r="J8" s="1578"/>
      <c r="K8" s="1515">
        <v>536106.76</v>
      </c>
      <c r="L8" s="1578"/>
      <c r="M8" s="1515">
        <v>545088.44999999995</v>
      </c>
      <c r="N8" s="1578"/>
      <c r="O8" s="1515">
        <v>495577.4</v>
      </c>
      <c r="P8" s="1578"/>
      <c r="Q8" s="1579">
        <v>565315.09</v>
      </c>
      <c r="R8" s="1515"/>
      <c r="S8" s="1515">
        <v>464282.96</v>
      </c>
      <c r="T8" s="1663"/>
      <c r="U8" s="1515">
        <v>620657.12</v>
      </c>
      <c r="V8" s="1578"/>
      <c r="W8" s="1579">
        <v>541266.87</v>
      </c>
      <c r="X8" s="1515"/>
      <c r="Y8" s="1515">
        <v>551061.01</v>
      </c>
      <c r="Z8" s="1591"/>
      <c r="AA8" s="1578">
        <v>788270.54</v>
      </c>
      <c r="AB8" s="1591"/>
      <c r="AC8" s="2055">
        <f>SUM(D8:AA8)</f>
        <v>6676353.6599999992</v>
      </c>
      <c r="AD8" s="2056">
        <f t="shared" si="0"/>
        <v>556362.80499999993</v>
      </c>
    </row>
    <row r="9" spans="1:30" s="1727" customFormat="1" ht="15.75" customHeight="1" thickBot="1">
      <c r="A9" s="1719"/>
      <c r="B9" s="1720" t="s">
        <v>1127</v>
      </c>
      <c r="C9" s="1721"/>
      <c r="D9" s="1722">
        <f t="shared" ref="D9:Z9" si="1">D38+D55+D56+D57</f>
        <v>12422913.73493143</v>
      </c>
      <c r="E9" s="1723">
        <f>E38+E55+E56+E57</f>
        <v>9633951.5414285716</v>
      </c>
      <c r="F9" s="1722">
        <f t="shared" si="1"/>
        <v>12630400.42539089</v>
      </c>
      <c r="G9" s="1723">
        <f>G38+G55+G56+G57</f>
        <v>11492656.585238094</v>
      </c>
      <c r="H9" s="1722">
        <f t="shared" si="1"/>
        <v>16723252.901935209</v>
      </c>
      <c r="I9" s="1723">
        <f>I38+I55+I56+I57</f>
        <v>10796966.14047619</v>
      </c>
      <c r="J9" s="1722">
        <f t="shared" si="1"/>
        <v>15989617.398138817</v>
      </c>
      <c r="K9" s="1723">
        <f>K38+K55+K56+K57</f>
        <v>11542362.165238094</v>
      </c>
      <c r="L9" s="1722">
        <f t="shared" si="1"/>
        <v>15585392.972781209</v>
      </c>
      <c r="M9" s="1723">
        <f>M38+M55+M56+M57</f>
        <v>11958626.39047619</v>
      </c>
      <c r="N9" s="1722">
        <f t="shared" si="1"/>
        <v>14875071.603710426</v>
      </c>
      <c r="O9" s="1723">
        <f>O38+O55+O56+O57</f>
        <v>10475511.893333331</v>
      </c>
      <c r="P9" s="1722">
        <f t="shared" si="1"/>
        <v>15830169.32014871</v>
      </c>
      <c r="Q9" s="1724">
        <f>Q38+Q55+Q56+Q57</f>
        <v>11150834.894285714</v>
      </c>
      <c r="R9" s="1723">
        <f t="shared" si="1"/>
        <v>16353370.38557478</v>
      </c>
      <c r="S9" s="1723">
        <f>S38+S55+S56+S57</f>
        <v>10378837.422380952</v>
      </c>
      <c r="T9" s="1725">
        <f t="shared" si="1"/>
        <v>17801453.48729429</v>
      </c>
      <c r="U9" s="1723">
        <f>U38+U55+U56+U57</f>
        <v>11449789.821428571</v>
      </c>
      <c r="V9" s="1722">
        <f t="shared" si="1"/>
        <v>18362765.451205842</v>
      </c>
      <c r="W9" s="1724">
        <f>W38+W55+W56+W57</f>
        <v>11893013.415714286</v>
      </c>
      <c r="X9" s="1723">
        <f t="shared" si="1"/>
        <v>19010717.363473043</v>
      </c>
      <c r="Y9" s="1723">
        <f t="shared" ref="Y9" si="2">Y38+Y55+Y56+Y57</f>
        <v>11597715.047142858</v>
      </c>
      <c r="Z9" s="1726">
        <f t="shared" si="1"/>
        <v>19367215.477230728</v>
      </c>
      <c r="AA9" s="1722">
        <f t="shared" ref="AA9" si="3">AA38+AA55+AA56+AA57</f>
        <v>16410913.581428571</v>
      </c>
      <c r="AB9" s="1726">
        <f>D9+F9+H9+J9+L9+N9+P9+R9+T9+V9+X9+Z9</f>
        <v>194952340.52181536</v>
      </c>
      <c r="AC9" s="2057">
        <f>E9+G9+I9+K9+M9+O9+Q9+S9+U9+W9+Y9+AA9</f>
        <v>138781178.8985714</v>
      </c>
      <c r="AD9" s="2058">
        <f>AC9/12</f>
        <v>11565098.241547616</v>
      </c>
    </row>
    <row r="10" spans="1:30" s="875" customFormat="1" ht="15.75" customHeight="1" thickBot="1">
      <c r="A10" s="883"/>
      <c r="B10" s="884" t="s">
        <v>2</v>
      </c>
      <c r="C10" s="1523">
        <f>D10+F10+H10+J10+L10+N10+P10+R10+T10+V10+X10+Z10</f>
        <v>754.93421052631584</v>
      </c>
      <c r="D10" s="1282">
        <f>D11+D16+D21</f>
        <v>38.706140350877192</v>
      </c>
      <c r="E10" s="1244">
        <f>E11+E16+E21</f>
        <v>12</v>
      </c>
      <c r="F10" s="1282">
        <f t="shared" ref="F10:Z10" si="4">F11+F16+F21</f>
        <v>38.706140350877192</v>
      </c>
      <c r="G10" s="1244">
        <f>G11+G16+G21</f>
        <v>40</v>
      </c>
      <c r="H10" s="1282">
        <f t="shared" si="4"/>
        <v>38.706140350877192</v>
      </c>
      <c r="I10" s="1244">
        <f t="shared" si="4"/>
        <v>44</v>
      </c>
      <c r="J10" s="1282">
        <f t="shared" si="4"/>
        <v>54.495614035087719</v>
      </c>
      <c r="K10" s="1244">
        <f>K11+K16+K21</f>
        <v>47</v>
      </c>
      <c r="L10" s="1282">
        <f t="shared" si="4"/>
        <v>54.495614035087719</v>
      </c>
      <c r="M10" s="1244">
        <f>M11+M16+M21</f>
        <v>36</v>
      </c>
      <c r="N10" s="1282">
        <f t="shared" si="4"/>
        <v>54.495614035087719</v>
      </c>
      <c r="O10" s="1244">
        <f>O11+O16+O21</f>
        <v>41</v>
      </c>
      <c r="P10" s="1282">
        <f t="shared" si="4"/>
        <v>76.535087719298247</v>
      </c>
      <c r="Q10" s="1283">
        <f>Q11+Q16+Q21</f>
        <v>39</v>
      </c>
      <c r="R10" s="1244">
        <f t="shared" si="4"/>
        <v>70.285087719298247</v>
      </c>
      <c r="S10" s="1244">
        <f>S11+S16+S21</f>
        <v>32.25</v>
      </c>
      <c r="T10" s="1664">
        <f t="shared" si="4"/>
        <v>70.285087719298247</v>
      </c>
      <c r="U10" s="1244">
        <f>U11+U16+U21</f>
        <v>29</v>
      </c>
      <c r="V10" s="1282">
        <f t="shared" si="4"/>
        <v>86.074561403508767</v>
      </c>
      <c r="W10" s="1283">
        <f>W11+W16+W21</f>
        <v>28</v>
      </c>
      <c r="X10" s="1244">
        <f t="shared" si="4"/>
        <v>86.074561403508767</v>
      </c>
      <c r="Y10" s="1244">
        <f t="shared" ref="Y10" si="5">Y11+Y16+Y21</f>
        <v>22</v>
      </c>
      <c r="Z10" s="1592">
        <f t="shared" si="4"/>
        <v>86.074561403508767</v>
      </c>
      <c r="AA10" s="1282">
        <f t="shared" ref="AA10" si="6">AA11+AA16+AA21</f>
        <v>21</v>
      </c>
      <c r="AB10" s="1996">
        <f>C10</f>
        <v>754.93421052631584</v>
      </c>
      <c r="AC10" s="937">
        <f>E10+G10+I10++K10+M10+O10+Q10+S10+U10+W10+Y10+AA10</f>
        <v>391.25</v>
      </c>
      <c r="AD10" s="2059"/>
    </row>
    <row r="11" spans="1:30" s="1320" customFormat="1" ht="15.75" customHeight="1" outlineLevel="1">
      <c r="A11" s="1317"/>
      <c r="B11" s="1318" t="s">
        <v>425</v>
      </c>
      <c r="C11" s="1524">
        <f>D11+F11+H11+J11+L11+N11+P11+R11+T11+V11+X11+Z11</f>
        <v>199.99999999999997</v>
      </c>
      <c r="D11" s="1317">
        <f t="shared" ref="D11:Z11" si="7">D12+D13</f>
        <v>16.666666666666668</v>
      </c>
      <c r="E11" s="1319">
        <f>E12+E13</f>
        <v>5</v>
      </c>
      <c r="F11" s="1317">
        <f t="shared" si="7"/>
        <v>16.666666666666668</v>
      </c>
      <c r="G11" s="1319">
        <f>G12+G13</f>
        <v>10</v>
      </c>
      <c r="H11" s="1317">
        <f t="shared" si="7"/>
        <v>16.666666666666668</v>
      </c>
      <c r="I11" s="1319">
        <f t="shared" si="7"/>
        <v>13</v>
      </c>
      <c r="J11" s="1317">
        <f t="shared" si="7"/>
        <v>16.666666666666668</v>
      </c>
      <c r="K11" s="1319">
        <f>K12+K13</f>
        <v>13</v>
      </c>
      <c r="L11" s="1317">
        <f t="shared" si="7"/>
        <v>16.666666666666668</v>
      </c>
      <c r="M11" s="1319">
        <f>M12+M13</f>
        <v>8</v>
      </c>
      <c r="N11" s="1317">
        <f t="shared" si="7"/>
        <v>16.666666666666668</v>
      </c>
      <c r="O11" s="1319">
        <f>O12+O13</f>
        <v>17</v>
      </c>
      <c r="P11" s="1317">
        <f t="shared" si="7"/>
        <v>16.666666666666668</v>
      </c>
      <c r="Q11" s="1323">
        <f>Q12+Q13</f>
        <v>17</v>
      </c>
      <c r="R11" s="1319">
        <f t="shared" si="7"/>
        <v>16.666666666666668</v>
      </c>
      <c r="S11" s="1319">
        <f>S12+S13</f>
        <v>10</v>
      </c>
      <c r="T11" s="1665">
        <f t="shared" si="7"/>
        <v>16.666666666666668</v>
      </c>
      <c r="U11" s="1319">
        <f>U12+U13</f>
        <v>8</v>
      </c>
      <c r="V11" s="1317">
        <f t="shared" si="7"/>
        <v>16.666666666666668</v>
      </c>
      <c r="W11" s="1323">
        <f>W12+W13</f>
        <v>10</v>
      </c>
      <c r="X11" s="1319">
        <f t="shared" si="7"/>
        <v>16.666666666666668</v>
      </c>
      <c r="Y11" s="1319">
        <f t="shared" ref="Y11" si="8">Y12+Y13</f>
        <v>12</v>
      </c>
      <c r="Z11" s="1524">
        <f t="shared" si="7"/>
        <v>16.666666666666668</v>
      </c>
      <c r="AA11" s="1317">
        <f t="shared" ref="AA11" si="9">AA12+AA13</f>
        <v>8</v>
      </c>
      <c r="AB11" s="1624">
        <f>C11</f>
        <v>199.99999999999997</v>
      </c>
      <c r="AC11" s="2060">
        <f>E11+G11+I11++K11+M11+O11+Q11+S11+U11+W11+Y11+AA11</f>
        <v>131</v>
      </c>
      <c r="AD11" s="2061"/>
    </row>
    <row r="12" spans="1:30" s="1998" customFormat="1" ht="15.75" customHeight="1" outlineLevel="1">
      <c r="A12" s="1310"/>
      <c r="B12" s="1997" t="s">
        <v>426</v>
      </c>
      <c r="C12" s="1525">
        <f>SUM(D12:Z12)-E12-G12-I12-K12-M12-O12-Q12-S12-U12-W12-Y12</f>
        <v>99.999999999999972</v>
      </c>
      <c r="D12" s="1284">
        <f>D14*100/$C$14</f>
        <v>8.3333333333333339</v>
      </c>
      <c r="E12" s="1970">
        <v>4</v>
      </c>
      <c r="F12" s="1284">
        <f t="shared" ref="F12:Z12" si="10">F14*100/$C$14</f>
        <v>8.3333333333333339</v>
      </c>
      <c r="G12" s="1970">
        <v>4</v>
      </c>
      <c r="H12" s="1284">
        <f t="shared" si="10"/>
        <v>8.3333333333333339</v>
      </c>
      <c r="I12" s="1970">
        <v>4</v>
      </c>
      <c r="J12" s="1284">
        <f t="shared" si="10"/>
        <v>8.3333333333333339</v>
      </c>
      <c r="K12" s="1970">
        <v>4</v>
      </c>
      <c r="L12" s="1284">
        <f t="shared" si="10"/>
        <v>8.3333333333333339</v>
      </c>
      <c r="M12" s="1970">
        <v>3</v>
      </c>
      <c r="N12" s="1284">
        <f t="shared" si="10"/>
        <v>8.3333333333333339</v>
      </c>
      <c r="O12" s="1970">
        <v>2</v>
      </c>
      <c r="P12" s="1284">
        <f t="shared" si="10"/>
        <v>8.3333333333333339</v>
      </c>
      <c r="Q12" s="1248">
        <v>1</v>
      </c>
      <c r="R12" s="1970">
        <f t="shared" si="10"/>
        <v>8.3333333333333339</v>
      </c>
      <c r="S12" s="1970">
        <v>4</v>
      </c>
      <c r="T12" s="1666">
        <f t="shared" si="10"/>
        <v>8.3333333333333339</v>
      </c>
      <c r="U12" s="1970">
        <v>3</v>
      </c>
      <c r="V12" s="1284">
        <f t="shared" si="10"/>
        <v>8.3333333333333339</v>
      </c>
      <c r="W12" s="1248">
        <v>4</v>
      </c>
      <c r="X12" s="1970">
        <f t="shared" si="10"/>
        <v>8.3333333333333339</v>
      </c>
      <c r="Y12" s="1970">
        <v>5</v>
      </c>
      <c r="Z12" s="1593">
        <f t="shared" si="10"/>
        <v>8.3333333333333339</v>
      </c>
      <c r="AA12" s="1284">
        <v>1</v>
      </c>
      <c r="AB12" s="1625">
        <f>C12</f>
        <v>99.999999999999972</v>
      </c>
      <c r="AC12" s="2062">
        <f t="shared" ref="AC11:AC13" si="11">E12+G12+I12++K12+M12+O12+Q12+S12+U12+W12+Y12+AA12</f>
        <v>39</v>
      </c>
      <c r="AD12" s="2063"/>
    </row>
    <row r="13" spans="1:30" s="1998" customFormat="1" ht="15.75" customHeight="1" outlineLevel="1">
      <c r="A13" s="1310"/>
      <c r="B13" s="1997" t="s">
        <v>427</v>
      </c>
      <c r="C13" s="1525">
        <f>SUM(D13:Z13)-E13-G13-I13-K13-M13-O13-Q13-S13-U13-W13-Y13</f>
        <v>100.00000000000003</v>
      </c>
      <c r="D13" s="1284">
        <f>D15*100/$C$14</f>
        <v>8.3333333333333339</v>
      </c>
      <c r="E13" s="1970">
        <v>1</v>
      </c>
      <c r="F13" s="1284">
        <f t="shared" ref="F13:Z13" si="12">F15*100/$C$14</f>
        <v>8.3333333333333339</v>
      </c>
      <c r="G13" s="1970">
        <v>6</v>
      </c>
      <c r="H13" s="1284">
        <f t="shared" si="12"/>
        <v>8.3333333333333339</v>
      </c>
      <c r="I13" s="1970">
        <v>9</v>
      </c>
      <c r="J13" s="1284">
        <f t="shared" si="12"/>
        <v>8.3333333333333339</v>
      </c>
      <c r="K13" s="1970">
        <v>9</v>
      </c>
      <c r="L13" s="1284">
        <f t="shared" si="12"/>
        <v>8.3333333333333339</v>
      </c>
      <c r="M13" s="1970">
        <v>5</v>
      </c>
      <c r="N13" s="1284">
        <f t="shared" si="12"/>
        <v>8.3333333333333339</v>
      </c>
      <c r="O13" s="1970">
        <v>15</v>
      </c>
      <c r="P13" s="1284">
        <f t="shared" si="12"/>
        <v>8.3333333333333339</v>
      </c>
      <c r="Q13" s="1248">
        <v>16</v>
      </c>
      <c r="R13" s="1970">
        <f t="shared" si="12"/>
        <v>8.3333333333333339</v>
      </c>
      <c r="S13" s="1970">
        <v>6</v>
      </c>
      <c r="T13" s="1666">
        <f t="shared" si="12"/>
        <v>8.3333333333333339</v>
      </c>
      <c r="U13" s="1970">
        <v>5</v>
      </c>
      <c r="V13" s="1284">
        <f t="shared" si="12"/>
        <v>8.3333333333333339</v>
      </c>
      <c r="W13" s="1248">
        <v>6</v>
      </c>
      <c r="X13" s="1970">
        <f t="shared" si="12"/>
        <v>8.3333333333333339</v>
      </c>
      <c r="Y13" s="1970">
        <v>7</v>
      </c>
      <c r="Z13" s="1593">
        <f t="shared" si="12"/>
        <v>8.3333333333333339</v>
      </c>
      <c r="AA13" s="1284">
        <v>7</v>
      </c>
      <c r="AB13" s="1625">
        <f>C13</f>
        <v>100.00000000000003</v>
      </c>
      <c r="AC13" s="2062">
        <f t="shared" si="11"/>
        <v>92</v>
      </c>
      <c r="AD13" s="2063"/>
    </row>
    <row r="14" spans="1:30" s="2000" customFormat="1" ht="15.75" customHeight="1" outlineLevel="1">
      <c r="A14" s="1311"/>
      <c r="B14" s="1999" t="s">
        <v>428</v>
      </c>
      <c r="C14" s="1526">
        <f>SUM(D14:Z14)-E14-G14-I14-Q14-S14-U14-W14-Y14</f>
        <v>6</v>
      </c>
      <c r="D14" s="1285">
        <v>0.5</v>
      </c>
      <c r="E14" s="1971">
        <v>0</v>
      </c>
      <c r="F14" s="1285">
        <f>D14</f>
        <v>0.5</v>
      </c>
      <c r="G14" s="1971">
        <f>E14</f>
        <v>0</v>
      </c>
      <c r="H14" s="1285">
        <f>F14</f>
        <v>0.5</v>
      </c>
      <c r="I14" s="1971">
        <v>2</v>
      </c>
      <c r="J14" s="1285">
        <f>H14</f>
        <v>0.5</v>
      </c>
      <c r="K14" s="1971">
        <v>0</v>
      </c>
      <c r="L14" s="1285">
        <f>J14</f>
        <v>0.5</v>
      </c>
      <c r="M14" s="1971">
        <f>K14</f>
        <v>0</v>
      </c>
      <c r="N14" s="1285">
        <f>L14</f>
        <v>0.5</v>
      </c>
      <c r="O14" s="1971">
        <f>M14</f>
        <v>0</v>
      </c>
      <c r="P14" s="1285">
        <f>N14</f>
        <v>0.5</v>
      </c>
      <c r="Q14" s="1249">
        <v>1</v>
      </c>
      <c r="R14" s="1971">
        <f>P14</f>
        <v>0.5</v>
      </c>
      <c r="S14" s="1971">
        <v>1</v>
      </c>
      <c r="T14" s="1667">
        <f>R14</f>
        <v>0.5</v>
      </c>
      <c r="U14" s="1971">
        <v>0</v>
      </c>
      <c r="V14" s="1285">
        <f>T14</f>
        <v>0.5</v>
      </c>
      <c r="W14" s="1249">
        <v>1</v>
      </c>
      <c r="X14" s="1971">
        <f>V14</f>
        <v>0.5</v>
      </c>
      <c r="Y14" s="1971">
        <v>2</v>
      </c>
      <c r="Z14" s="1594">
        <f>X14</f>
        <v>0.5</v>
      </c>
      <c r="AA14" s="1285">
        <v>0</v>
      </c>
      <c r="AB14" s="1594">
        <f>D14+F14+H14+J14+L14+N14+P14+R14+T14+V14+X14+Z14</f>
        <v>6</v>
      </c>
      <c r="AC14" s="2064">
        <f t="shared" ref="AC14:AC34" si="13">E14+G14+I14+K14+M14+O14+Q14+S14+U14+W14+Y14+AA14</f>
        <v>7</v>
      </c>
      <c r="AD14" s="2065"/>
    </row>
    <row r="15" spans="1:30" s="1316" customFormat="1" ht="15.75" customHeight="1" outlineLevel="1" thickBot="1">
      <c r="A15" s="1312"/>
      <c r="B15" s="1313" t="s">
        <v>429</v>
      </c>
      <c r="C15" s="1527"/>
      <c r="D15" s="1315">
        <v>0.5</v>
      </c>
      <c r="E15" s="1314">
        <v>1</v>
      </c>
      <c r="F15" s="1315">
        <f>D15</f>
        <v>0.5</v>
      </c>
      <c r="G15" s="1314">
        <v>0</v>
      </c>
      <c r="H15" s="1315">
        <f>F15</f>
        <v>0.5</v>
      </c>
      <c r="I15" s="1314">
        <v>0</v>
      </c>
      <c r="J15" s="1315">
        <f>H15</f>
        <v>0.5</v>
      </c>
      <c r="K15" s="1314">
        <v>2</v>
      </c>
      <c r="L15" s="1315">
        <f>J15</f>
        <v>0.5</v>
      </c>
      <c r="M15" s="1314">
        <v>0</v>
      </c>
      <c r="N15" s="1315">
        <f>L15</f>
        <v>0.5</v>
      </c>
      <c r="O15" s="1314">
        <f>M15</f>
        <v>0</v>
      </c>
      <c r="P15" s="1315">
        <f>N15</f>
        <v>0.5</v>
      </c>
      <c r="Q15" s="1324">
        <v>3</v>
      </c>
      <c r="R15" s="1314">
        <f>P15</f>
        <v>0.5</v>
      </c>
      <c r="S15" s="1314">
        <v>0</v>
      </c>
      <c r="T15" s="1668">
        <f>R15</f>
        <v>0.5</v>
      </c>
      <c r="U15" s="1314">
        <v>1</v>
      </c>
      <c r="V15" s="1315">
        <f>T15</f>
        <v>0.5</v>
      </c>
      <c r="W15" s="1324">
        <f>U15</f>
        <v>1</v>
      </c>
      <c r="X15" s="1314">
        <f>V15</f>
        <v>0.5</v>
      </c>
      <c r="Y15" s="1314">
        <v>1</v>
      </c>
      <c r="Z15" s="1595">
        <f>X15</f>
        <v>0.5</v>
      </c>
      <c r="AA15" s="1315">
        <v>0</v>
      </c>
      <c r="AB15" s="1595">
        <f t="shared" ref="AB14:AB15" si="14">D15+F15+H15+J15+L15+N15+P15+R15+T15+V15+X15+Z15</f>
        <v>6</v>
      </c>
      <c r="AC15" s="2066">
        <f t="shared" si="13"/>
        <v>9</v>
      </c>
      <c r="AD15" s="2067"/>
    </row>
    <row r="16" spans="1:30" s="1320" customFormat="1" ht="15.75" customHeight="1" outlineLevel="1">
      <c r="A16" s="1317"/>
      <c r="B16" s="1318" t="s">
        <v>431</v>
      </c>
      <c r="C16" s="1524">
        <f>C17+C18</f>
        <v>81.25</v>
      </c>
      <c r="D16" s="1317">
        <f t="shared" ref="D16:Z16" si="15">D17+D18</f>
        <v>6.25</v>
      </c>
      <c r="E16" s="1319">
        <f>E17+E18</f>
        <v>7</v>
      </c>
      <c r="F16" s="1317">
        <f t="shared" si="15"/>
        <v>6.25</v>
      </c>
      <c r="G16" s="1319">
        <f>G17+G18</f>
        <v>7</v>
      </c>
      <c r="H16" s="1317">
        <f t="shared" si="15"/>
        <v>6.25</v>
      </c>
      <c r="I16" s="1319">
        <f t="shared" si="15"/>
        <v>8</v>
      </c>
      <c r="J16" s="1317">
        <f t="shared" si="15"/>
        <v>6.25</v>
      </c>
      <c r="K16" s="1319">
        <f>K17+K18</f>
        <v>4</v>
      </c>
      <c r="L16" s="1317">
        <f t="shared" si="15"/>
        <v>6.25</v>
      </c>
      <c r="M16" s="1319">
        <f>M17+M18</f>
        <v>7</v>
      </c>
      <c r="N16" s="1317">
        <f t="shared" si="15"/>
        <v>6.25</v>
      </c>
      <c r="O16" s="1319">
        <f>O17+O18</f>
        <v>3</v>
      </c>
      <c r="P16" s="1317">
        <f t="shared" si="15"/>
        <v>12.5</v>
      </c>
      <c r="Q16" s="1323">
        <f>Q17+Q18</f>
        <v>2</v>
      </c>
      <c r="R16" s="1319">
        <f t="shared" si="15"/>
        <v>6.25</v>
      </c>
      <c r="S16" s="1319">
        <f>S17+S18</f>
        <v>6.25</v>
      </c>
      <c r="T16" s="1665">
        <f t="shared" si="15"/>
        <v>6.25</v>
      </c>
      <c r="U16" s="1319">
        <f>U17+U18</f>
        <v>4</v>
      </c>
      <c r="V16" s="1317">
        <f t="shared" si="15"/>
        <v>6.25</v>
      </c>
      <c r="W16" s="1323">
        <f>W17+W18</f>
        <v>2</v>
      </c>
      <c r="X16" s="1319">
        <f t="shared" si="15"/>
        <v>6.25</v>
      </c>
      <c r="Y16" s="1319">
        <f t="shared" ref="Y16" si="16">Y17+Y18</f>
        <v>0</v>
      </c>
      <c r="Z16" s="1524">
        <f t="shared" si="15"/>
        <v>6.25</v>
      </c>
      <c r="AA16" s="1317">
        <f t="shared" ref="AA16" si="17">AA17+AA18</f>
        <v>3</v>
      </c>
      <c r="AB16" s="1728">
        <f>D16+F16+H16+J16+L16+N16+P16+R16+T16+V16+X16+Z16</f>
        <v>81.25</v>
      </c>
      <c r="AC16" s="2068">
        <f t="shared" si="13"/>
        <v>53.25</v>
      </c>
      <c r="AD16" s="2061"/>
    </row>
    <row r="17" spans="1:30" s="1998" customFormat="1" ht="15.6" customHeight="1" outlineLevel="1">
      <c r="A17" s="1310"/>
      <c r="B17" s="1997" t="s">
        <v>426</v>
      </c>
      <c r="C17" s="1525">
        <f>SUM(D17:Z17)-E17-G17-I17-K17-M17-O17-S17-U17-W17</f>
        <v>43.75</v>
      </c>
      <c r="D17" s="1284">
        <f>D19*100/$C$19</f>
        <v>3.125</v>
      </c>
      <c r="E17" s="1970">
        <v>6</v>
      </c>
      <c r="F17" s="1284">
        <f t="shared" ref="F17:Z17" si="18">F19*100/$C$19</f>
        <v>3.125</v>
      </c>
      <c r="G17" s="1970">
        <v>6</v>
      </c>
      <c r="H17" s="1284">
        <f t="shared" si="18"/>
        <v>3.125</v>
      </c>
      <c r="I17" s="1970">
        <v>4</v>
      </c>
      <c r="J17" s="1284">
        <f t="shared" si="18"/>
        <v>3.125</v>
      </c>
      <c r="K17" s="1970">
        <v>1</v>
      </c>
      <c r="L17" s="1284">
        <f t="shared" si="18"/>
        <v>3.125</v>
      </c>
      <c r="M17" s="1970">
        <v>5</v>
      </c>
      <c r="N17" s="1284">
        <f t="shared" si="18"/>
        <v>3.125</v>
      </c>
      <c r="O17" s="1970">
        <v>1</v>
      </c>
      <c r="P17" s="1284">
        <f t="shared" si="18"/>
        <v>9.375</v>
      </c>
      <c r="Q17" s="1248">
        <v>0</v>
      </c>
      <c r="R17" s="1970">
        <f t="shared" si="18"/>
        <v>3.125</v>
      </c>
      <c r="S17" s="1970">
        <f>S19*100/$C$19</f>
        <v>6.25</v>
      </c>
      <c r="T17" s="1666">
        <f t="shared" si="18"/>
        <v>3.125</v>
      </c>
      <c r="U17" s="1970">
        <v>2</v>
      </c>
      <c r="V17" s="1284">
        <f t="shared" si="18"/>
        <v>3.125</v>
      </c>
      <c r="W17" s="1248">
        <v>2</v>
      </c>
      <c r="X17" s="1970">
        <f t="shared" si="18"/>
        <v>3.125</v>
      </c>
      <c r="Y17" s="1970">
        <f t="shared" ref="Y17" si="19">Y19*100/$C$19</f>
        <v>0</v>
      </c>
      <c r="Z17" s="1593">
        <f t="shared" si="18"/>
        <v>3.125</v>
      </c>
      <c r="AA17" s="1284">
        <v>1</v>
      </c>
      <c r="AB17" s="1593">
        <f>D17+F17+H17+J17+L17+N17+P17+R17+T17+V17+X17+Z17</f>
        <v>43.75</v>
      </c>
      <c r="AC17" s="2069">
        <f t="shared" si="13"/>
        <v>34.25</v>
      </c>
      <c r="AD17" s="2063"/>
    </row>
    <row r="18" spans="1:30" s="1998" customFormat="1" ht="15" customHeight="1" outlineLevel="1">
      <c r="A18" s="1310"/>
      <c r="B18" s="1997" t="s">
        <v>430</v>
      </c>
      <c r="C18" s="1525">
        <f>SUM(D18:Z18)-E18-G18-I18-K18-M18-O18-Q18-U18</f>
        <v>37.5</v>
      </c>
      <c r="D18" s="1284">
        <f>D20*100/$C$19</f>
        <v>3.125</v>
      </c>
      <c r="E18" s="1970">
        <v>1</v>
      </c>
      <c r="F18" s="1284">
        <f t="shared" ref="F18:Z18" si="20">F20*100/$C$19</f>
        <v>3.125</v>
      </c>
      <c r="G18" s="1970">
        <v>1</v>
      </c>
      <c r="H18" s="1284">
        <f t="shared" si="20"/>
        <v>3.125</v>
      </c>
      <c r="I18" s="1970">
        <v>4</v>
      </c>
      <c r="J18" s="1284">
        <f t="shared" si="20"/>
        <v>3.125</v>
      </c>
      <c r="K18" s="1970">
        <v>3</v>
      </c>
      <c r="L18" s="1284">
        <f t="shared" si="20"/>
        <v>3.125</v>
      </c>
      <c r="M18" s="1970">
        <v>2</v>
      </c>
      <c r="N18" s="1284">
        <f t="shared" si="20"/>
        <v>3.125</v>
      </c>
      <c r="O18" s="1970">
        <v>2</v>
      </c>
      <c r="P18" s="1284">
        <f t="shared" si="20"/>
        <v>3.125</v>
      </c>
      <c r="Q18" s="1248">
        <v>2</v>
      </c>
      <c r="R18" s="1970">
        <f t="shared" si="20"/>
        <v>3.125</v>
      </c>
      <c r="S18" s="1970">
        <f>S20*100/$C$19</f>
        <v>0</v>
      </c>
      <c r="T18" s="1666">
        <f t="shared" si="20"/>
        <v>3.125</v>
      </c>
      <c r="U18" s="1970">
        <v>2</v>
      </c>
      <c r="V18" s="1284">
        <f t="shared" si="20"/>
        <v>3.125</v>
      </c>
      <c r="W18" s="1248">
        <f>W20*100/$C$19</f>
        <v>0</v>
      </c>
      <c r="X18" s="1970">
        <f t="shared" si="20"/>
        <v>3.125</v>
      </c>
      <c r="Y18" s="1970">
        <f t="shared" ref="Y18" si="21">Y20*100/$C$19</f>
        <v>0</v>
      </c>
      <c r="Z18" s="1593">
        <f t="shared" si="20"/>
        <v>3.125</v>
      </c>
      <c r="AA18" s="1284">
        <v>2</v>
      </c>
      <c r="AB18" s="1593">
        <f t="shared" ref="AB18:AB34" si="22">D18+F18+H18+J18+L18+N18+P18+R18+T18+V18+X18+Z18</f>
        <v>37.5</v>
      </c>
      <c r="AC18" s="2069">
        <f t="shared" si="13"/>
        <v>19</v>
      </c>
      <c r="AD18" s="2063"/>
    </row>
    <row r="19" spans="1:30" s="2004" customFormat="1" ht="16.2" customHeight="1" outlineLevel="1">
      <c r="A19" s="1321"/>
      <c r="B19" s="2003" t="s">
        <v>428</v>
      </c>
      <c r="C19" s="1528">
        <v>16</v>
      </c>
      <c r="D19" s="1286">
        <v>0.5</v>
      </c>
      <c r="E19" s="1972">
        <v>0</v>
      </c>
      <c r="F19" s="1286">
        <f>D19</f>
        <v>0.5</v>
      </c>
      <c r="G19" s="1972">
        <v>1</v>
      </c>
      <c r="H19" s="1286">
        <f>F19</f>
        <v>0.5</v>
      </c>
      <c r="I19" s="1972">
        <v>0</v>
      </c>
      <c r="J19" s="1286">
        <f>H19</f>
        <v>0.5</v>
      </c>
      <c r="K19" s="1972">
        <f>I19</f>
        <v>0</v>
      </c>
      <c r="L19" s="1286">
        <f>J19</f>
        <v>0.5</v>
      </c>
      <c r="M19" s="1972">
        <v>1</v>
      </c>
      <c r="N19" s="1286">
        <f>L19</f>
        <v>0.5</v>
      </c>
      <c r="O19" s="1972">
        <v>0</v>
      </c>
      <c r="P19" s="1286">
        <f>N19+1</f>
        <v>1.5</v>
      </c>
      <c r="Q19" s="1250">
        <v>0</v>
      </c>
      <c r="R19" s="1972">
        <f>N19</f>
        <v>0.5</v>
      </c>
      <c r="S19" s="1972">
        <v>1</v>
      </c>
      <c r="T19" s="1669">
        <f>R19</f>
        <v>0.5</v>
      </c>
      <c r="U19" s="1972">
        <v>0</v>
      </c>
      <c r="V19" s="1286">
        <f t="shared" ref="V19:W20" si="23">T19</f>
        <v>0.5</v>
      </c>
      <c r="W19" s="1250">
        <f t="shared" si="23"/>
        <v>0</v>
      </c>
      <c r="X19" s="1972">
        <f t="shared" ref="X19:AA20" si="24">V19</f>
        <v>0.5</v>
      </c>
      <c r="Y19" s="1972">
        <f t="shared" si="24"/>
        <v>0</v>
      </c>
      <c r="Z19" s="1596">
        <f t="shared" si="24"/>
        <v>0.5</v>
      </c>
      <c r="AA19" s="1286">
        <v>1</v>
      </c>
      <c r="AB19" s="1594">
        <f t="shared" si="22"/>
        <v>7</v>
      </c>
      <c r="AC19" s="2064">
        <f t="shared" si="13"/>
        <v>4</v>
      </c>
      <c r="AD19" s="2070"/>
    </row>
    <row r="20" spans="1:30" s="1322" customFormat="1" ht="13.95" customHeight="1" outlineLevel="1" thickBot="1">
      <c r="A20" s="2005"/>
      <c r="B20" s="2006" t="s">
        <v>429</v>
      </c>
      <c r="C20" s="2007"/>
      <c r="D20" s="2008">
        <v>0.5</v>
      </c>
      <c r="E20" s="2009">
        <v>0</v>
      </c>
      <c r="F20" s="2008">
        <f>D20</f>
        <v>0.5</v>
      </c>
      <c r="G20" s="2009">
        <v>0</v>
      </c>
      <c r="H20" s="2008">
        <f>F20</f>
        <v>0.5</v>
      </c>
      <c r="I20" s="2009">
        <v>0</v>
      </c>
      <c r="J20" s="2008">
        <f>H20</f>
        <v>0.5</v>
      </c>
      <c r="K20" s="2009">
        <v>1</v>
      </c>
      <c r="L20" s="2008">
        <f>J20</f>
        <v>0.5</v>
      </c>
      <c r="M20" s="2009">
        <v>0</v>
      </c>
      <c r="N20" s="2008">
        <f>L20</f>
        <v>0.5</v>
      </c>
      <c r="O20" s="2009">
        <v>1</v>
      </c>
      <c r="P20" s="2008">
        <f>N20</f>
        <v>0.5</v>
      </c>
      <c r="Q20" s="2010">
        <v>0</v>
      </c>
      <c r="R20" s="2009">
        <f>P20</f>
        <v>0.5</v>
      </c>
      <c r="S20" s="2009">
        <f>Q20</f>
        <v>0</v>
      </c>
      <c r="T20" s="2011">
        <f>R20</f>
        <v>0.5</v>
      </c>
      <c r="U20" s="2009">
        <f>S20</f>
        <v>0</v>
      </c>
      <c r="V20" s="2008">
        <f t="shared" si="23"/>
        <v>0.5</v>
      </c>
      <c r="W20" s="2010">
        <f t="shared" si="23"/>
        <v>0</v>
      </c>
      <c r="X20" s="2009">
        <f t="shared" si="24"/>
        <v>0.5</v>
      </c>
      <c r="Y20" s="2009">
        <f t="shared" si="24"/>
        <v>0</v>
      </c>
      <c r="Z20" s="2012">
        <f t="shared" si="24"/>
        <v>0.5</v>
      </c>
      <c r="AA20" s="2008">
        <f t="shared" si="24"/>
        <v>0</v>
      </c>
      <c r="AB20" s="1595">
        <f t="shared" si="22"/>
        <v>6</v>
      </c>
      <c r="AC20" s="2066">
        <f t="shared" si="13"/>
        <v>2</v>
      </c>
      <c r="AD20" s="2071"/>
    </row>
    <row r="21" spans="1:30" s="1327" customFormat="1" ht="15.75" customHeight="1" outlineLevel="1">
      <c r="A21" s="1325"/>
      <c r="B21" s="1326" t="s">
        <v>810</v>
      </c>
      <c r="C21" s="1529">
        <f t="shared" ref="C21:Z21" si="25">C22+C23</f>
        <v>473.68421052631572</v>
      </c>
      <c r="D21" s="1317">
        <f t="shared" si="25"/>
        <v>15.789473684210527</v>
      </c>
      <c r="E21" s="1319">
        <f>E22+E23</f>
        <v>0</v>
      </c>
      <c r="F21" s="1317">
        <f t="shared" si="25"/>
        <v>15.789473684210527</v>
      </c>
      <c r="G21" s="1319">
        <f>G22+G23</f>
        <v>23</v>
      </c>
      <c r="H21" s="1317">
        <f t="shared" si="25"/>
        <v>15.789473684210527</v>
      </c>
      <c r="I21" s="1319">
        <f t="shared" si="25"/>
        <v>23</v>
      </c>
      <c r="J21" s="1317">
        <f t="shared" si="25"/>
        <v>31.578947368421051</v>
      </c>
      <c r="K21" s="1319">
        <f>K22+K23</f>
        <v>30</v>
      </c>
      <c r="L21" s="1317">
        <f t="shared" si="25"/>
        <v>31.578947368421051</v>
      </c>
      <c r="M21" s="1319">
        <f>M22+M23</f>
        <v>21</v>
      </c>
      <c r="N21" s="1317">
        <f t="shared" si="25"/>
        <v>31.578947368421051</v>
      </c>
      <c r="O21" s="1319">
        <f>O22+O23</f>
        <v>21</v>
      </c>
      <c r="P21" s="1317">
        <f t="shared" si="25"/>
        <v>47.368421052631575</v>
      </c>
      <c r="Q21" s="1323">
        <f>Q22+Q23</f>
        <v>20</v>
      </c>
      <c r="R21" s="1319">
        <f t="shared" si="25"/>
        <v>47.368421052631575</v>
      </c>
      <c r="S21" s="1319">
        <f>S22+S23</f>
        <v>16</v>
      </c>
      <c r="T21" s="1665">
        <f t="shared" si="25"/>
        <v>47.368421052631575</v>
      </c>
      <c r="U21" s="1319">
        <f>U22+U23</f>
        <v>17</v>
      </c>
      <c r="V21" s="1317">
        <f t="shared" si="25"/>
        <v>63.157894736842103</v>
      </c>
      <c r="W21" s="1323">
        <f>W22+W23</f>
        <v>16</v>
      </c>
      <c r="X21" s="1319">
        <f t="shared" si="25"/>
        <v>63.157894736842103</v>
      </c>
      <c r="Y21" s="1319">
        <f t="shared" ref="Y21" si="26">Y22+Y23</f>
        <v>10</v>
      </c>
      <c r="Z21" s="1524">
        <f t="shared" si="25"/>
        <v>63.157894736842103</v>
      </c>
      <c r="AA21" s="1317">
        <f t="shared" ref="AA21" si="27">AA22+AA23</f>
        <v>10</v>
      </c>
      <c r="AB21" s="1524">
        <f t="shared" si="22"/>
        <v>473.68421052631567</v>
      </c>
      <c r="AC21" s="2068">
        <f t="shared" si="13"/>
        <v>207</v>
      </c>
      <c r="AD21" s="2072"/>
    </row>
    <row r="22" spans="1:30" s="1968" customFormat="1" ht="15.6" customHeight="1" outlineLevel="1">
      <c r="A22" s="96"/>
      <c r="B22" s="2017" t="s">
        <v>426</v>
      </c>
      <c r="C22" s="1530">
        <f>SUM(D22:Z22)-E22-G22-I22-K22-M22-O22-Q22-S22-U22-W22-Y22</f>
        <v>236.84210526315786</v>
      </c>
      <c r="D22" s="1284">
        <f>D24*100/$C$24</f>
        <v>10.526315789473685</v>
      </c>
      <c r="E22" s="1970">
        <v>0</v>
      </c>
      <c r="F22" s="1284">
        <f>F24*100/$C$24</f>
        <v>10.526315789473685</v>
      </c>
      <c r="G22" s="1970">
        <v>7</v>
      </c>
      <c r="H22" s="1284">
        <f t="shared" ref="H22:Z22" si="28">H24*100/$C$24</f>
        <v>10.526315789473685</v>
      </c>
      <c r="I22" s="1970">
        <v>4</v>
      </c>
      <c r="J22" s="1284">
        <f t="shared" si="28"/>
        <v>15.789473684210526</v>
      </c>
      <c r="K22" s="1970">
        <v>2</v>
      </c>
      <c r="L22" s="1284">
        <f t="shared" si="28"/>
        <v>15.789473684210526</v>
      </c>
      <c r="M22" s="1970">
        <v>2</v>
      </c>
      <c r="N22" s="1284">
        <f t="shared" si="28"/>
        <v>15.789473684210526</v>
      </c>
      <c r="O22" s="1970">
        <v>1</v>
      </c>
      <c r="P22" s="1284">
        <f t="shared" si="28"/>
        <v>21.05263157894737</v>
      </c>
      <c r="Q22" s="1248">
        <v>1</v>
      </c>
      <c r="R22" s="1970">
        <f>R24*100/$C$24</f>
        <v>21.05263157894737</v>
      </c>
      <c r="S22" s="1970">
        <v>2</v>
      </c>
      <c r="T22" s="1666">
        <f t="shared" si="28"/>
        <v>21.05263157894737</v>
      </c>
      <c r="U22" s="1970">
        <v>2</v>
      </c>
      <c r="V22" s="1284">
        <f t="shared" si="28"/>
        <v>31.578947368421051</v>
      </c>
      <c r="W22" s="1248">
        <v>0</v>
      </c>
      <c r="X22" s="1970">
        <f t="shared" si="28"/>
        <v>31.578947368421051</v>
      </c>
      <c r="Y22" s="1970">
        <v>4</v>
      </c>
      <c r="Z22" s="1593">
        <f t="shared" si="28"/>
        <v>31.578947368421051</v>
      </c>
      <c r="AA22" s="1284">
        <v>2</v>
      </c>
      <c r="AB22" s="2036">
        <f t="shared" si="22"/>
        <v>236.84210526315786</v>
      </c>
      <c r="AC22" s="2069">
        <f t="shared" si="13"/>
        <v>27</v>
      </c>
      <c r="AD22" s="2052"/>
    </row>
    <row r="23" spans="1:30" s="1968" customFormat="1" ht="15" customHeight="1" outlineLevel="1">
      <c r="A23" s="96"/>
      <c r="B23" s="2017" t="s">
        <v>430</v>
      </c>
      <c r="C23" s="1530">
        <f>SUM(D23:Z23)-E23-G23-I23-K23-M23-O23-Q23-S23-U23-W23-Y23</f>
        <v>236.84210526315786</v>
      </c>
      <c r="D23" s="1284">
        <f>D25*100/$C$25</f>
        <v>5.2631578947368425</v>
      </c>
      <c r="E23" s="1970">
        <v>0</v>
      </c>
      <c r="F23" s="1284">
        <f t="shared" ref="F23:Z23" si="29">F25*100/$C$25</f>
        <v>5.2631578947368425</v>
      </c>
      <c r="G23" s="1970">
        <v>16</v>
      </c>
      <c r="H23" s="1284">
        <f t="shared" si="29"/>
        <v>5.2631578947368425</v>
      </c>
      <c r="I23" s="1970">
        <v>19</v>
      </c>
      <c r="J23" s="1284">
        <f t="shared" si="29"/>
        <v>15.789473684210526</v>
      </c>
      <c r="K23" s="1970">
        <v>28</v>
      </c>
      <c r="L23" s="1284">
        <f t="shared" si="29"/>
        <v>15.789473684210526</v>
      </c>
      <c r="M23" s="1970">
        <v>19</v>
      </c>
      <c r="N23" s="1284">
        <f t="shared" si="29"/>
        <v>15.789473684210526</v>
      </c>
      <c r="O23" s="1970">
        <v>20</v>
      </c>
      <c r="P23" s="1284">
        <f t="shared" si="29"/>
        <v>26.315789473684209</v>
      </c>
      <c r="Q23" s="1248">
        <v>19</v>
      </c>
      <c r="R23" s="1970">
        <f t="shared" si="29"/>
        <v>26.315789473684209</v>
      </c>
      <c r="S23" s="1970">
        <v>14</v>
      </c>
      <c r="T23" s="1666">
        <f t="shared" si="29"/>
        <v>26.315789473684209</v>
      </c>
      <c r="U23" s="1970">
        <v>15</v>
      </c>
      <c r="V23" s="1284">
        <f t="shared" si="29"/>
        <v>31.578947368421051</v>
      </c>
      <c r="W23" s="1248">
        <v>16</v>
      </c>
      <c r="X23" s="1970">
        <f t="shared" si="29"/>
        <v>31.578947368421051</v>
      </c>
      <c r="Y23" s="1970">
        <v>6</v>
      </c>
      <c r="Z23" s="1593">
        <f t="shared" si="29"/>
        <v>31.578947368421051</v>
      </c>
      <c r="AA23" s="1284">
        <v>8</v>
      </c>
      <c r="AB23" s="2036">
        <f t="shared" si="22"/>
        <v>236.84210526315786</v>
      </c>
      <c r="AC23" s="2069">
        <f t="shared" si="13"/>
        <v>180</v>
      </c>
      <c r="AD23" s="2052"/>
    </row>
    <row r="24" spans="1:30" s="2004" customFormat="1" ht="16.2" customHeight="1" outlineLevel="1">
      <c r="A24" s="1321"/>
      <c r="B24" s="2003" t="s">
        <v>428</v>
      </c>
      <c r="C24" s="1528">
        <v>19</v>
      </c>
      <c r="D24" s="1286">
        <v>2</v>
      </c>
      <c r="E24" s="1972">
        <v>1</v>
      </c>
      <c r="F24" s="1286">
        <f>D24</f>
        <v>2</v>
      </c>
      <c r="G24" s="1972">
        <v>1</v>
      </c>
      <c r="H24" s="1286">
        <f>F24</f>
        <v>2</v>
      </c>
      <c r="I24" s="1972">
        <v>0</v>
      </c>
      <c r="J24" s="1286">
        <v>3</v>
      </c>
      <c r="K24" s="1972">
        <v>0</v>
      </c>
      <c r="L24" s="1286">
        <f>J24</f>
        <v>3</v>
      </c>
      <c r="M24" s="1972">
        <v>1</v>
      </c>
      <c r="N24" s="1286">
        <f>L24</f>
        <v>3</v>
      </c>
      <c r="O24" s="1972">
        <v>3</v>
      </c>
      <c r="P24" s="1286">
        <v>4</v>
      </c>
      <c r="Q24" s="1250">
        <v>1</v>
      </c>
      <c r="R24" s="1972">
        <v>4</v>
      </c>
      <c r="S24" s="1972">
        <v>0</v>
      </c>
      <c r="T24" s="1669">
        <v>4</v>
      </c>
      <c r="U24" s="1972">
        <v>0</v>
      </c>
      <c r="V24" s="1286">
        <v>6</v>
      </c>
      <c r="W24" s="1250">
        <v>0</v>
      </c>
      <c r="X24" s="1972">
        <v>6</v>
      </c>
      <c r="Y24" s="1972">
        <v>1</v>
      </c>
      <c r="Z24" s="1596">
        <v>6</v>
      </c>
      <c r="AA24" s="1286">
        <v>1</v>
      </c>
      <c r="AB24" s="1594">
        <f t="shared" si="22"/>
        <v>45</v>
      </c>
      <c r="AC24" s="2064">
        <f t="shared" si="13"/>
        <v>9</v>
      </c>
      <c r="AD24" s="2070"/>
    </row>
    <row r="25" spans="1:30" s="2013" customFormat="1" ht="13.95" customHeight="1" outlineLevel="1">
      <c r="A25" s="97"/>
      <c r="B25" s="2018" t="s">
        <v>429</v>
      </c>
      <c r="C25" s="1528">
        <v>19</v>
      </c>
      <c r="D25" s="1286">
        <v>1</v>
      </c>
      <c r="E25" s="1972">
        <v>0</v>
      </c>
      <c r="F25" s="1286">
        <f>D25</f>
        <v>1</v>
      </c>
      <c r="G25" s="1972">
        <v>1</v>
      </c>
      <c r="H25" s="1286">
        <f>F25</f>
        <v>1</v>
      </c>
      <c r="I25" s="1972">
        <v>2</v>
      </c>
      <c r="J25" s="1286">
        <v>3</v>
      </c>
      <c r="K25" s="1972">
        <v>1</v>
      </c>
      <c r="L25" s="1286">
        <f>J25</f>
        <v>3</v>
      </c>
      <c r="M25" s="1972">
        <f>K25</f>
        <v>1</v>
      </c>
      <c r="N25" s="1286">
        <f>L25</f>
        <v>3</v>
      </c>
      <c r="O25" s="1972">
        <v>4</v>
      </c>
      <c r="P25" s="1286">
        <v>5</v>
      </c>
      <c r="Q25" s="1250">
        <v>4</v>
      </c>
      <c r="R25" s="1972">
        <v>5</v>
      </c>
      <c r="S25" s="1972">
        <v>0</v>
      </c>
      <c r="T25" s="1669">
        <v>5</v>
      </c>
      <c r="U25" s="1972">
        <v>2</v>
      </c>
      <c r="V25" s="1286">
        <v>6</v>
      </c>
      <c r="W25" s="1250">
        <v>0</v>
      </c>
      <c r="X25" s="1972">
        <v>6</v>
      </c>
      <c r="Y25" s="1972">
        <v>0</v>
      </c>
      <c r="Z25" s="1596">
        <v>6</v>
      </c>
      <c r="AA25" s="1286">
        <v>0</v>
      </c>
      <c r="AB25" s="1594">
        <f t="shared" si="22"/>
        <v>45</v>
      </c>
      <c r="AC25" s="2064">
        <f t="shared" si="13"/>
        <v>15</v>
      </c>
      <c r="AD25" s="2073"/>
    </row>
    <row r="26" spans="1:30" s="2013" customFormat="1" ht="13.95" customHeight="1" outlineLevel="1">
      <c r="A26" s="97"/>
      <c r="B26" s="2018"/>
      <c r="C26" s="1531"/>
      <c r="D26" s="1286"/>
      <c r="E26" s="1972"/>
      <c r="F26" s="1286"/>
      <c r="G26" s="1972"/>
      <c r="H26" s="1286"/>
      <c r="I26" s="1972"/>
      <c r="J26" s="1286"/>
      <c r="K26" s="1972"/>
      <c r="L26" s="1286"/>
      <c r="M26" s="1972"/>
      <c r="N26" s="1286"/>
      <c r="O26" s="1972"/>
      <c r="P26" s="1286"/>
      <c r="Q26" s="1250"/>
      <c r="R26" s="1972"/>
      <c r="S26" s="1972"/>
      <c r="T26" s="1669"/>
      <c r="U26" s="1972"/>
      <c r="V26" s="1286"/>
      <c r="W26" s="1250"/>
      <c r="X26" s="1972"/>
      <c r="Y26" s="1972"/>
      <c r="Z26" s="1596"/>
      <c r="AA26" s="1286"/>
      <c r="AB26" s="1594">
        <f t="shared" si="22"/>
        <v>0</v>
      </c>
      <c r="AC26" s="2064">
        <f t="shared" si="13"/>
        <v>0</v>
      </c>
      <c r="AD26" s="2073"/>
    </row>
    <row r="27" spans="1:30" s="2002" customFormat="1" ht="30" customHeight="1" outlineLevel="1">
      <c r="A27" s="1328"/>
      <c r="B27" s="2019" t="s">
        <v>432</v>
      </c>
      <c r="C27" s="1532">
        <f>SUM(D27:Z27)-E27-G27-I27-K27-M27-O27-Q27-S27-U27-W27-Y27</f>
        <v>115</v>
      </c>
      <c r="D27" s="1287">
        <f>SUM(D28:D30)</f>
        <v>5</v>
      </c>
      <c r="E27" s="1973">
        <f>SUM(E28:E30)</f>
        <v>2</v>
      </c>
      <c r="F27" s="1287">
        <f t="shared" ref="F27:Z27" si="30">SUM(F28:F30)</f>
        <v>5</v>
      </c>
      <c r="G27" s="1973">
        <f>SUM(G28:G30)</f>
        <v>3</v>
      </c>
      <c r="H27" s="1287">
        <f t="shared" si="30"/>
        <v>5</v>
      </c>
      <c r="I27" s="1973">
        <f t="shared" si="30"/>
        <v>4</v>
      </c>
      <c r="J27" s="1287">
        <f t="shared" si="30"/>
        <v>8</v>
      </c>
      <c r="K27" s="1973">
        <f>SUM(K28:K30)</f>
        <v>4</v>
      </c>
      <c r="L27" s="1287">
        <f t="shared" si="30"/>
        <v>8</v>
      </c>
      <c r="M27" s="1973">
        <f>SUM(M28:M30)</f>
        <v>3</v>
      </c>
      <c r="N27" s="1287">
        <f t="shared" si="30"/>
        <v>8</v>
      </c>
      <c r="O27" s="1973">
        <f>SUM(O28:O30)</f>
        <v>8</v>
      </c>
      <c r="P27" s="1287">
        <f t="shared" si="30"/>
        <v>12</v>
      </c>
      <c r="Q27" s="1251">
        <f>SUM(Q28:Q30)</f>
        <v>9</v>
      </c>
      <c r="R27" s="1973">
        <f t="shared" si="30"/>
        <v>11</v>
      </c>
      <c r="S27" s="1973">
        <f>SUM(S28:S30)</f>
        <v>2</v>
      </c>
      <c r="T27" s="1670">
        <f t="shared" si="30"/>
        <v>11</v>
      </c>
      <c r="U27" s="1973">
        <f>SUM(U28:U30)</f>
        <v>3</v>
      </c>
      <c r="V27" s="1287">
        <f t="shared" si="30"/>
        <v>14</v>
      </c>
      <c r="W27" s="1251">
        <f>SUM(W28:W30)</f>
        <v>2</v>
      </c>
      <c r="X27" s="1973">
        <f t="shared" si="30"/>
        <v>14</v>
      </c>
      <c r="Y27" s="1973">
        <f t="shared" ref="Y27" si="31">SUM(Y28:Y30)</f>
        <v>5</v>
      </c>
      <c r="Z27" s="1532">
        <f t="shared" si="30"/>
        <v>14</v>
      </c>
      <c r="AA27" s="1287">
        <f t="shared" ref="AA27" si="32">SUM(AA28:AA30)</f>
        <v>2</v>
      </c>
      <c r="AB27" s="1728">
        <f t="shared" si="22"/>
        <v>115</v>
      </c>
      <c r="AC27" s="945">
        <f t="shared" si="13"/>
        <v>47</v>
      </c>
      <c r="AD27" s="2074"/>
    </row>
    <row r="28" spans="1:30" s="2013" customFormat="1" ht="14.4" customHeight="1" outlineLevel="1">
      <c r="A28" s="97"/>
      <c r="B28" s="2020" t="s">
        <v>433</v>
      </c>
      <c r="C28" s="1533">
        <f>SUM(D28:Z28)-E28-G28-I28-K28-M28-Q28-S28-U28-W28-Y28</f>
        <v>12</v>
      </c>
      <c r="D28" s="1288">
        <v>1</v>
      </c>
      <c r="E28" s="1974">
        <v>1</v>
      </c>
      <c r="F28" s="1288">
        <v>1</v>
      </c>
      <c r="G28" s="1974">
        <v>0</v>
      </c>
      <c r="H28" s="1288">
        <v>1</v>
      </c>
      <c r="I28" s="1974">
        <f>I14+I15</f>
        <v>2</v>
      </c>
      <c r="J28" s="1288">
        <v>1</v>
      </c>
      <c r="K28" s="1974">
        <f>K14+K15</f>
        <v>2</v>
      </c>
      <c r="L28" s="1288">
        <v>1</v>
      </c>
      <c r="M28" s="1974">
        <f>M14+M15</f>
        <v>0</v>
      </c>
      <c r="N28" s="1288">
        <v>1</v>
      </c>
      <c r="O28" s="1974">
        <v>0</v>
      </c>
      <c r="P28" s="1288">
        <v>1</v>
      </c>
      <c r="Q28" s="1252">
        <v>4</v>
      </c>
      <c r="R28" s="1974">
        <v>1</v>
      </c>
      <c r="S28" s="1974">
        <v>1</v>
      </c>
      <c r="T28" s="1671">
        <v>1</v>
      </c>
      <c r="U28" s="1974">
        <v>1</v>
      </c>
      <c r="V28" s="1288">
        <v>1</v>
      </c>
      <c r="W28" s="1252">
        <v>2</v>
      </c>
      <c r="X28" s="1974">
        <v>1</v>
      </c>
      <c r="Y28" s="1974">
        <v>4</v>
      </c>
      <c r="Z28" s="1597">
        <v>1</v>
      </c>
      <c r="AA28" s="1288">
        <f>AA14+AA15</f>
        <v>0</v>
      </c>
      <c r="AB28" s="1594">
        <f t="shared" si="22"/>
        <v>12</v>
      </c>
      <c r="AC28" s="2064">
        <f t="shared" si="13"/>
        <v>17</v>
      </c>
      <c r="AD28" s="2073"/>
    </row>
    <row r="29" spans="1:30" s="2013" customFormat="1" ht="15" customHeight="1" outlineLevel="1">
      <c r="A29" s="97"/>
      <c r="B29" s="2020" t="s">
        <v>434</v>
      </c>
      <c r="C29" s="1533">
        <f>SUM(D29:Z29)-E29--I29-K29-M29-O29-Q29-S29-U29-W29-Y29</f>
        <v>14</v>
      </c>
      <c r="D29" s="1288">
        <v>1</v>
      </c>
      <c r="E29" s="1974">
        <v>0</v>
      </c>
      <c r="F29" s="1288">
        <v>1</v>
      </c>
      <c r="G29" s="1974">
        <v>1</v>
      </c>
      <c r="H29" s="1288">
        <v>1</v>
      </c>
      <c r="I29" s="1974">
        <f>I19+I20</f>
        <v>0</v>
      </c>
      <c r="J29" s="1288">
        <v>1</v>
      </c>
      <c r="K29" s="1974">
        <f>K19+K20</f>
        <v>1</v>
      </c>
      <c r="L29" s="1288">
        <v>1</v>
      </c>
      <c r="M29" s="1974">
        <f>M19+M20</f>
        <v>1</v>
      </c>
      <c r="N29" s="1288">
        <v>1</v>
      </c>
      <c r="O29" s="1974">
        <v>1</v>
      </c>
      <c r="P29" s="1288">
        <v>2</v>
      </c>
      <c r="Q29" s="1252">
        <v>0</v>
      </c>
      <c r="R29" s="1974">
        <v>1</v>
      </c>
      <c r="S29" s="1974">
        <v>1</v>
      </c>
      <c r="T29" s="1671">
        <v>1</v>
      </c>
      <c r="U29" s="1974">
        <v>0</v>
      </c>
      <c r="V29" s="1288">
        <v>1</v>
      </c>
      <c r="W29" s="1252">
        <v>0</v>
      </c>
      <c r="X29" s="1974">
        <v>1</v>
      </c>
      <c r="Y29" s="1974">
        <v>0</v>
      </c>
      <c r="Z29" s="1597">
        <v>1</v>
      </c>
      <c r="AA29" s="1288">
        <f>AA19+AA20</f>
        <v>1</v>
      </c>
      <c r="AB29" s="1594">
        <f t="shared" si="22"/>
        <v>13</v>
      </c>
      <c r="AC29" s="2064">
        <f t="shared" si="13"/>
        <v>6</v>
      </c>
      <c r="AD29" s="2073"/>
    </row>
    <row r="30" spans="1:30" s="2013" customFormat="1" ht="15" customHeight="1" outlineLevel="1">
      <c r="A30" s="97"/>
      <c r="B30" s="2020" t="s">
        <v>809</v>
      </c>
      <c r="C30" s="1533">
        <f>SUM(D30:Z30)-E30-G30-I30-K30-M30-O30-Q30-S30-U30-W30-Y30</f>
        <v>90</v>
      </c>
      <c r="D30" s="1288">
        <v>3</v>
      </c>
      <c r="E30" s="1974">
        <v>1</v>
      </c>
      <c r="F30" s="1288">
        <v>3</v>
      </c>
      <c r="G30" s="1974">
        <v>2</v>
      </c>
      <c r="H30" s="1288">
        <v>3</v>
      </c>
      <c r="I30" s="1974">
        <f>I24+I25</f>
        <v>2</v>
      </c>
      <c r="J30" s="1288">
        <v>6</v>
      </c>
      <c r="K30" s="1974">
        <f>K24+K25</f>
        <v>1</v>
      </c>
      <c r="L30" s="1288">
        <v>6</v>
      </c>
      <c r="M30" s="1974">
        <f>M24+M25</f>
        <v>2</v>
      </c>
      <c r="N30" s="1288">
        <v>6</v>
      </c>
      <c r="O30" s="1974">
        <v>7</v>
      </c>
      <c r="P30" s="1288">
        <v>9</v>
      </c>
      <c r="Q30" s="1252">
        <v>5</v>
      </c>
      <c r="R30" s="1974">
        <v>9</v>
      </c>
      <c r="S30" s="1974">
        <v>0</v>
      </c>
      <c r="T30" s="1671">
        <v>9</v>
      </c>
      <c r="U30" s="1974">
        <v>2</v>
      </c>
      <c r="V30" s="1288">
        <v>12</v>
      </c>
      <c r="W30" s="1252">
        <v>0</v>
      </c>
      <c r="X30" s="1974">
        <v>12</v>
      </c>
      <c r="Y30" s="1974">
        <v>1</v>
      </c>
      <c r="Z30" s="1597">
        <v>12</v>
      </c>
      <c r="AA30" s="1288">
        <f>AA24+AA25</f>
        <v>1</v>
      </c>
      <c r="AB30" s="1594">
        <f t="shared" si="22"/>
        <v>90</v>
      </c>
      <c r="AC30" s="2064">
        <f t="shared" si="13"/>
        <v>24</v>
      </c>
      <c r="AD30" s="2073"/>
    </row>
    <row r="31" spans="1:30" s="1968" customFormat="1" ht="15.6" customHeight="1" outlineLevel="1">
      <c r="A31" s="96"/>
      <c r="B31" s="1969" t="s">
        <v>798</v>
      </c>
      <c r="C31" s="1796" t="s">
        <v>816</v>
      </c>
      <c r="D31" s="1289"/>
      <c r="E31" s="1975"/>
      <c r="F31" s="1289"/>
      <c r="G31" s="1975"/>
      <c r="H31" s="1289"/>
      <c r="I31" s="1975"/>
      <c r="J31" s="1289"/>
      <c r="K31" s="1975"/>
      <c r="L31" s="1289"/>
      <c r="M31" s="1975"/>
      <c r="N31" s="1289"/>
      <c r="O31" s="1975"/>
      <c r="P31" s="1289"/>
      <c r="Q31" s="1253"/>
      <c r="R31" s="1975"/>
      <c r="S31" s="1975"/>
      <c r="T31" s="1672"/>
      <c r="U31" s="1975"/>
      <c r="V31" s="1289"/>
      <c r="W31" s="1253"/>
      <c r="X31" s="1975"/>
      <c r="Y31" s="1975"/>
      <c r="Z31" s="1598"/>
      <c r="AA31" s="1289"/>
      <c r="AB31" s="2036">
        <f t="shared" si="22"/>
        <v>0</v>
      </c>
      <c r="AC31" s="2069">
        <f t="shared" si="13"/>
        <v>0</v>
      </c>
      <c r="AD31" s="2097" t="s">
        <v>223</v>
      </c>
    </row>
    <row r="32" spans="1:30" s="1977" customFormat="1" ht="15.75" customHeight="1" outlineLevel="1">
      <c r="A32" s="1289"/>
      <c r="B32" s="1976" t="s">
        <v>806</v>
      </c>
      <c r="C32" s="1796"/>
      <c r="D32" s="1290"/>
      <c r="E32" s="1976"/>
      <c r="F32" s="1290"/>
      <c r="G32" s="1976">
        <v>3332650</v>
      </c>
      <c r="H32" s="1290">
        <f>1800000+360000</f>
        <v>2160000</v>
      </c>
      <c r="I32" s="1976">
        <v>0</v>
      </c>
      <c r="J32" s="1290">
        <f>H32</f>
        <v>2160000</v>
      </c>
      <c r="K32" s="1976">
        <v>13200000</v>
      </c>
      <c r="L32" s="1290">
        <f>J32</f>
        <v>2160000</v>
      </c>
      <c r="M32" s="1976">
        <v>4254624</v>
      </c>
      <c r="N32" s="1290">
        <f>L32</f>
        <v>2160000</v>
      </c>
      <c r="O32" s="1976">
        <v>2580000</v>
      </c>
      <c r="P32" s="1290">
        <f>N32+12000000</f>
        <v>14160000</v>
      </c>
      <c r="Q32" s="1254">
        <v>0</v>
      </c>
      <c r="R32" s="1976">
        <f>N32</f>
        <v>2160000</v>
      </c>
      <c r="S32" s="1976">
        <v>7200000</v>
      </c>
      <c r="T32" s="1673">
        <f>R32</f>
        <v>2160000</v>
      </c>
      <c r="U32" s="1976">
        <v>0</v>
      </c>
      <c r="V32" s="1290">
        <f>T32</f>
        <v>2160000</v>
      </c>
      <c r="W32" s="1254">
        <f>U32</f>
        <v>0</v>
      </c>
      <c r="X32" s="1976">
        <f>V32</f>
        <v>2160000</v>
      </c>
      <c r="Y32" s="1976">
        <f>W32</f>
        <v>0</v>
      </c>
      <c r="Z32" s="1599">
        <f>X32</f>
        <v>2160000</v>
      </c>
      <c r="AA32" s="1290">
        <f>Y32</f>
        <v>0</v>
      </c>
      <c r="AB32" s="2036">
        <f t="shared" si="22"/>
        <v>33600000</v>
      </c>
      <c r="AC32" s="2069">
        <f t="shared" si="13"/>
        <v>30567274</v>
      </c>
      <c r="AD32" s="1268">
        <f>AC32/AC29</f>
        <v>5094545.666666667</v>
      </c>
    </row>
    <row r="33" spans="1:30" s="1977" customFormat="1" ht="15.75" customHeight="1" outlineLevel="1">
      <c r="A33" s="1289"/>
      <c r="B33" s="1976" t="s">
        <v>807</v>
      </c>
      <c r="C33" s="1530"/>
      <c r="D33" s="1290">
        <v>680000</v>
      </c>
      <c r="E33" s="1976">
        <v>687535</v>
      </c>
      <c r="F33" s="1290">
        <f>D33</f>
        <v>680000</v>
      </c>
      <c r="G33" s="1976">
        <v>0</v>
      </c>
      <c r="H33" s="1290">
        <f>F33</f>
        <v>680000</v>
      </c>
      <c r="I33" s="1976">
        <f>1475614+1181515</f>
        <v>2657129</v>
      </c>
      <c r="J33" s="1290">
        <f>H33</f>
        <v>680000</v>
      </c>
      <c r="K33" s="1976">
        <f>1483910+426559</f>
        <v>1910469</v>
      </c>
      <c r="L33" s="1290">
        <f>J33</f>
        <v>680000</v>
      </c>
      <c r="M33" s="1976">
        <v>0</v>
      </c>
      <c r="N33" s="1290">
        <f>L33</f>
        <v>680000</v>
      </c>
      <c r="O33" s="1976">
        <f>M33</f>
        <v>0</v>
      </c>
      <c r="P33" s="1290">
        <v>782000</v>
      </c>
      <c r="Q33" s="1254">
        <v>6936586</v>
      </c>
      <c r="R33" s="1976">
        <v>782000</v>
      </c>
      <c r="S33" s="1976">
        <v>3139164</v>
      </c>
      <c r="T33" s="1673">
        <v>782000</v>
      </c>
      <c r="U33" s="1976">
        <v>2268726</v>
      </c>
      <c r="V33" s="1290">
        <v>899300</v>
      </c>
      <c r="W33" s="1254">
        <v>6665737</v>
      </c>
      <c r="X33" s="1976">
        <v>899300</v>
      </c>
      <c r="Y33" s="1976">
        <v>4530921</v>
      </c>
      <c r="Z33" s="1599">
        <v>899300</v>
      </c>
      <c r="AA33" s="1290">
        <v>3000000</v>
      </c>
      <c r="AB33" s="2036">
        <f t="shared" si="22"/>
        <v>9123900</v>
      </c>
      <c r="AC33" s="2069">
        <f>E33+G33+I33+K33+M33+O33+Q33+S33+U33+W33+Y33+AA33</f>
        <v>31796267</v>
      </c>
      <c r="AD33" s="1268">
        <f>AC33/AC28</f>
        <v>1870368.6470588236</v>
      </c>
    </row>
    <row r="34" spans="1:30" s="1977" customFormat="1" ht="15.75" customHeight="1">
      <c r="A34" s="861"/>
      <c r="B34" s="1976" t="s">
        <v>796</v>
      </c>
      <c r="C34" s="1534"/>
      <c r="D34" s="861">
        <f>'план поступлений'!B61</f>
        <v>195000</v>
      </c>
      <c r="E34" s="2021">
        <v>23000</v>
      </c>
      <c r="F34" s="861">
        <f>'план поступлений'!C61</f>
        <v>195000</v>
      </c>
      <c r="G34" s="1977">
        <v>53442</v>
      </c>
      <c r="H34" s="861">
        <f>'план поступлений'!D61</f>
        <v>195000</v>
      </c>
      <c r="I34" s="1977">
        <v>40575</v>
      </c>
      <c r="J34" s="861">
        <f>'план поступлений'!E61</f>
        <v>390000</v>
      </c>
      <c r="K34" s="1977">
        <v>231680</v>
      </c>
      <c r="L34" s="861">
        <f>'план поступлений'!F61</f>
        <v>390000</v>
      </c>
      <c r="M34" s="1977">
        <v>700989</v>
      </c>
      <c r="N34" s="861">
        <f>'план поступлений'!G61</f>
        <v>390000</v>
      </c>
      <c r="O34" s="1977">
        <v>810600</v>
      </c>
      <c r="P34" s="861">
        <f>'план поступлений'!H61</f>
        <v>585000</v>
      </c>
      <c r="Q34" s="1255">
        <v>942352</v>
      </c>
      <c r="R34" s="1977">
        <f>'план поступлений'!I61</f>
        <v>585000</v>
      </c>
      <c r="S34" s="1977">
        <v>0</v>
      </c>
      <c r="T34" s="1674">
        <f>'план поступлений'!J61</f>
        <v>585000</v>
      </c>
      <c r="U34" s="1977">
        <v>408739</v>
      </c>
      <c r="V34" s="861">
        <f>'план поступлений'!K61</f>
        <v>780000</v>
      </c>
      <c r="W34" s="1255">
        <v>0</v>
      </c>
      <c r="X34" s="1977">
        <f>'план поступлений'!L61</f>
        <v>780000</v>
      </c>
      <c r="Y34" s="1977">
        <v>352702</v>
      </c>
      <c r="Z34" s="1534">
        <f>'план поступлений'!M61</f>
        <v>780000</v>
      </c>
      <c r="AA34" s="861">
        <v>131200</v>
      </c>
      <c r="AB34" s="2036">
        <f t="shared" si="22"/>
        <v>5850000</v>
      </c>
      <c r="AC34" s="2069">
        <f t="shared" si="13"/>
        <v>3695279</v>
      </c>
      <c r="AD34" s="1268">
        <f>AC34/AC30</f>
        <v>153969.95833333334</v>
      </c>
    </row>
    <row r="35" spans="1:30" s="1332" customFormat="1" ht="15.75" customHeight="1" outlineLevel="1" thickBot="1">
      <c r="A35" s="1329"/>
      <c r="B35" s="1330" t="s">
        <v>808</v>
      </c>
      <c r="C35" s="1535">
        <f>D35+F35+H35+J35+L35+N35+P35+R35+T35+V35+X35+Z35</f>
        <v>48573900</v>
      </c>
      <c r="D35" s="1329">
        <f>SUM(D32:D34)</f>
        <v>875000</v>
      </c>
      <c r="E35" s="1330">
        <f>SUM(E32:E34)</f>
        <v>710535</v>
      </c>
      <c r="F35" s="1329">
        <f t="shared" ref="F35:Z35" si="33">SUM(F32:F34)</f>
        <v>875000</v>
      </c>
      <c r="G35" s="1330">
        <f>SUM(G32:G34)</f>
        <v>3386092</v>
      </c>
      <c r="H35" s="1329">
        <f t="shared" si="33"/>
        <v>3035000</v>
      </c>
      <c r="I35" s="1330">
        <f t="shared" si="33"/>
        <v>2697704</v>
      </c>
      <c r="J35" s="1329">
        <f t="shared" si="33"/>
        <v>3230000</v>
      </c>
      <c r="K35" s="1330">
        <f>SUM(K32:K34)</f>
        <v>15342149</v>
      </c>
      <c r="L35" s="1329">
        <f t="shared" si="33"/>
        <v>3230000</v>
      </c>
      <c r="M35" s="1330">
        <f>SUM(M32:M34)</f>
        <v>4955613</v>
      </c>
      <c r="N35" s="1329">
        <f t="shared" si="33"/>
        <v>3230000</v>
      </c>
      <c r="O35" s="1330">
        <f>SUM(O32:O34)</f>
        <v>3390600</v>
      </c>
      <c r="P35" s="1329">
        <f t="shared" si="33"/>
        <v>15527000</v>
      </c>
      <c r="Q35" s="1331">
        <f>SUM(Q32:Q34)</f>
        <v>7878938</v>
      </c>
      <c r="R35" s="1330">
        <f t="shared" si="33"/>
        <v>3527000</v>
      </c>
      <c r="S35" s="1330">
        <f>SUM(S32:S34)</f>
        <v>10339164</v>
      </c>
      <c r="T35" s="1675">
        <f t="shared" si="33"/>
        <v>3527000</v>
      </c>
      <c r="U35" s="1330">
        <f>SUM(U32:U34)</f>
        <v>2677465</v>
      </c>
      <c r="V35" s="1329">
        <f t="shared" si="33"/>
        <v>3839300</v>
      </c>
      <c r="W35" s="1331">
        <f>SUM(W32:W34)</f>
        <v>6665737</v>
      </c>
      <c r="X35" s="1330">
        <f t="shared" si="33"/>
        <v>3839300</v>
      </c>
      <c r="Y35" s="1330">
        <f t="shared" ref="Y35" si="34">SUM(Y32:Y34)</f>
        <v>4883623</v>
      </c>
      <c r="Z35" s="1535">
        <f t="shared" si="33"/>
        <v>3839300</v>
      </c>
      <c r="AA35" s="1329">
        <f t="shared" ref="AA35" si="35">SUM(AA32:AA34)</f>
        <v>3131200</v>
      </c>
      <c r="AB35" s="1627">
        <f>D35+F35+H35+J35+L35+N35+P35+R35+T35+V35+X35+Z35</f>
        <v>48573900</v>
      </c>
      <c r="AC35" s="2075">
        <f>E35+G35+I35+K35+M35+O35+Q35+S35+U35+W35+Y35+AA35</f>
        <v>66058820</v>
      </c>
      <c r="AD35" s="2076">
        <f>AC35/AC27</f>
        <v>1405506.8085106383</v>
      </c>
    </row>
    <row r="36" spans="1:30" s="87" customFormat="1" ht="15.75" customHeight="1">
      <c r="A36" s="1730"/>
      <c r="B36" s="1731" t="s">
        <v>3</v>
      </c>
      <c r="C36" s="1732"/>
      <c r="D36" s="1733"/>
      <c r="E36" s="1734"/>
      <c r="F36" s="1733"/>
      <c r="G36" s="1734"/>
      <c r="H36" s="1733"/>
      <c r="I36" s="1734"/>
      <c r="J36" s="1733"/>
      <c r="K36" s="1734"/>
      <c r="L36" s="1733"/>
      <c r="M36" s="1734"/>
      <c r="N36" s="1733"/>
      <c r="O36" s="1734"/>
      <c r="P36" s="1733"/>
      <c r="Q36" s="1735"/>
      <c r="R36" s="1734"/>
      <c r="S36" s="1734"/>
      <c r="T36" s="1736"/>
      <c r="U36" s="1734"/>
      <c r="V36" s="1733"/>
      <c r="W36" s="1735"/>
      <c r="X36" s="1734"/>
      <c r="Y36" s="1734"/>
      <c r="Z36" s="1737"/>
      <c r="AA36" s="1733"/>
      <c r="AB36" s="529"/>
      <c r="AC36" s="2049"/>
      <c r="AD36" s="2050"/>
    </row>
    <row r="37" spans="1:30" s="1968" customFormat="1" ht="15.75" customHeight="1">
      <c r="A37" s="96"/>
      <c r="B37" s="1984"/>
      <c r="C37" s="1536"/>
      <c r="D37" s="95"/>
      <c r="E37" s="1969"/>
      <c r="F37" s="95"/>
      <c r="G37" s="1969"/>
      <c r="H37" s="95"/>
      <c r="I37" s="1969"/>
      <c r="J37" s="95"/>
      <c r="K37" s="1969"/>
      <c r="L37" s="95"/>
      <c r="M37" s="1969"/>
      <c r="N37" s="95"/>
      <c r="O37" s="1969"/>
      <c r="P37" s="95"/>
      <c r="Q37" s="1245"/>
      <c r="R37" s="1969"/>
      <c r="S37" s="1969"/>
      <c r="T37" s="1659"/>
      <c r="U37" s="1969"/>
      <c r="V37" s="95"/>
      <c r="W37" s="1245"/>
      <c r="X37" s="1969"/>
      <c r="Y37" s="1969"/>
      <c r="Z37" s="1588"/>
      <c r="AA37" s="95"/>
      <c r="AB37" s="153"/>
      <c r="AC37" s="2051"/>
      <c r="AD37" s="2052"/>
    </row>
    <row r="38" spans="1:30" s="1968" customFormat="1" ht="15.75" customHeight="1">
      <c r="A38" s="96"/>
      <c r="B38" s="2025" t="s">
        <v>57</v>
      </c>
      <c r="C38" s="1536"/>
      <c r="D38" s="1291">
        <f t="shared" ref="D38:N38" si="36">D48+D51+D53</f>
        <v>12372913.73493143</v>
      </c>
      <c r="E38" s="1978">
        <f>E48+E51+E53</f>
        <v>9152435.9714285713</v>
      </c>
      <c r="F38" s="1291">
        <f t="shared" si="36"/>
        <v>12385400.42539089</v>
      </c>
      <c r="G38" s="1978">
        <f>G48+G51+G53</f>
        <v>10970652.775238093</v>
      </c>
      <c r="H38" s="1291">
        <f t="shared" si="36"/>
        <v>16478252.901935209</v>
      </c>
      <c r="I38" s="1978">
        <f t="shared" si="36"/>
        <v>10185626.39047619</v>
      </c>
      <c r="J38" s="1291">
        <f t="shared" si="36"/>
        <v>15744617.398138817</v>
      </c>
      <c r="K38" s="1978">
        <f>K48+K51+K53</f>
        <v>10397908.789047617</v>
      </c>
      <c r="L38" s="1291">
        <f t="shared" si="36"/>
        <v>15145392.972781209</v>
      </c>
      <c r="M38" s="1978">
        <f>M48+M51+M53</f>
        <v>11322638.14047619</v>
      </c>
      <c r="N38" s="1291">
        <f t="shared" si="36"/>
        <v>14170071.603710426</v>
      </c>
      <c r="O38" s="1978">
        <f>O48+O51+O53</f>
        <v>9688830.4490476176</v>
      </c>
      <c r="P38" s="1291">
        <f t="shared" ref="P38:Z38" si="37">P48+P51+P53</f>
        <v>14330169.32014871</v>
      </c>
      <c r="Q38" s="1256">
        <f>Q48+Q51+Q53</f>
        <v>9284485.25</v>
      </c>
      <c r="R38" s="1978">
        <f t="shared" si="37"/>
        <v>14393370.38557478</v>
      </c>
      <c r="S38" s="1978">
        <f>S48+S51+S53</f>
        <v>7301843.2523809513</v>
      </c>
      <c r="T38" s="1676">
        <f t="shared" si="37"/>
        <v>15576453.48729429</v>
      </c>
      <c r="U38" s="1978">
        <f>U48+U51+U53</f>
        <v>8381170.7333333334</v>
      </c>
      <c r="V38" s="1291">
        <f t="shared" si="37"/>
        <v>15860015.451205844</v>
      </c>
      <c r="W38" s="1256">
        <f>W48+W51+W53</f>
        <v>8353092.8385714283</v>
      </c>
      <c r="X38" s="1978">
        <f t="shared" si="37"/>
        <v>16035217.363473043</v>
      </c>
      <c r="Y38" s="1978">
        <f t="shared" ref="Y38" si="38">Y48+Y51+Y53</f>
        <v>8581970.1785714291</v>
      </c>
      <c r="Z38" s="1600">
        <f t="shared" si="37"/>
        <v>16198965.47723073</v>
      </c>
      <c r="AA38" s="1291">
        <f t="shared" ref="AA38" si="39">AA48+AA51+AA53</f>
        <v>11625129.494285714</v>
      </c>
      <c r="AB38" s="153"/>
      <c r="AC38" s="2051"/>
      <c r="AD38" s="2052"/>
    </row>
    <row r="39" spans="1:30" s="1968" customFormat="1" ht="15.75" customHeight="1">
      <c r="A39" s="96"/>
      <c r="B39" s="2026" t="s">
        <v>162</v>
      </c>
      <c r="C39" s="1536"/>
      <c r="D39" s="1291">
        <f>'Выручка-план'!P188</f>
        <v>10564100.953333333</v>
      </c>
      <c r="E39" s="1978">
        <v>0</v>
      </c>
      <c r="F39" s="1291">
        <f t="shared" ref="F39:M39" si="40">D39</f>
        <v>10564100.953333333</v>
      </c>
      <c r="G39" s="1978">
        <f t="shared" si="40"/>
        <v>0</v>
      </c>
      <c r="H39" s="1291">
        <f t="shared" si="40"/>
        <v>10564100.953333333</v>
      </c>
      <c r="I39" s="1978">
        <f t="shared" si="40"/>
        <v>0</v>
      </c>
      <c r="J39" s="1291">
        <f t="shared" si="40"/>
        <v>10564100.953333333</v>
      </c>
      <c r="K39" s="1978">
        <f t="shared" si="40"/>
        <v>0</v>
      </c>
      <c r="L39" s="1291">
        <f t="shared" si="40"/>
        <v>10564100.953333333</v>
      </c>
      <c r="M39" s="1978">
        <f t="shared" si="40"/>
        <v>0</v>
      </c>
      <c r="N39" s="1291">
        <f>L39</f>
        <v>10564100.953333333</v>
      </c>
      <c r="O39" s="1978"/>
      <c r="P39" s="1291">
        <f>N39</f>
        <v>10564100.953333333</v>
      </c>
      <c r="Q39" s="1256"/>
      <c r="R39" s="1978">
        <f>P39</f>
        <v>10564100.953333333</v>
      </c>
      <c r="S39" s="1978">
        <f>Q39</f>
        <v>0</v>
      </c>
      <c r="T39" s="1676">
        <f>R39</f>
        <v>10564100.953333333</v>
      </c>
      <c r="U39" s="1978"/>
      <c r="V39" s="1291">
        <f>T39</f>
        <v>10564100.953333333</v>
      </c>
      <c r="W39" s="1256"/>
      <c r="X39" s="1978">
        <f>V39</f>
        <v>10564100.953333333</v>
      </c>
      <c r="Y39" s="1978"/>
      <c r="Z39" s="1600">
        <f>X39</f>
        <v>10564100.953333333</v>
      </c>
      <c r="AA39" s="1291">
        <f>Y39</f>
        <v>0</v>
      </c>
      <c r="AB39" s="153"/>
      <c r="AC39" s="2051"/>
      <c r="AD39" s="2052"/>
    </row>
    <row r="40" spans="1:30" s="1968" customFormat="1" ht="15.75" customHeight="1">
      <c r="A40" s="96"/>
      <c r="B40" s="2027" t="s">
        <v>166</v>
      </c>
      <c r="C40" s="1536"/>
      <c r="D40" s="1292">
        <f>'коэффициент сезонности'!B14</f>
        <v>0.97168370848979968</v>
      </c>
      <c r="E40" s="1979">
        <f>'коэффициент сезонности'!C14</f>
        <v>0.97283127424098215</v>
      </c>
      <c r="F40" s="1292">
        <f>'коэффициент сезонности'!C14</f>
        <v>0.97283127424098215</v>
      </c>
      <c r="G40" s="1979"/>
      <c r="H40" s="1292">
        <f>'коэффициент сезонности'!D14</f>
        <v>1.0513969936037681</v>
      </c>
      <c r="I40" s="1979"/>
      <c r="J40" s="1292">
        <f>'коэффициент сезонности'!E14</f>
        <v>1.0796754439329381</v>
      </c>
      <c r="K40" s="1979"/>
      <c r="L40" s="1292">
        <f>'коэффициент сезонности'!F14</f>
        <v>1.0130132045552864</v>
      </c>
      <c r="M40" s="1979"/>
      <c r="N40" s="1292">
        <f>'коэффициент сезонности'!G14</f>
        <v>0.93279820176510775</v>
      </c>
      <c r="O40" s="1979"/>
      <c r="P40" s="1292">
        <f>'коэффициент сезонности'!H14</f>
        <v>0.96752634105289048</v>
      </c>
      <c r="Q40" s="1257"/>
      <c r="R40" s="1979">
        <f>'коэффициент сезонности'!I14</f>
        <v>0.99074116585664829</v>
      </c>
      <c r="S40" s="1979"/>
      <c r="T40" s="1677">
        <f>'коэффициент сезонности'!J14</f>
        <v>1.1088902576934156</v>
      </c>
      <c r="U40" s="1979"/>
      <c r="V40" s="1292">
        <f>'коэффициент сезонности'!K14</f>
        <v>1.1443705548191792</v>
      </c>
      <c r="W40" s="1257"/>
      <c r="X40" s="1979">
        <f>'коэффициент сезонности'!L14</f>
        <v>1.1698922256406288</v>
      </c>
      <c r="Y40" s="1979"/>
      <c r="Z40" s="1601">
        <f>'коэффициент сезонности'!M5</f>
        <v>1.194361256698713</v>
      </c>
      <c r="AA40" s="1292">
        <f>'коэффициент сезонности'!N5</f>
        <v>0</v>
      </c>
      <c r="AB40" s="153"/>
      <c r="AC40" s="2051"/>
      <c r="AD40" s="2052"/>
    </row>
    <row r="41" spans="1:30" s="2013" customFormat="1" ht="15.75" customHeight="1">
      <c r="A41" s="97"/>
      <c r="B41" s="2028" t="s">
        <v>168</v>
      </c>
      <c r="C41" s="1537"/>
      <c r="D41" s="1293">
        <f>D39*D40</f>
        <v>10264964.791195562</v>
      </c>
      <c r="E41" s="1980">
        <f>'БЛОК-ВЫРУЧКА'!G78</f>
        <v>8477722.7333333325</v>
      </c>
      <c r="F41" s="1293">
        <f t="shared" ref="F41:Z41" si="41">F39*F40</f>
        <v>10277087.791641641</v>
      </c>
      <c r="G41" s="1980">
        <f>'БЛОК-ВЫРУЧКА'!L78</f>
        <v>8583947.3357142843</v>
      </c>
      <c r="H41" s="1293">
        <f t="shared" si="41"/>
        <v>11107063.982461367</v>
      </c>
      <c r="I41" s="1980">
        <f>'БЛОК-ВЫРУЧКА'!O78</f>
        <v>8987414.3142857142</v>
      </c>
      <c r="J41" s="1293">
        <f t="shared" si="41"/>
        <v>11405800.386542542</v>
      </c>
      <c r="K41" s="1980">
        <f>'БЛОК-ВЫРУЧКА'!Q78</f>
        <v>9814327.9142857119</v>
      </c>
      <c r="L41" s="1293">
        <f t="shared" si="41"/>
        <v>10701573.759981757</v>
      </c>
      <c r="M41" s="1980">
        <f>'БЛОК-ВЫРУЧКА'!S78</f>
        <v>9934360.8833333328</v>
      </c>
      <c r="N41" s="1293">
        <f t="shared" si="41"/>
        <v>9854174.3725343943</v>
      </c>
      <c r="O41" s="1980">
        <f>'БЛОК-ВЫРУЧКА'!U78</f>
        <v>8150692.4490476185</v>
      </c>
      <c r="P41" s="1293">
        <f t="shared" si="41"/>
        <v>10221045.941891951</v>
      </c>
      <c r="Q41" s="1258">
        <f>'БЛОК-ВЫРУЧКА'!W78</f>
        <v>8346684.2023809524</v>
      </c>
      <c r="R41" s="1980">
        <f t="shared" si="41"/>
        <v>10466289.694732796</v>
      </c>
      <c r="S41" s="1980">
        <f>'БЛОК-ВЫРУЧКА'!Z78</f>
        <v>7048368.2523809513</v>
      </c>
      <c r="T41" s="1678">
        <f t="shared" si="41"/>
        <v>11714428.628441058</v>
      </c>
      <c r="U41" s="1980">
        <f>'БЛОК-ВЫРУЧКА'!AC78</f>
        <v>7264562.0233333334</v>
      </c>
      <c r="V41" s="1293">
        <f t="shared" si="41"/>
        <v>12089246.069131887</v>
      </c>
      <c r="W41" s="1258">
        <f>'БЛОК-ВЫРУЧКА'!AE78</f>
        <v>7420532.8385714283</v>
      </c>
      <c r="X41" s="1980">
        <f>X39*X40</f>
        <v>12358859.576187421</v>
      </c>
      <c r="Y41" s="1980">
        <f>'БЛОК-ВЫРУЧКА'!AG78</f>
        <v>7546009.6547619049</v>
      </c>
      <c r="Z41" s="1602">
        <f t="shared" si="41"/>
        <v>12617352.890515272</v>
      </c>
      <c r="AA41" s="1293">
        <f>'БЛОК-ВЫРУЧКА'!AI78</f>
        <v>9479767.688571427</v>
      </c>
      <c r="AB41" s="2016"/>
      <c r="AC41" s="2077"/>
      <c r="AD41" s="2073"/>
    </row>
    <row r="42" spans="1:30" s="2013" customFormat="1" ht="15.75" customHeight="1">
      <c r="A42" s="99"/>
      <c r="B42" s="2028" t="s">
        <v>218</v>
      </c>
      <c r="C42" s="1538"/>
      <c r="D42" s="1293"/>
      <c r="E42" s="1980"/>
      <c r="F42" s="1293"/>
      <c r="G42" s="1980"/>
      <c r="H42" s="1293"/>
      <c r="I42" s="1980"/>
      <c r="J42" s="1293"/>
      <c r="K42" s="1980"/>
      <c r="L42" s="1293"/>
      <c r="M42" s="1980"/>
      <c r="N42" s="1293"/>
      <c r="O42" s="1980"/>
      <c r="P42" s="1293"/>
      <c r="Q42" s="1258"/>
      <c r="R42" s="1980"/>
      <c r="S42" s="1980"/>
      <c r="T42" s="1678"/>
      <c r="U42" s="1980"/>
      <c r="V42" s="1293"/>
      <c r="W42" s="1258"/>
      <c r="X42" s="1980"/>
      <c r="Y42" s="1980"/>
      <c r="Z42" s="1602"/>
      <c r="AA42" s="1293"/>
      <c r="AB42" s="2016"/>
      <c r="AC42" s="2077"/>
      <c r="AD42" s="2073"/>
    </row>
    <row r="43" spans="1:30" s="1968" customFormat="1" ht="15.75" customHeight="1">
      <c r="A43" s="100"/>
      <c r="B43" s="2027" t="s">
        <v>165</v>
      </c>
      <c r="C43" s="1539">
        <v>0.03</v>
      </c>
      <c r="D43" s="1291">
        <f>D41*$C$43</f>
        <v>307948.94373586687</v>
      </c>
      <c r="E43" s="1978">
        <v>0</v>
      </c>
      <c r="F43" s="1291">
        <f t="shared" ref="F43:Z43" si="42">F41*$C$43</f>
        <v>308312.63374924922</v>
      </c>
      <c r="G43" s="1978"/>
      <c r="H43" s="1291">
        <f t="shared" si="42"/>
        <v>333211.91947384097</v>
      </c>
      <c r="I43" s="1978"/>
      <c r="J43" s="1291">
        <f t="shared" si="42"/>
        <v>342174.01159627625</v>
      </c>
      <c r="K43" s="1978"/>
      <c r="L43" s="1291">
        <f t="shared" si="42"/>
        <v>321047.21279945271</v>
      </c>
      <c r="M43" s="1978"/>
      <c r="N43" s="1291">
        <f t="shared" si="42"/>
        <v>295625.23117603181</v>
      </c>
      <c r="O43" s="1978"/>
      <c r="P43" s="1291">
        <f t="shared" si="42"/>
        <v>306631.37825675856</v>
      </c>
      <c r="Q43" s="1256"/>
      <c r="R43" s="1978">
        <f t="shared" si="42"/>
        <v>313988.69084198389</v>
      </c>
      <c r="S43" s="1978"/>
      <c r="T43" s="1676">
        <f t="shared" si="42"/>
        <v>351432.85885323171</v>
      </c>
      <c r="U43" s="1978"/>
      <c r="V43" s="1291">
        <f t="shared" si="42"/>
        <v>362677.3820739566</v>
      </c>
      <c r="W43" s="1256"/>
      <c r="X43" s="1978">
        <f t="shared" si="42"/>
        <v>370765.78728562262</v>
      </c>
      <c r="Y43" s="1978"/>
      <c r="Z43" s="1600">
        <f t="shared" si="42"/>
        <v>378520.58671545814</v>
      </c>
      <c r="AA43" s="1291"/>
      <c r="AB43" s="1534"/>
      <c r="AC43" s="2078"/>
      <c r="AD43" s="2052"/>
    </row>
    <row r="44" spans="1:30" s="1968" customFormat="1" ht="15.75" customHeight="1">
      <c r="A44" s="100"/>
      <c r="B44" s="2027" t="s">
        <v>167</v>
      </c>
      <c r="C44" s="1540" t="s">
        <v>220</v>
      </c>
      <c r="D44" s="1291">
        <f>-'Выручка-план'!O231</f>
        <v>0</v>
      </c>
      <c r="E44" s="1978">
        <f>-'Выручка-план'!P231</f>
        <v>0</v>
      </c>
      <c r="F44" s="1291">
        <f>-'Выручка-план'!P231</f>
        <v>0</v>
      </c>
      <c r="G44" s="1978"/>
      <c r="H44" s="1291">
        <f>-'Выручка-план'!Q231</f>
        <v>-102500</v>
      </c>
      <c r="I44" s="1978"/>
      <c r="J44" s="1291">
        <f>-'Выручка-план'!R231</f>
        <v>-205000</v>
      </c>
      <c r="K44" s="1978"/>
      <c r="L44" s="1291">
        <f>-'Выручка-план'!S231</f>
        <v>-307500</v>
      </c>
      <c r="M44" s="1978"/>
      <c r="N44" s="1291">
        <f>-'Выручка-план'!T231</f>
        <v>-410000</v>
      </c>
      <c r="O44" s="1978"/>
      <c r="P44" s="1291">
        <f>-'Выручка-план'!U231</f>
        <v>-512500</v>
      </c>
      <c r="Q44" s="1256"/>
      <c r="R44" s="1978">
        <f>-'Выручка-план'!V231</f>
        <v>-615000</v>
      </c>
      <c r="S44" s="1978"/>
      <c r="T44" s="1676">
        <f>-'Выручка-план'!W231</f>
        <v>-717500</v>
      </c>
      <c r="U44" s="1978"/>
      <c r="V44" s="1291">
        <f>-'Выручка-план'!X231</f>
        <v>-820000</v>
      </c>
      <c r="W44" s="1256"/>
      <c r="X44" s="1978">
        <f>-'Выручка-план'!Y231</f>
        <v>-922500</v>
      </c>
      <c r="Y44" s="1978"/>
      <c r="Z44" s="1600">
        <f>-'Выручка-план'!Z231</f>
        <v>-1025000</v>
      </c>
      <c r="AA44" s="1291"/>
      <c r="AB44" s="2037"/>
      <c r="AC44" s="2051"/>
      <c r="AD44" s="2052"/>
    </row>
    <row r="45" spans="1:30" s="2013" customFormat="1" ht="30" customHeight="1">
      <c r="A45" s="97"/>
      <c r="B45" s="2028" t="s">
        <v>186</v>
      </c>
      <c r="C45" s="1537"/>
      <c r="D45" s="1295"/>
      <c r="E45" s="1982"/>
      <c r="F45" s="1294"/>
      <c r="G45" s="1981"/>
      <c r="H45" s="1294">
        <f>'Выручка тех. с новых клиентов'!B8</f>
        <v>3040477</v>
      </c>
      <c r="I45" s="1981"/>
      <c r="J45" s="1294">
        <f>'Выручка тех. с новых клиентов'!C8</f>
        <v>2101643</v>
      </c>
      <c r="K45" s="1981"/>
      <c r="L45" s="1294">
        <f>'Выручка тех. с новых клиентов'!D8</f>
        <v>2330272</v>
      </c>
      <c r="M45" s="1981"/>
      <c r="N45" s="1294">
        <f>'Выручка тех. с новых клиентов'!E8</f>
        <v>2330272</v>
      </c>
      <c r="O45" s="1981"/>
      <c r="P45" s="1294">
        <f>'Выручка тех. с новых клиентов'!F8</f>
        <v>2214992</v>
      </c>
      <c r="Q45" s="1259"/>
      <c r="R45" s="1981">
        <f>'Выручка тех. с новых клиентов'!G8</f>
        <v>2128092</v>
      </c>
      <c r="S45" s="1981"/>
      <c r="T45" s="1679">
        <f>'Выручка тех. с новых клиентов'!H8</f>
        <v>2128092</v>
      </c>
      <c r="U45" s="1981"/>
      <c r="V45" s="1294">
        <f>'Выручка тех. с новых клиентов'!I8</f>
        <v>2128092</v>
      </c>
      <c r="W45" s="1259"/>
      <c r="X45" s="1981">
        <f>'Выручка тех. с новых клиентов'!J8</f>
        <v>2128092</v>
      </c>
      <c r="Y45" s="1981"/>
      <c r="Z45" s="1603">
        <f>'Выручка тех. с новых клиентов'!K8</f>
        <v>2128092</v>
      </c>
      <c r="AA45" s="1294"/>
      <c r="AB45" s="2016"/>
      <c r="AC45" s="2077"/>
      <c r="AD45" s="2073"/>
    </row>
    <row r="46" spans="1:30" s="2013" customFormat="1" ht="16.95" customHeight="1">
      <c r="A46" s="97"/>
      <c r="B46" s="2028" t="s">
        <v>207</v>
      </c>
      <c r="C46" s="1537"/>
      <c r="D46" s="1295"/>
      <c r="E46" s="1982"/>
      <c r="F46" s="1295"/>
      <c r="G46" s="1982"/>
      <c r="H46" s="1295"/>
      <c r="I46" s="1982"/>
      <c r="J46" s="1295"/>
      <c r="K46" s="1982"/>
      <c r="L46" s="1295"/>
      <c r="M46" s="1982"/>
      <c r="N46" s="1295"/>
      <c r="O46" s="1982"/>
      <c r="P46" s="1295"/>
      <c r="Q46" s="1260"/>
      <c r="R46" s="1982"/>
      <c r="S46" s="1982"/>
      <c r="T46" s="1680"/>
      <c r="U46" s="1982"/>
      <c r="V46" s="1295"/>
      <c r="W46" s="1260"/>
      <c r="X46" s="1982"/>
      <c r="Y46" s="1982"/>
      <c r="Z46" s="1604"/>
      <c r="AA46" s="1295"/>
      <c r="AB46" s="1626"/>
      <c r="AC46" s="2077"/>
      <c r="AD46" s="2073"/>
    </row>
    <row r="47" spans="1:30" s="2013" customFormat="1" ht="16.95" customHeight="1">
      <c r="A47" s="97"/>
      <c r="B47" s="2028"/>
      <c r="C47" s="1537"/>
      <c r="D47" s="1295"/>
      <c r="E47" s="1982"/>
      <c r="F47" s="1295"/>
      <c r="G47" s="1982"/>
      <c r="H47" s="1295"/>
      <c r="I47" s="1982"/>
      <c r="J47" s="1295"/>
      <c r="K47" s="1982"/>
      <c r="L47" s="1295"/>
      <c r="M47" s="1982"/>
      <c r="N47" s="1295"/>
      <c r="O47" s="1982"/>
      <c r="P47" s="1295"/>
      <c r="Q47" s="1260"/>
      <c r="R47" s="1982"/>
      <c r="S47" s="1982"/>
      <c r="T47" s="1680"/>
      <c r="U47" s="1982"/>
      <c r="V47" s="1295"/>
      <c r="W47" s="1260"/>
      <c r="X47" s="1982"/>
      <c r="Y47" s="1982"/>
      <c r="Z47" s="1604"/>
      <c r="AA47" s="1295"/>
      <c r="AB47" s="1626"/>
      <c r="AC47" s="2077"/>
      <c r="AD47" s="2073"/>
    </row>
    <row r="48" spans="1:30" s="1968" customFormat="1" ht="15.75" customHeight="1">
      <c r="A48" s="96"/>
      <c r="B48" s="2029" t="s">
        <v>169</v>
      </c>
      <c r="C48" s="1541"/>
      <c r="D48" s="1291">
        <f t="shared" ref="D48:L48" si="43">SUM(D41:D46)</f>
        <v>10572913.73493143</v>
      </c>
      <c r="E48" s="2030">
        <f t="shared" si="43"/>
        <v>8477722.7333333325</v>
      </c>
      <c r="F48" s="1291">
        <f t="shared" si="43"/>
        <v>10585400.42539089</v>
      </c>
      <c r="G48" s="1978">
        <f>SUM(G41:G46)</f>
        <v>8583947.3357142843</v>
      </c>
      <c r="H48" s="1291">
        <f t="shared" si="43"/>
        <v>14378252.901935209</v>
      </c>
      <c r="I48" s="1978">
        <f t="shared" si="43"/>
        <v>8987414.3142857142</v>
      </c>
      <c r="J48" s="1291">
        <f t="shared" si="43"/>
        <v>13644617.398138817</v>
      </c>
      <c r="K48" s="1978">
        <f>SUM(K41:K46)</f>
        <v>9814327.9142857119</v>
      </c>
      <c r="L48" s="1291">
        <f t="shared" si="43"/>
        <v>13045392.972781209</v>
      </c>
      <c r="M48" s="1978">
        <f>SUM(M41:M46)</f>
        <v>9934360.8833333328</v>
      </c>
      <c r="N48" s="1291">
        <f t="shared" ref="N48:X48" si="44">SUM(N41:N46)</f>
        <v>12070071.603710426</v>
      </c>
      <c r="O48" s="1978">
        <f>SUM(O41:O46)</f>
        <v>8150692.4490476185</v>
      </c>
      <c r="P48" s="1291">
        <f t="shared" si="44"/>
        <v>12230169.32014871</v>
      </c>
      <c r="Q48" s="1256">
        <f>SUM(Q41:Q46)</f>
        <v>8346684.2023809524</v>
      </c>
      <c r="R48" s="1978">
        <f t="shared" si="44"/>
        <v>12293370.38557478</v>
      </c>
      <c r="S48" s="1978">
        <f>SUM(S41:S46)</f>
        <v>7048368.2523809513</v>
      </c>
      <c r="T48" s="1676">
        <f t="shared" si="44"/>
        <v>13476453.48729429</v>
      </c>
      <c r="U48" s="1978">
        <f>SUM(U41:U46)</f>
        <v>7264562.0233333334</v>
      </c>
      <c r="V48" s="1291">
        <f t="shared" si="44"/>
        <v>13760015.451205844</v>
      </c>
      <c r="W48" s="1256">
        <f>SUM(W41:W46)</f>
        <v>7420532.8385714283</v>
      </c>
      <c r="X48" s="1978">
        <f t="shared" si="44"/>
        <v>13935217.363473043</v>
      </c>
      <c r="Y48" s="1978">
        <f t="shared" ref="Y48" si="45">SUM(Y41:Y46)</f>
        <v>7546009.6547619049</v>
      </c>
      <c r="Z48" s="1600">
        <f>SUM(Z41:Z46)</f>
        <v>14098965.47723073</v>
      </c>
      <c r="AA48" s="1291">
        <f>SUM(AA41:AA46)</f>
        <v>9479767.688571427</v>
      </c>
      <c r="AB48" s="2022">
        <f>D48+F48+H48+J48+L48+N48+P48+R48+T48+V48+X48+Z48</f>
        <v>154090840.52181536</v>
      </c>
      <c r="AC48" s="2022">
        <f>E48+G48+I48+K48+M48+O48+Q48+S48+U48+W48+Y48+AA48</f>
        <v>101054390.28999999</v>
      </c>
      <c r="AD48" s="2098">
        <f>AC48/12</f>
        <v>8421199.190833332</v>
      </c>
    </row>
    <row r="49" spans="1:30" s="1968" customFormat="1" ht="15.75" customHeight="1">
      <c r="A49" s="94"/>
      <c r="C49" s="153"/>
      <c r="D49" s="94"/>
      <c r="E49" s="2015"/>
      <c r="F49" s="94"/>
      <c r="H49" s="94"/>
      <c r="J49" s="94"/>
      <c r="L49" s="94"/>
      <c r="N49" s="94"/>
      <c r="P49" s="94"/>
      <c r="Q49" s="1261"/>
      <c r="T49" s="1681"/>
      <c r="V49" s="94"/>
      <c r="W49" s="1261"/>
      <c r="Z49" s="153"/>
      <c r="AA49" s="94"/>
      <c r="AB49" s="2022"/>
      <c r="AC49" s="2022"/>
      <c r="AD49" s="2052"/>
    </row>
    <row r="50" spans="1:30" s="1968" customFormat="1" ht="15.75" customHeight="1">
      <c r="A50" s="96"/>
      <c r="B50" s="2027"/>
      <c r="C50" s="1541"/>
      <c r="D50" s="1291"/>
      <c r="E50" s="2030"/>
      <c r="F50" s="1291"/>
      <c r="G50" s="1978"/>
      <c r="H50" s="1291"/>
      <c r="I50" s="1978"/>
      <c r="J50" s="1291"/>
      <c r="K50" s="1978"/>
      <c r="L50" s="1291"/>
      <c r="M50" s="1978"/>
      <c r="N50" s="1291"/>
      <c r="O50" s="1978"/>
      <c r="P50" s="1291"/>
      <c r="Q50" s="1256"/>
      <c r="R50" s="1978"/>
      <c r="S50" s="1978"/>
      <c r="T50" s="1676"/>
      <c r="U50" s="1978"/>
      <c r="V50" s="1291"/>
      <c r="W50" s="1256"/>
      <c r="X50" s="1978"/>
      <c r="Y50" s="1978"/>
      <c r="Z50" s="1600"/>
      <c r="AA50" s="1291"/>
      <c r="AB50" s="2022"/>
      <c r="AC50" s="2022"/>
      <c r="AD50" s="2052"/>
    </row>
    <row r="51" spans="1:30" s="2013" customFormat="1" ht="29.4" customHeight="1">
      <c r="A51" s="97"/>
      <c r="B51" s="2031" t="s">
        <v>163</v>
      </c>
      <c r="C51" s="1542" t="s">
        <v>637</v>
      </c>
      <c r="D51" s="1293">
        <v>1700000</v>
      </c>
      <c r="E51" s="2032">
        <f>'БЛОК-ВЫРУЧКА'!G146</f>
        <v>674713.23809523811</v>
      </c>
      <c r="F51" s="1293">
        <f>D51</f>
        <v>1700000</v>
      </c>
      <c r="G51" s="1980">
        <f>'БЛОК-ВЫРУЧКА'!L146</f>
        <v>2305705.4395238091</v>
      </c>
      <c r="H51" s="1293">
        <f>F51+300000</f>
        <v>2000000</v>
      </c>
      <c r="I51" s="1980">
        <f>'БЛОК-ВЫРУЧКА'!O146</f>
        <v>1198212.0761904761</v>
      </c>
      <c r="J51" s="1293">
        <f>H51</f>
        <v>2000000</v>
      </c>
      <c r="K51" s="1980">
        <f>'БЛОК-ВЫРУЧКА'!Q146</f>
        <v>583580.87476190482</v>
      </c>
      <c r="L51" s="1293">
        <f>J51</f>
        <v>2000000</v>
      </c>
      <c r="M51" s="1980">
        <f>'БЛОК-ВЫРУЧКА'!S146</f>
        <v>1388277.2571428572</v>
      </c>
      <c r="N51" s="1293">
        <f>J51</f>
        <v>2000000</v>
      </c>
      <c r="O51" s="1980">
        <f>'БЛОК-ВЫРУЧКА'!U146</f>
        <v>985338</v>
      </c>
      <c r="P51" s="1293">
        <f>N51</f>
        <v>2000000</v>
      </c>
      <c r="Q51" s="1258">
        <f>'БЛОК-ВЫРУЧКА'!W146</f>
        <v>912801.04761904757</v>
      </c>
      <c r="R51" s="1980">
        <f>N51</f>
        <v>2000000</v>
      </c>
      <c r="S51" s="1980">
        <f>'БЛОК-ВЫРУЧКА'!Z146</f>
        <v>253475</v>
      </c>
      <c r="T51" s="1678">
        <f>R51</f>
        <v>2000000</v>
      </c>
      <c r="U51" s="1980">
        <f>'БЛОК-ВЫРУЧКА'!AC146</f>
        <v>1061608.71</v>
      </c>
      <c r="V51" s="1293">
        <f>T51</f>
        <v>2000000</v>
      </c>
      <c r="W51" s="1258">
        <f>'БЛОК-ВЫРУЧКА'!AE146</f>
        <v>920560</v>
      </c>
      <c r="X51" s="1980">
        <f>V51</f>
        <v>2000000</v>
      </c>
      <c r="Y51" s="1980">
        <f>'БЛОК-ВЫРУЧКА'!AG146</f>
        <v>1013960.5238095238</v>
      </c>
      <c r="Z51" s="1602">
        <f>X51</f>
        <v>2000000</v>
      </c>
      <c r="AA51" s="1293">
        <f>'БЛОК-ВЫРУЧКА'!AI146</f>
        <v>2145361.8057142859</v>
      </c>
      <c r="AB51" s="2023">
        <f>D51+F51+H51+J51+L51+N51+P51+R51+T51+V51+X51+Z51</f>
        <v>23400000</v>
      </c>
      <c r="AC51" s="2023">
        <f>E51+G51+I51+K51+M51+O51+Q51+S51+U51+W51+Y51+AA51</f>
        <v>13443593.972857144</v>
      </c>
      <c r="AD51" s="2079">
        <f>AC51/12</f>
        <v>1120299.4977380952</v>
      </c>
    </row>
    <row r="52" spans="1:30" s="2013" customFormat="1" ht="15.75" customHeight="1">
      <c r="A52" s="97"/>
      <c r="B52" s="2031"/>
      <c r="C52" s="1543" t="s">
        <v>638</v>
      </c>
      <c r="D52" s="1293"/>
      <c r="E52" s="1980"/>
      <c r="F52" s="1293"/>
      <c r="G52" s="1980"/>
      <c r="H52" s="1293"/>
      <c r="I52" s="1980"/>
      <c r="J52" s="1293"/>
      <c r="K52" s="1980"/>
      <c r="L52" s="1293"/>
      <c r="M52" s="1980"/>
      <c r="N52" s="1293"/>
      <c r="O52" s="1980"/>
      <c r="P52" s="1293"/>
      <c r="Q52" s="1258"/>
      <c r="R52" s="1980"/>
      <c r="S52" s="1980"/>
      <c r="T52" s="1678"/>
      <c r="U52" s="1980"/>
      <c r="V52" s="1293"/>
      <c r="W52" s="1258"/>
      <c r="X52" s="1980"/>
      <c r="Y52" s="1980"/>
      <c r="Z52" s="1602"/>
      <c r="AA52" s="1293"/>
      <c r="AB52" s="2023"/>
      <c r="AC52" s="2023"/>
      <c r="AD52" s="2073"/>
    </row>
    <row r="53" spans="1:30" s="2013" customFormat="1" ht="15.75" customHeight="1">
      <c r="A53" s="97"/>
      <c r="B53" s="2031" t="s">
        <v>164</v>
      </c>
      <c r="C53" s="1537"/>
      <c r="D53" s="1293">
        <v>100000</v>
      </c>
      <c r="E53" s="1980">
        <f>'БЛОК-ВЫРУЧКА'!G152</f>
        <v>0</v>
      </c>
      <c r="F53" s="1293">
        <v>100000</v>
      </c>
      <c r="G53" s="1980">
        <f>'БЛОК-ВЫРУЧКА'!L153</f>
        <v>81000</v>
      </c>
      <c r="H53" s="1293">
        <v>100000</v>
      </c>
      <c r="I53" s="1980">
        <f>'БЛОК-ВЫРУЧКА'!N153</f>
        <v>0</v>
      </c>
      <c r="J53" s="1293">
        <f>H53</f>
        <v>100000</v>
      </c>
      <c r="K53" s="1980">
        <f>'БЛОК-ВЫРУЧКА'!Q153</f>
        <v>0</v>
      </c>
      <c r="L53" s="1293">
        <v>100000</v>
      </c>
      <c r="M53" s="1980">
        <f>'БЛОК-ВЫРУЧКА'!S153</f>
        <v>0</v>
      </c>
      <c r="N53" s="1293">
        <v>100000</v>
      </c>
      <c r="O53" s="1980">
        <f>'БЛОК-ВЫРУЧКА'!U153</f>
        <v>552800</v>
      </c>
      <c r="P53" s="1293">
        <f>N53</f>
        <v>100000</v>
      </c>
      <c r="Q53" s="1258">
        <f>'БЛОК-ВЫРУЧКА'!W153</f>
        <v>25000</v>
      </c>
      <c r="R53" s="1980">
        <f>P53</f>
        <v>100000</v>
      </c>
      <c r="S53" s="1980">
        <f>'БЛОК-ВЫРУЧКА'!Z153</f>
        <v>0</v>
      </c>
      <c r="T53" s="1678">
        <f>R53</f>
        <v>100000</v>
      </c>
      <c r="U53" s="1980">
        <f>'БЛОК-ВЫРУЧКА'!AC153</f>
        <v>55000</v>
      </c>
      <c r="V53" s="1293">
        <f>T53</f>
        <v>100000</v>
      </c>
      <c r="W53" s="1258">
        <f>'БЛОК-ВЫРУЧКА'!AE153</f>
        <v>12000</v>
      </c>
      <c r="X53" s="1980">
        <f>V53</f>
        <v>100000</v>
      </c>
      <c r="Y53" s="1980">
        <f>'БЛОК-ВЫРУЧКА'!AG153</f>
        <v>22000</v>
      </c>
      <c r="Z53" s="1602">
        <f>X53</f>
        <v>100000</v>
      </c>
      <c r="AA53" s="1293"/>
      <c r="AB53" s="2023">
        <f t="shared" ref="AB52:AC105" si="46">D53+F53+H53+J53+L53+N53+P53+R53+T53+V53+X53+Z53</f>
        <v>1200000</v>
      </c>
      <c r="AC53" s="2023">
        <f t="shared" ref="AC52:AC79" si="47">E53+G53+I53+K53+M53+O53+Q53+S53+U53+W53+Y53+AA53</f>
        <v>747800</v>
      </c>
      <c r="AD53" s="2073"/>
    </row>
    <row r="54" spans="1:30" s="1968" customFormat="1" ht="30" customHeight="1">
      <c r="A54" s="100"/>
      <c r="B54" s="2027" t="s">
        <v>184</v>
      </c>
      <c r="C54" s="1539">
        <v>0.8</v>
      </c>
      <c r="D54" s="1291"/>
      <c r="E54" s="1978"/>
      <c r="F54" s="1291"/>
      <c r="G54" s="1978"/>
      <c r="H54" s="1291"/>
      <c r="I54" s="1978"/>
      <c r="J54" s="1291"/>
      <c r="K54" s="1978"/>
      <c r="L54" s="1291"/>
      <c r="M54" s="1978"/>
      <c r="N54" s="1291"/>
      <c r="O54" s="1978"/>
      <c r="P54" s="1291"/>
      <c r="Q54" s="1256"/>
      <c r="R54" s="1978"/>
      <c r="S54" s="1978"/>
      <c r="T54" s="1676"/>
      <c r="U54" s="1978"/>
      <c r="V54" s="1291"/>
      <c r="W54" s="1256"/>
      <c r="X54" s="1978"/>
      <c r="Y54" s="1978"/>
      <c r="Z54" s="1600"/>
      <c r="AA54" s="1291"/>
      <c r="AB54" s="2022"/>
      <c r="AC54" s="2022"/>
      <c r="AD54" s="2052"/>
    </row>
    <row r="55" spans="1:30" s="2013" customFormat="1" ht="15.75" customHeight="1">
      <c r="A55" s="97"/>
      <c r="B55" s="2033" t="s">
        <v>503</v>
      </c>
      <c r="C55" s="1537"/>
      <c r="D55" s="1630"/>
      <c r="E55" s="2020"/>
      <c r="F55" s="1630"/>
      <c r="G55" s="2020"/>
      <c r="H55" s="1630"/>
      <c r="I55" s="1982">
        <f>'БЛОК-ВЫРУЧКА'!O87+'БЛОК-ВЫРУЧКА'!O91+'БЛОК-ВЫРУЧКА'!O88</f>
        <v>304590</v>
      </c>
      <c r="J55" s="1295"/>
      <c r="K55" s="1982">
        <f>'БЛОК-ВЫРУЧКА'!Q83</f>
        <v>685695.4761904761</v>
      </c>
      <c r="L55" s="1295"/>
      <c r="M55" s="1982">
        <f>'БЛОК-ВЫРУЧКА'!S83</f>
        <v>364342</v>
      </c>
      <c r="N55" s="1295">
        <f>'план поступлений'!B64</f>
        <v>265000</v>
      </c>
      <c r="O55" s="1982">
        <f>'БЛОК-ВЫРУЧКА'!U87+'БЛОК-ВЫРУЧКА'!U93+'БЛОК-ВЫРУЧКА'!U125</f>
        <v>563275.51428571437</v>
      </c>
      <c r="P55" s="1295">
        <f>'план поступлений'!E64</f>
        <v>1060000</v>
      </c>
      <c r="Q55" s="1260">
        <f>'БЛОК-ВЫРУЧКА'!W83-'БЛОК-ВЫРУЧКА'!W97</f>
        <v>1636430.2414285713</v>
      </c>
      <c r="R55" s="1982">
        <f>'план поступлений'!F64</f>
        <v>1325000</v>
      </c>
      <c r="S55" s="1982">
        <f>'БЛОК-ВЫРУЧКА'!Z83-'БЛОК-ВЫРУЧКА'!Z96-'БЛОК-ВЫРУЧКА'!Z102-'БЛОК-ВЫРУЧКА'!Z104-'БЛОК-ВЫРУЧКА'!Z106</f>
        <v>2641830.52</v>
      </c>
      <c r="T55" s="1680">
        <f>'план поступлений'!G64</f>
        <v>1590000</v>
      </c>
      <c r="U55" s="1982">
        <f>'БЛОК-ВЫРУЧКА'!AC83-'БЛОК-ВЫРУЧКА'!AC89-'БЛОК-ВЫРУЧКА'!AC96-'БЛОК-ВЫРУЧКА'!AC102-'БЛОК-ВЫРУЧКА'!AC104-'БЛОК-ВЫРУЧКА'!AC105</f>
        <v>2630469.4523809524</v>
      </c>
      <c r="V55" s="1295">
        <f>'план поступлений'!H64</f>
        <v>1867750</v>
      </c>
      <c r="W55" s="1260">
        <f>'БЛОК-ВЫРУЧКА'!AE83-'БЛОК-ВЫРУЧКА'!AE89-'БЛОК-ВЫРУЧКА'!AE106</f>
        <v>3347505.4190476188</v>
      </c>
      <c r="X55" s="1982">
        <f>'план поступлений'!I64</f>
        <v>2145500</v>
      </c>
      <c r="Y55" s="1982">
        <f>'БЛОК-ВЫРУЧКА'!AG83-Y56</f>
        <v>2814287.5047619049</v>
      </c>
      <c r="Z55" s="1604">
        <f>'план поступлений'!J64</f>
        <v>2338250</v>
      </c>
      <c r="AA55" s="1295">
        <f>'БЛОК-ВЫРУЧКА'!AI83-'БЛОК-ВЫРУЧКА'!AI100-'БЛОК-ВЫРУЧКА'!AI108</f>
        <v>4668633.9571428569</v>
      </c>
      <c r="AB55" s="2023">
        <f>D55+F55+H55+J55+L55+N55+P55+R55+T55+V55+X55+Z55</f>
        <v>10591500</v>
      </c>
      <c r="AC55" s="2023">
        <f t="shared" si="47"/>
        <v>19657060.085238095</v>
      </c>
      <c r="AD55" s="2073"/>
    </row>
    <row r="56" spans="1:30" s="2013" customFormat="1" ht="15.75" customHeight="1">
      <c r="A56" s="97"/>
      <c r="B56" s="2033" t="s">
        <v>797</v>
      </c>
      <c r="C56" s="1537"/>
      <c r="D56" s="1295"/>
      <c r="E56" s="1982">
        <f>'БЛОК-ВЫРУЧКА'!G125</f>
        <v>23000</v>
      </c>
      <c r="F56" s="1295">
        <f>'план поступлений'!B61</f>
        <v>195000</v>
      </c>
      <c r="G56" s="1982">
        <f>'БЛОК-ВЫРУЧКА'!L83</f>
        <v>176800</v>
      </c>
      <c r="H56" s="1295">
        <f>'план поступлений'!C61</f>
        <v>195000</v>
      </c>
      <c r="I56" s="1982">
        <f>'БЛОК-ВЫРУЧКА'!O92+'БЛОК-ВЫРУЧКА'!O90+'БЛОК-ВЫРУЧКА'!O89</f>
        <v>75895</v>
      </c>
      <c r="J56" s="1295">
        <f>'план поступлений'!D61</f>
        <v>195000</v>
      </c>
      <c r="K56" s="1982"/>
      <c r="L56" s="1295">
        <f>'план поступлений'!E61</f>
        <v>390000</v>
      </c>
      <c r="M56" s="1982"/>
      <c r="N56" s="1295">
        <f>'план поступлений'!F61</f>
        <v>390000</v>
      </c>
      <c r="O56" s="1982">
        <f>'БЛОК-ВЫРУЧКА'!U96</f>
        <v>41300</v>
      </c>
      <c r="P56" s="1295">
        <f>'план поступлений'!G61</f>
        <v>390000</v>
      </c>
      <c r="Q56" s="1260">
        <f>'БЛОК-ВЫРУЧКА'!W97</f>
        <v>37906</v>
      </c>
      <c r="R56" s="1982">
        <f>'план поступлений'!H61</f>
        <v>585000</v>
      </c>
      <c r="S56" s="1982">
        <f>'БЛОК-ВЫРУЧКА'!Z96+'БЛОК-ВЫРУЧКА'!Z102+'БЛОК-ВЫРУЧКА'!Z104+'БЛОК-ВЫРУЧКА'!Z106</f>
        <v>141245</v>
      </c>
      <c r="T56" s="1680">
        <f>'план поступлений'!I61</f>
        <v>585000</v>
      </c>
      <c r="U56" s="1982">
        <f>'БЛОК-ВЫРУЧКА'!AC89+'БЛОК-ВЫРУЧКА'!AC96+'БЛОК-ВЫРУЧКА'!AC102+'БЛОК-ВЫРУЧКА'!AC104+'БЛОК-ВЫРУЧКА'!AC105</f>
        <v>310395.88571428572</v>
      </c>
      <c r="V56" s="1295">
        <f>'план поступлений'!J61</f>
        <v>585000</v>
      </c>
      <c r="W56" s="1260">
        <f>'БЛОК-ВЫРУЧКА'!AE89+'БЛОК-ВЫРУЧКА'!AE106</f>
        <v>63065.238095238092</v>
      </c>
      <c r="X56" s="1982">
        <f>'план поступлений'!K61</f>
        <v>780000</v>
      </c>
      <c r="Y56" s="1982">
        <f>'БЛОК-ВЫРУЧКА'!AG118+'БЛОК-ВЫРУЧКА'!AG89</f>
        <v>95612.523809523816</v>
      </c>
      <c r="Z56" s="1604">
        <f>'план поступлений'!L61</f>
        <v>780000</v>
      </c>
      <c r="AA56" s="1295">
        <f>'БЛОК-ВЫРУЧКА'!AI108+'БЛОК-ВЫРУЧКА'!AI100</f>
        <v>71040</v>
      </c>
      <c r="AB56" s="2023">
        <f t="shared" si="46"/>
        <v>5070000</v>
      </c>
      <c r="AC56" s="2023">
        <f t="shared" si="47"/>
        <v>1036259.6476190477</v>
      </c>
      <c r="AD56" s="2073"/>
    </row>
    <row r="57" spans="1:30" s="1516" customFormat="1" ht="15.75" customHeight="1" thickBot="1">
      <c r="A57" s="1739"/>
      <c r="B57" s="1740" t="s">
        <v>815</v>
      </c>
      <c r="C57" s="1741">
        <v>50000</v>
      </c>
      <c r="D57" s="1742">
        <f>$C$57</f>
        <v>50000</v>
      </c>
      <c r="E57" s="1743">
        <f>'БЛОК-ВЫРУЧКА'!G154</f>
        <v>458515.57</v>
      </c>
      <c r="F57" s="1742">
        <f t="shared" ref="F57:AA57" si="48">$C$57</f>
        <v>50000</v>
      </c>
      <c r="G57" s="1743">
        <f>'БЛОК-ВЫРУЧКА'!L154</f>
        <v>345203.81000000006</v>
      </c>
      <c r="H57" s="1742">
        <f t="shared" si="48"/>
        <v>50000</v>
      </c>
      <c r="I57" s="1743">
        <f>'БЛОК-ВЫРУЧКА'!O154</f>
        <v>230854.75</v>
      </c>
      <c r="J57" s="1742">
        <f t="shared" si="48"/>
        <v>50000</v>
      </c>
      <c r="K57" s="1743">
        <f>'БЛОК-ВЫРУЧКА'!Q154</f>
        <v>458757.9</v>
      </c>
      <c r="L57" s="1742">
        <f t="shared" si="48"/>
        <v>50000</v>
      </c>
      <c r="M57" s="1743">
        <f>'БЛОК-ВЫРУЧКА'!S154</f>
        <v>271646.25</v>
      </c>
      <c r="N57" s="1742">
        <f t="shared" si="48"/>
        <v>50000</v>
      </c>
      <c r="O57" s="1743">
        <f>'БЛОК-ВЫРУЧКА'!U154</f>
        <v>182105.93</v>
      </c>
      <c r="P57" s="1742">
        <f t="shared" si="48"/>
        <v>50000</v>
      </c>
      <c r="Q57" s="1744">
        <f>'БЛОК-ВЫРУЧКА'!W154</f>
        <v>192013.40285714285</v>
      </c>
      <c r="R57" s="1743">
        <f t="shared" si="48"/>
        <v>50000</v>
      </c>
      <c r="S57" s="1743">
        <f>'БЛОК-ВЫРУЧКА'!Z154</f>
        <v>293918.65000000002</v>
      </c>
      <c r="T57" s="1745">
        <f t="shared" si="48"/>
        <v>50000</v>
      </c>
      <c r="U57" s="1743">
        <f>'БЛОК-ВЫРУЧКА'!AC154</f>
        <v>127753.75</v>
      </c>
      <c r="V57" s="1742">
        <f t="shared" si="48"/>
        <v>50000</v>
      </c>
      <c r="W57" s="1744">
        <f>'БЛОК-ВЫРУЧКА'!AE154</f>
        <v>129349.92</v>
      </c>
      <c r="X57" s="1743">
        <f t="shared" si="48"/>
        <v>50000</v>
      </c>
      <c r="Y57" s="1743">
        <f>'БЛОК-ВЫРУЧКА'!AG154</f>
        <v>105844.84</v>
      </c>
      <c r="Z57" s="1746">
        <f t="shared" si="48"/>
        <v>50000</v>
      </c>
      <c r="AA57" s="1742">
        <f>'БЛОК-ВЫРУЧКА'!AI154</f>
        <v>46110.13</v>
      </c>
      <c r="AB57" s="2034">
        <f t="shared" si="46"/>
        <v>600000</v>
      </c>
      <c r="AC57" s="2034">
        <f t="shared" si="47"/>
        <v>2842074.9028571425</v>
      </c>
      <c r="AD57" s="2080"/>
    </row>
    <row r="58" spans="1:30" s="2014" customFormat="1" ht="15.75" customHeight="1">
      <c r="A58" s="1372"/>
      <c r="B58" s="2024" t="s">
        <v>4</v>
      </c>
      <c r="C58" s="1546"/>
      <c r="D58" s="1281">
        <f>D59+D69</f>
        <v>-6250610.1885057464</v>
      </c>
      <c r="E58" s="1983">
        <f>E59+E69</f>
        <v>-6144387</v>
      </c>
      <c r="F58" s="1281">
        <f>F59+H69</f>
        <v>-6337829.8245800175</v>
      </c>
      <c r="G58" s="1983">
        <f>G59+J69</f>
        <v>-6365034</v>
      </c>
      <c r="H58" s="1281">
        <f>H59+J69</f>
        <v>-6381703.2252136748</v>
      </c>
      <c r="I58" s="1983">
        <f>I59+N69</f>
        <v>-6565853</v>
      </c>
      <c r="J58" s="1281">
        <f>J59+L69</f>
        <v>-6381703.0924108457</v>
      </c>
      <c r="K58" s="1983">
        <f>K59+K69</f>
        <v>-6658662.9900000002</v>
      </c>
      <c r="L58" s="1281">
        <f>L59+N69</f>
        <v>-6381703.0924108457</v>
      </c>
      <c r="M58" s="1983">
        <f>M59+P69</f>
        <v>-6989486</v>
      </c>
      <c r="N58" s="1281">
        <f>N59+P69</f>
        <v>-6381703.0924108457</v>
      </c>
      <c r="O58" s="1983">
        <f>O59+R69</f>
        <v>-6184930</v>
      </c>
      <c r="P58" s="1281">
        <f>P59+R69</f>
        <v>-6381703.0924108457</v>
      </c>
      <c r="Q58" s="1263">
        <f>Q59+T69</f>
        <v>-6463372</v>
      </c>
      <c r="R58" s="1983">
        <f>R59+T69</f>
        <v>-6381703.0924108457</v>
      </c>
      <c r="S58" s="1983">
        <f>S59+V69</f>
        <v>-7058942</v>
      </c>
      <c r="T58" s="1683">
        <f>T59+V69</f>
        <v>-7282151.0302694151</v>
      </c>
      <c r="U58" s="1983">
        <f>U59+X69</f>
        <v>-6238397</v>
      </c>
      <c r="V58" s="1281">
        <f>V59+X69</f>
        <v>-7450376.1812760523</v>
      </c>
      <c r="W58" s="1263">
        <f>W59+Z69</f>
        <v>-6653341</v>
      </c>
      <c r="X58" s="1983">
        <f>X59+Z69</f>
        <v>-7624290.0513502881</v>
      </c>
      <c r="Y58" s="1983">
        <f>Y59+Y69</f>
        <v>-6754927.3499999996</v>
      </c>
      <c r="Z58" s="1606">
        <f>Z59+Z69</f>
        <v>-7804096.9411358666</v>
      </c>
      <c r="AA58" s="1281">
        <f>AA59+AA69</f>
        <v>-7080778.54</v>
      </c>
      <c r="AB58" s="2001">
        <f t="shared" si="46"/>
        <v>-81039572.904385298</v>
      </c>
      <c r="AC58" s="2001">
        <f t="shared" si="47"/>
        <v>-79158110.88000001</v>
      </c>
      <c r="AD58" s="2081"/>
    </row>
    <row r="59" spans="1:30" ht="15">
      <c r="A59" s="96"/>
      <c r="B59" s="1747" t="s">
        <v>187</v>
      </c>
      <c r="C59" s="1539"/>
      <c r="D59" s="1290">
        <f>SUM(D60:D67)</f>
        <v>-5900610.1885057464</v>
      </c>
      <c r="E59" s="1011">
        <f>SUM(E60:E67)</f>
        <v>-5868881</v>
      </c>
      <c r="F59" s="1290">
        <f>SUM(F60:F67)</f>
        <v>-5987829.8245800175</v>
      </c>
      <c r="G59" s="1011">
        <f>SUM(G60:G67)</f>
        <v>-6015034</v>
      </c>
      <c r="H59" s="1290">
        <f>SUM(H60:H67)</f>
        <v>-6031703.2252136748</v>
      </c>
      <c r="I59" s="1011">
        <f>-6215853</f>
        <v>-6215853</v>
      </c>
      <c r="J59" s="1290">
        <f t="shared" ref="J59:Z59" si="49">SUM(J60:J67)</f>
        <v>-6031703.0924108457</v>
      </c>
      <c r="K59" s="1011">
        <f>SUM(K60:K67)</f>
        <v>-6220314</v>
      </c>
      <c r="L59" s="1290">
        <f t="shared" si="49"/>
        <v>-6031703.0924108457</v>
      </c>
      <c r="M59" s="1011">
        <f>SUM(M60:M67)</f>
        <v>-6639486</v>
      </c>
      <c r="N59" s="1290">
        <f t="shared" si="49"/>
        <v>-6031703.0924108457</v>
      </c>
      <c r="O59" s="1011">
        <f>SUM(O60:O67)</f>
        <v>-5834930</v>
      </c>
      <c r="P59" s="1290">
        <f t="shared" si="49"/>
        <v>-6031703.0924108457</v>
      </c>
      <c r="Q59" s="1254">
        <f>SUM(Q60:Q67)</f>
        <v>-6113372</v>
      </c>
      <c r="R59" s="1011">
        <f t="shared" si="49"/>
        <v>-6031703.0924108457</v>
      </c>
      <c r="S59" s="1011">
        <f>SUM(S60:S67)</f>
        <v>-6708942</v>
      </c>
      <c r="T59" s="1673">
        <f t="shared" si="49"/>
        <v>-6932151.0302694151</v>
      </c>
      <c r="U59" s="1011">
        <f>SUM(U60:U67)</f>
        <v>-5888397</v>
      </c>
      <c r="V59" s="1290">
        <f t="shared" si="49"/>
        <v>-7100376.1812760523</v>
      </c>
      <c r="W59" s="1254">
        <f>SUM(W60:W67)</f>
        <v>-6303341</v>
      </c>
      <c r="X59" s="1011">
        <f t="shared" si="49"/>
        <v>-7274290.0513502881</v>
      </c>
      <c r="Y59" s="1011">
        <f t="shared" ref="Y59" si="50">SUM(Y60:Y67)</f>
        <v>-6335650</v>
      </c>
      <c r="Z59" s="1599">
        <f t="shared" si="49"/>
        <v>-7454096.9411358666</v>
      </c>
      <c r="AA59" s="1290">
        <f t="shared" ref="AA59" si="51">SUM(AA60:AA67)</f>
        <v>-6790203</v>
      </c>
      <c r="AB59" s="2038">
        <f t="shared" si="46"/>
        <v>-76839572.904385298</v>
      </c>
      <c r="AC59" s="2038">
        <f t="shared" si="47"/>
        <v>-74934403</v>
      </c>
    </row>
    <row r="60" spans="1:30" s="77" customFormat="1" ht="15">
      <c r="A60" s="908"/>
      <c r="B60" s="1748" t="s">
        <v>714</v>
      </c>
      <c r="C60" s="1541"/>
      <c r="D60" s="1296">
        <f>-'База расходы зп'!G70</f>
        <v>-1969613.8</v>
      </c>
      <c r="E60" s="1710">
        <f>-2208056</f>
        <v>-2208056</v>
      </c>
      <c r="F60" s="1210">
        <f>H60</f>
        <v>-2046858.3618037135</v>
      </c>
      <c r="G60" s="535">
        <f>-2059055</f>
        <v>-2059055</v>
      </c>
      <c r="H60" s="1296">
        <f>-'База расходы зп'!I70</f>
        <v>-2046858.3618037135</v>
      </c>
      <c r="I60" s="535">
        <f>-2188862</f>
        <v>-2188862</v>
      </c>
      <c r="J60" s="1296">
        <f t="shared" ref="J60:J65" si="52">H60</f>
        <v>-2046858.3618037135</v>
      </c>
      <c r="K60" s="1710">
        <f>-2266458</f>
        <v>-2266458</v>
      </c>
      <c r="L60" s="1296">
        <f t="shared" ref="L60:M67" si="53">J60</f>
        <v>-2046858.3618037135</v>
      </c>
      <c r="M60" s="1710">
        <f>-2199611</f>
        <v>-2199611</v>
      </c>
      <c r="N60" s="1296">
        <f t="shared" ref="N60:O67" si="54">L60</f>
        <v>-2046858.3618037135</v>
      </c>
      <c r="O60" s="1710">
        <f>-2041902</f>
        <v>-2041902</v>
      </c>
      <c r="P60" s="1296">
        <f t="shared" ref="P60:Q67" si="55">N60</f>
        <v>-2046858.3618037135</v>
      </c>
      <c r="Q60" s="1262">
        <f>-2242254</f>
        <v>-2242254</v>
      </c>
      <c r="R60" s="1710">
        <f>P60</f>
        <v>-2046858.3618037135</v>
      </c>
      <c r="S60" s="1710">
        <f>-2246747</f>
        <v>-2246747</v>
      </c>
      <c r="T60" s="1682">
        <f>-'База расходы зп'!O70</f>
        <v>-2578268.0653974991</v>
      </c>
      <c r="U60" s="1710">
        <f>-2053083</f>
        <v>-2053083</v>
      </c>
      <c r="V60" s="1296">
        <f>-'База расходы зп'!P70</f>
        <v>-2679382.9067558092</v>
      </c>
      <c r="W60" s="1262">
        <f>-2331855</f>
        <v>-2331855</v>
      </c>
      <c r="X60" s="1710">
        <f>-'База расходы зп'!Q70</f>
        <v>-2784463.2826836752</v>
      </c>
      <c r="Y60" s="1710">
        <f>-2534686</f>
        <v>-2534686</v>
      </c>
      <c r="Z60" s="1605">
        <f>-'База расходы зп'!R70</f>
        <v>-2893664.7140147462</v>
      </c>
      <c r="AA60" s="1296">
        <f>-2726237</f>
        <v>-2726237</v>
      </c>
      <c r="AB60" s="2038">
        <f t="shared" si="46"/>
        <v>-27233401.301477723</v>
      </c>
      <c r="AC60" s="2038">
        <f t="shared" si="47"/>
        <v>-27098806</v>
      </c>
      <c r="AD60" s="2082"/>
    </row>
    <row r="61" spans="1:30" ht="15">
      <c r="A61" s="96"/>
      <c r="B61" s="1749" t="s">
        <v>716</v>
      </c>
      <c r="C61" s="1539"/>
      <c r="D61" s="1290">
        <f>-'База расходы зп'!G71</f>
        <v>-316393</v>
      </c>
      <c r="E61" s="1011">
        <f>-352939</f>
        <v>-352939</v>
      </c>
      <c r="F61" s="861">
        <f>H61</f>
        <v>-326368.07427055703</v>
      </c>
      <c r="G61" s="33">
        <f>-351399</f>
        <v>-351399</v>
      </c>
      <c r="H61" s="1290">
        <f>-'База расходы зп'!I71</f>
        <v>-326368.07427055703</v>
      </c>
      <c r="I61" s="33">
        <f>-353481</f>
        <v>-353481</v>
      </c>
      <c r="J61" s="1290">
        <f t="shared" si="52"/>
        <v>-326368.07427055703</v>
      </c>
      <c r="K61" s="1011">
        <f>-350864</f>
        <v>-350864</v>
      </c>
      <c r="L61" s="1290">
        <f t="shared" si="53"/>
        <v>-326368.07427055703</v>
      </c>
      <c r="M61" s="1011">
        <f>-520752</f>
        <v>-520752</v>
      </c>
      <c r="N61" s="1290">
        <f t="shared" si="54"/>
        <v>-326368.07427055703</v>
      </c>
      <c r="O61" s="1011">
        <f>-326873</f>
        <v>-326873</v>
      </c>
      <c r="P61" s="1290">
        <f t="shared" si="55"/>
        <v>-326368.07427055703</v>
      </c>
      <c r="Q61" s="1254">
        <f>-428111</f>
        <v>-428111</v>
      </c>
      <c r="R61" s="1011">
        <f t="shared" ref="R61:S67" si="56">P61</f>
        <v>-326368.07427055703</v>
      </c>
      <c r="S61" s="1011">
        <f>-520107</f>
        <v>-520107</v>
      </c>
      <c r="T61" s="1673">
        <f>-'База расходы зп'!O71</f>
        <v>-393180.96472168254</v>
      </c>
      <c r="U61" s="1011">
        <f>-532723</f>
        <v>-532723</v>
      </c>
      <c r="V61" s="1290">
        <f>-'База расходы зп'!P71</f>
        <v>-405576.97008484812</v>
      </c>
      <c r="W61" s="1254">
        <f>-491636</f>
        <v>-491636</v>
      </c>
      <c r="X61" s="1011">
        <f>-'База расходы зп'!Q71</f>
        <v>-418363.79027057864</v>
      </c>
      <c r="Y61" s="1011">
        <f>-453009</f>
        <v>-453009</v>
      </c>
      <c r="Z61" s="1599">
        <f>-'База расходы зп'!R71</f>
        <v>-431553.74668573565</v>
      </c>
      <c r="AA61" s="1290">
        <f>-503429</f>
        <v>-503429</v>
      </c>
      <c r="AB61" s="2038">
        <f t="shared" si="46"/>
        <v>-4249644.9916567439</v>
      </c>
      <c r="AC61" s="2038">
        <f t="shared" si="47"/>
        <v>-5185323</v>
      </c>
    </row>
    <row r="62" spans="1:30" ht="15">
      <c r="A62" s="96"/>
      <c r="B62" s="1749" t="s">
        <v>717</v>
      </c>
      <c r="C62" s="1539"/>
      <c r="D62" s="1290">
        <f>-'База расходы зп'!G72</f>
        <v>-1254567.7264367817</v>
      </c>
      <c r="E62" s="1011">
        <f>-1093528</f>
        <v>-1093528</v>
      </c>
      <c r="F62" s="861">
        <f t="shared" ref="F62:F67" si="57">D62</f>
        <v>-1254567.7264367817</v>
      </c>
      <c r="G62" s="33">
        <f>-1303374</f>
        <v>-1303374</v>
      </c>
      <c r="H62" s="1290">
        <f>-'База расходы зп'!I72</f>
        <v>-1287689.3955791336</v>
      </c>
      <c r="I62" s="33">
        <f>-1344763</f>
        <v>-1344763</v>
      </c>
      <c r="J62" s="1290">
        <f t="shared" si="52"/>
        <v>-1287689.3955791336</v>
      </c>
      <c r="K62" s="1011">
        <f>-1320369</f>
        <v>-1320369</v>
      </c>
      <c r="L62" s="1290">
        <f t="shared" si="53"/>
        <v>-1287689.3955791336</v>
      </c>
      <c r="M62" s="1011">
        <f>-1329097</f>
        <v>-1329097</v>
      </c>
      <c r="N62" s="1290">
        <f t="shared" si="54"/>
        <v>-1287689.3955791336</v>
      </c>
      <c r="O62" s="1011">
        <f>-1182306</f>
        <v>-1182306</v>
      </c>
      <c r="P62" s="1290">
        <f t="shared" si="55"/>
        <v>-1287689.3955791336</v>
      </c>
      <c r="Q62" s="1254">
        <f>-1190113</f>
        <v>-1190113</v>
      </c>
      <c r="R62" s="1011">
        <f t="shared" si="56"/>
        <v>-1287689.3955791336</v>
      </c>
      <c r="S62" s="1011">
        <f>-1285395</f>
        <v>-1285395</v>
      </c>
      <c r="T62" s="1673">
        <f>-'База расходы зп'!O72</f>
        <v>-1525079.9243319519</v>
      </c>
      <c r="U62" s="1011">
        <f>-1059343</f>
        <v>-1059343</v>
      </c>
      <c r="V62" s="1290">
        <f>-'База расходы зп'!P72</f>
        <v>-1568698.6339788483</v>
      </c>
      <c r="W62" s="1254">
        <f>-1179147</f>
        <v>-1179147</v>
      </c>
      <c r="X62" s="1011">
        <f>-'База расходы зп'!Q72</f>
        <v>-1613564.87944397</v>
      </c>
      <c r="Y62" s="1011">
        <f>-1136487</f>
        <v>-1136487</v>
      </c>
      <c r="Z62" s="1599">
        <f>-'База расходы зп'!R72</f>
        <v>-1659714.3414164146</v>
      </c>
      <c r="AA62" s="1290">
        <f>-1183351</f>
        <v>-1183351</v>
      </c>
      <c r="AB62" s="2038">
        <f t="shared" si="46"/>
        <v>-16602329.605519548</v>
      </c>
      <c r="AC62" s="2038">
        <f t="shared" si="47"/>
        <v>-14607273</v>
      </c>
    </row>
    <row r="63" spans="1:30" ht="15">
      <c r="A63" s="96"/>
      <c r="B63" s="1749" t="s">
        <v>718</v>
      </c>
      <c r="C63" s="1539"/>
      <c r="D63" s="1290">
        <f>-'База расходы зп'!G73</f>
        <v>-335735.0459770115</v>
      </c>
      <c r="E63" s="1011">
        <f>-286175</f>
        <v>-286175</v>
      </c>
      <c r="F63" s="861">
        <f t="shared" si="57"/>
        <v>-335735.0459770115</v>
      </c>
      <c r="G63" s="33">
        <f>-317785</f>
        <v>-317785</v>
      </c>
      <c r="H63" s="1290">
        <f>-'База расходы зп'!I73</f>
        <v>-338734.13697318005</v>
      </c>
      <c r="I63" s="33">
        <f>-340496</f>
        <v>-340496</v>
      </c>
      <c r="J63" s="1290">
        <f t="shared" si="52"/>
        <v>-338734.13697318005</v>
      </c>
      <c r="K63" s="1011">
        <f>-349470</f>
        <v>-349470</v>
      </c>
      <c r="L63" s="1290">
        <f t="shared" si="53"/>
        <v>-338734.13697318005</v>
      </c>
      <c r="M63" s="1011">
        <f>-355072</f>
        <v>-355072</v>
      </c>
      <c r="N63" s="1290">
        <f t="shared" si="54"/>
        <v>-338734.13697318005</v>
      </c>
      <c r="O63" s="1011">
        <f>-361034</f>
        <v>-361034</v>
      </c>
      <c r="P63" s="1290">
        <f t="shared" si="55"/>
        <v>-338734.13697318005</v>
      </c>
      <c r="Q63" s="1254">
        <f>-417399</f>
        <v>-417399</v>
      </c>
      <c r="R63" s="1011">
        <f t="shared" si="56"/>
        <v>-338734.13697318005</v>
      </c>
      <c r="S63" s="1011">
        <f>-320276</f>
        <v>-320276</v>
      </c>
      <c r="T63" s="1673">
        <f>-'База расходы зп'!O73</f>
        <v>-355842.15894570318</v>
      </c>
      <c r="U63" s="1011">
        <f>-421794</f>
        <v>-421794</v>
      </c>
      <c r="V63" s="1290">
        <f>-'База расходы зп'!P73</f>
        <v>-358776.34912675165</v>
      </c>
      <c r="W63" s="1254">
        <f>-319952</f>
        <v>-319952</v>
      </c>
      <c r="X63" s="1011">
        <f>-'База расходы зп'!Q73</f>
        <v>-361734.73394523171</v>
      </c>
      <c r="Y63" s="1011">
        <f>-431221</f>
        <v>-431221</v>
      </c>
      <c r="Z63" s="1599">
        <f>-'База расходы зп'!R73</f>
        <v>-364717.51290439448</v>
      </c>
      <c r="AA63" s="1290">
        <f>-393249</f>
        <v>-393249</v>
      </c>
      <c r="AB63" s="2038">
        <f t="shared" si="46"/>
        <v>-4144945.6687151846</v>
      </c>
      <c r="AC63" s="2038">
        <f t="shared" si="47"/>
        <v>-4313923</v>
      </c>
    </row>
    <row r="64" spans="1:30" ht="15">
      <c r="A64" s="96"/>
      <c r="B64" s="1749" t="s">
        <v>719</v>
      </c>
      <c r="C64" s="1539"/>
      <c r="D64" s="1290">
        <f>-'База расходы зп'!G74</f>
        <v>-753206.03448275861</v>
      </c>
      <c r="E64" s="1011">
        <f>-685295</f>
        <v>-685295</v>
      </c>
      <c r="F64" s="861">
        <f t="shared" si="57"/>
        <v>-753206.03448275861</v>
      </c>
      <c r="G64" s="33">
        <f>-635132</f>
        <v>-635132</v>
      </c>
      <c r="H64" s="1290">
        <f>-'База расходы зп'!I74</f>
        <v>-754361.71529619803</v>
      </c>
      <c r="I64" s="33">
        <f>-670268</f>
        <v>-670268</v>
      </c>
      <c r="J64" s="1290">
        <f t="shared" si="52"/>
        <v>-754361.71529619803</v>
      </c>
      <c r="K64" s="1011">
        <f>-620073</f>
        <v>-620073</v>
      </c>
      <c r="L64" s="1290">
        <f t="shared" si="53"/>
        <v>-754361.71529619803</v>
      </c>
      <c r="M64" s="1011">
        <f>-897139</f>
        <v>-897139</v>
      </c>
      <c r="N64" s="1290">
        <f t="shared" si="54"/>
        <v>-754361.71529619803</v>
      </c>
      <c r="O64" s="1011">
        <f>-586374</f>
        <v>-586374</v>
      </c>
      <c r="P64" s="1290">
        <f t="shared" si="55"/>
        <v>-754361.71529619803</v>
      </c>
      <c r="Q64" s="1254">
        <f>-463968</f>
        <v>-463968</v>
      </c>
      <c r="R64" s="1011">
        <f t="shared" si="56"/>
        <v>-754361.71529619803</v>
      </c>
      <c r="S64" s="1011">
        <f>-626922</f>
        <v>-626922</v>
      </c>
      <c r="T64" s="1673">
        <f>-'База расходы зп'!O74</f>
        <v>-761333.13311686669</v>
      </c>
      <c r="U64" s="1011">
        <f>-615066</f>
        <v>-615066</v>
      </c>
      <c r="V64" s="1290">
        <f>-'База расходы зп'!P74</f>
        <v>-762501.28373475582</v>
      </c>
      <c r="W64" s="1254">
        <f>-839144</f>
        <v>-839144</v>
      </c>
      <c r="X64" s="1011">
        <f>-'База расходы зп'!Q74</f>
        <v>-763671.22670320317</v>
      </c>
      <c r="Y64" s="1011">
        <f>-624617</f>
        <v>-624617</v>
      </c>
      <c r="Z64" s="1599">
        <f>-'База расходы зп'!R74</f>
        <v>-764842.96477229963</v>
      </c>
      <c r="AA64" s="1290">
        <f>-631982</f>
        <v>-631982</v>
      </c>
      <c r="AB64" s="2038">
        <f t="shared" si="46"/>
        <v>-9084930.9690698292</v>
      </c>
      <c r="AC64" s="2038">
        <f t="shared" si="47"/>
        <v>-7895980</v>
      </c>
    </row>
    <row r="65" spans="1:30" ht="15">
      <c r="A65" s="96"/>
      <c r="B65" s="1749" t="s">
        <v>720</v>
      </c>
      <c r="C65" s="1539"/>
      <c r="D65" s="1290">
        <f>-'База расходы зп'!G75</f>
        <v>-260337</v>
      </c>
      <c r="E65" s="1011">
        <f>-334759</f>
        <v>-334759</v>
      </c>
      <c r="F65" s="861">
        <f t="shared" si="57"/>
        <v>-260337</v>
      </c>
      <c r="G65" s="33">
        <f>-359560</f>
        <v>-359560</v>
      </c>
      <c r="H65" s="1290">
        <f>-'База расходы зп'!I75</f>
        <v>-263186.40848806367</v>
      </c>
      <c r="I65" s="33">
        <f>-370840</f>
        <v>-370840</v>
      </c>
      <c r="J65" s="1290">
        <f t="shared" si="52"/>
        <v>-263186.40848806367</v>
      </c>
      <c r="K65" s="1011">
        <f>-431263</f>
        <v>-431263</v>
      </c>
      <c r="L65" s="1290">
        <f t="shared" si="53"/>
        <v>-263186.40848806367</v>
      </c>
      <c r="M65" s="1011">
        <f>-415936</f>
        <v>-415936</v>
      </c>
      <c r="N65" s="1290">
        <f t="shared" si="54"/>
        <v>-263186.40848806367</v>
      </c>
      <c r="O65" s="1011">
        <f>-460127</f>
        <v>-460127</v>
      </c>
      <c r="P65" s="1290">
        <f t="shared" si="55"/>
        <v>-263186.40848806367</v>
      </c>
      <c r="Q65" s="1254">
        <f>-367557</f>
        <v>-367557</v>
      </c>
      <c r="R65" s="1011">
        <f t="shared" si="56"/>
        <v>-263186.40848806367</v>
      </c>
      <c r="S65" s="1011">
        <f>-476281</f>
        <v>-476281</v>
      </c>
      <c r="T65" s="1673">
        <f>-'База расходы зп'!O75</f>
        <v>-280949.86497784976</v>
      </c>
      <c r="U65" s="1011">
        <f>-359822</f>
        <v>-359822</v>
      </c>
      <c r="V65" s="1290">
        <f>-'База расходы зп'!P75</f>
        <v>-284024.88285847456</v>
      </c>
      <c r="W65" s="1254">
        <f>-361218</f>
        <v>-361218</v>
      </c>
      <c r="X65" s="1011">
        <f>-'База расходы зп'!Q75</f>
        <v>-287133.55704630888</v>
      </c>
      <c r="Y65" s="1011">
        <f>-382611</f>
        <v>-382611</v>
      </c>
      <c r="Z65" s="1599">
        <f>-'База расходы зп'!R75</f>
        <v>-290276.25591222371</v>
      </c>
      <c r="AA65" s="1290">
        <f>-424858</f>
        <v>-424858</v>
      </c>
      <c r="AB65" s="2038">
        <f t="shared" si="46"/>
        <v>-3242177.011723239</v>
      </c>
      <c r="AC65" s="2038">
        <f t="shared" si="47"/>
        <v>-4744832</v>
      </c>
    </row>
    <row r="66" spans="1:30" ht="15">
      <c r="A66" s="96"/>
      <c r="B66" s="1749" t="s">
        <v>776</v>
      </c>
      <c r="C66" s="1539"/>
      <c r="D66" s="1290">
        <f>-'База расходы зп'!G77</f>
        <v>-266481.59999999998</v>
      </c>
      <c r="E66" s="1011">
        <f>-266502</f>
        <v>-266502</v>
      </c>
      <c r="F66" s="861">
        <f t="shared" si="57"/>
        <v>-266481.59999999998</v>
      </c>
      <c r="G66" s="1797">
        <f>-988729</f>
        <v>-988729</v>
      </c>
      <c r="H66" s="1290">
        <f>-'База расходы зп'!I77</f>
        <v>-268863.11264367815</v>
      </c>
      <c r="I66" s="1797">
        <f>-947143</f>
        <v>-947143</v>
      </c>
      <c r="J66" s="1290"/>
      <c r="K66" s="1011">
        <v>0</v>
      </c>
      <c r="L66" s="1290">
        <f t="shared" si="53"/>
        <v>0</v>
      </c>
      <c r="M66" s="1011">
        <f t="shared" si="53"/>
        <v>0</v>
      </c>
      <c r="N66" s="1290">
        <f t="shared" si="54"/>
        <v>0</v>
      </c>
      <c r="O66" s="1011">
        <f t="shared" si="54"/>
        <v>0</v>
      </c>
      <c r="P66" s="1290">
        <f t="shared" si="55"/>
        <v>0</v>
      </c>
      <c r="Q66" s="1254">
        <f t="shared" si="55"/>
        <v>0</v>
      </c>
      <c r="R66" s="1011">
        <f t="shared" si="56"/>
        <v>0</v>
      </c>
      <c r="S66" s="1011">
        <f t="shared" si="56"/>
        <v>0</v>
      </c>
      <c r="T66" s="1673">
        <f>-'База расходы зп'!O77</f>
        <v>-283605.85440767615</v>
      </c>
      <c r="U66" s="1011"/>
      <c r="V66" s="1290">
        <f>-'База расходы зп'!P77</f>
        <v>-286140.4043656959</v>
      </c>
      <c r="W66" s="1254"/>
      <c r="X66" s="1011">
        <f>-'База расходы зп'!Q77</f>
        <v>-288697.60527886997</v>
      </c>
      <c r="Y66" s="1011"/>
      <c r="Z66" s="1599">
        <f>-'База расходы зп'!R77</f>
        <v>-291277.6595759443</v>
      </c>
      <c r="AA66" s="1290"/>
      <c r="AB66" s="2038">
        <f t="shared" si="46"/>
        <v>-1951547.8362718648</v>
      </c>
      <c r="AC66" s="2038">
        <f t="shared" si="47"/>
        <v>-2202374</v>
      </c>
    </row>
    <row r="67" spans="1:30" ht="15">
      <c r="A67" s="96"/>
      <c r="B67" s="1749" t="s">
        <v>1088</v>
      </c>
      <c r="C67" s="1539"/>
      <c r="D67" s="1290">
        <f>-'База расходы зп'!G78</f>
        <v>-744275.98160919547</v>
      </c>
      <c r="E67" s="1011">
        <f>-641627</f>
        <v>-641627</v>
      </c>
      <c r="F67" s="861">
        <f t="shared" si="57"/>
        <v>-744275.98160919547</v>
      </c>
      <c r="G67" s="1797"/>
      <c r="H67" s="1290">
        <f>-'База расходы зп'!I78</f>
        <v>-745642.02015915129</v>
      </c>
      <c r="I67" s="1797"/>
      <c r="J67" s="1290">
        <f>-1014505</f>
        <v>-1014505</v>
      </c>
      <c r="K67" s="1011">
        <f>-881817</f>
        <v>-881817</v>
      </c>
      <c r="L67" s="1290">
        <f t="shared" si="53"/>
        <v>-1014505</v>
      </c>
      <c r="M67" s="1011">
        <v>-921879</v>
      </c>
      <c r="N67" s="1290">
        <f t="shared" si="54"/>
        <v>-1014505</v>
      </c>
      <c r="O67" s="1011">
        <f>-876314</f>
        <v>-876314</v>
      </c>
      <c r="P67" s="1290">
        <f t="shared" si="55"/>
        <v>-1014505</v>
      </c>
      <c r="Q67" s="1254">
        <f>-1003970</f>
        <v>-1003970</v>
      </c>
      <c r="R67" s="1011">
        <f t="shared" si="56"/>
        <v>-1014505</v>
      </c>
      <c r="S67" s="1011">
        <f>-1233214</f>
        <v>-1233214</v>
      </c>
      <c r="T67" s="1673">
        <f>-'База расходы зп'!O78</f>
        <v>-753891.06437018595</v>
      </c>
      <c r="U67" s="1011">
        <f>-846566</f>
        <v>-846566</v>
      </c>
      <c r="V67" s="1290">
        <f>-'База расходы зп'!P78</f>
        <v>-755274.75037086848</v>
      </c>
      <c r="W67" s="1254">
        <f>-780389</f>
        <v>-780389</v>
      </c>
      <c r="X67" s="1011">
        <f>-'База расходы зп'!Q78</f>
        <v>-756660.97597845038</v>
      </c>
      <c r="Y67" s="1011">
        <f>-773019</f>
        <v>-773019</v>
      </c>
      <c r="Z67" s="1599">
        <f>-'База расходы зп'!R78</f>
        <v>-758049.7458541072</v>
      </c>
      <c r="AA67" s="1290">
        <f>-927097</f>
        <v>-927097</v>
      </c>
      <c r="AB67" s="2038">
        <f t="shared" si="46"/>
        <v>-10330595.519951155</v>
      </c>
      <c r="AC67" s="2038">
        <f t="shared" si="47"/>
        <v>-8885892</v>
      </c>
    </row>
    <row r="68" spans="1:30" ht="15">
      <c r="A68" s="96"/>
      <c r="B68" s="1749"/>
      <c r="C68" s="1539"/>
      <c r="D68" s="1290"/>
      <c r="E68" s="1011"/>
      <c r="H68" s="1290"/>
      <c r="J68" s="1290"/>
      <c r="K68" s="1011"/>
      <c r="L68" s="1290"/>
      <c r="M68" s="1011"/>
      <c r="N68" s="1290"/>
      <c r="O68" s="1011"/>
      <c r="P68" s="1290"/>
      <c r="Q68" s="1254"/>
      <c r="R68" s="1011"/>
      <c r="S68" s="1011"/>
      <c r="T68" s="1673"/>
      <c r="U68" s="1011"/>
      <c r="V68" s="1290"/>
      <c r="W68" s="1254"/>
      <c r="X68" s="1011"/>
      <c r="Y68" s="1011"/>
      <c r="Z68" s="1599"/>
      <c r="AA68" s="1290"/>
      <c r="AB68" s="2038">
        <f t="shared" si="46"/>
        <v>0</v>
      </c>
      <c r="AC68" s="2038">
        <f t="shared" si="47"/>
        <v>0</v>
      </c>
    </row>
    <row r="69" spans="1:30" ht="15">
      <c r="A69" s="96"/>
      <c r="B69" s="1747" t="s">
        <v>177</v>
      </c>
      <c r="C69" s="1545">
        <v>350000</v>
      </c>
      <c r="D69" s="1289">
        <f t="shared" ref="D69:AA69" si="58">-$C69</f>
        <v>-350000</v>
      </c>
      <c r="E69" s="1010">
        <f>-'База расходы'!M65</f>
        <v>-275506</v>
      </c>
      <c r="F69" s="861">
        <f>D69</f>
        <v>-350000</v>
      </c>
      <c r="G69" s="33">
        <f>-'База расходы'!O65</f>
        <v>-456478.08</v>
      </c>
      <c r="H69" s="1289">
        <f t="shared" si="58"/>
        <v>-350000</v>
      </c>
      <c r="I69" s="33">
        <f>-'База расходы'!Q65</f>
        <v>-442465.03</v>
      </c>
      <c r="J69" s="1289">
        <f t="shared" si="58"/>
        <v>-350000</v>
      </c>
      <c r="K69" s="1010">
        <f>-'База расходы'!S65</f>
        <v>-438348.99</v>
      </c>
      <c r="L69" s="1289">
        <f t="shared" si="58"/>
        <v>-350000</v>
      </c>
      <c r="M69" s="1010">
        <f>-'База расходы'!U65</f>
        <v>-531254.80000000005</v>
      </c>
      <c r="N69" s="1289">
        <f t="shared" si="58"/>
        <v>-350000</v>
      </c>
      <c r="O69" s="1010">
        <f>-'База расходы'!W65</f>
        <v>-331854.89999999997</v>
      </c>
      <c r="P69" s="1289">
        <f t="shared" si="58"/>
        <v>-350000</v>
      </c>
      <c r="Q69" s="1253">
        <f>-'База расходы'!Y65</f>
        <v>-274269.75</v>
      </c>
      <c r="R69" s="1010">
        <f t="shared" si="58"/>
        <v>-350000</v>
      </c>
      <c r="S69" s="1010">
        <f>-'База расходы'!AA65</f>
        <v>-291764.95</v>
      </c>
      <c r="T69" s="1672">
        <f t="shared" si="58"/>
        <v>-350000</v>
      </c>
      <c r="U69" s="1010">
        <f>-'База расходы'!AC65</f>
        <v>-335755.31</v>
      </c>
      <c r="V69" s="1289">
        <f t="shared" si="58"/>
        <v>-350000</v>
      </c>
      <c r="W69" s="1253">
        <f>-'База расходы'!AE65</f>
        <v>-372266.93000000005</v>
      </c>
      <c r="X69" s="1010">
        <f t="shared" si="58"/>
        <v>-350000</v>
      </c>
      <c r="Y69" s="1010">
        <f>-'База расходы'!AG65</f>
        <v>-419277.35000000003</v>
      </c>
      <c r="Z69" s="1598">
        <f t="shared" si="58"/>
        <v>-350000</v>
      </c>
      <c r="AA69" s="1289">
        <f>-'База расходы'!AI65</f>
        <v>-290575.54000000004</v>
      </c>
      <c r="AB69" s="2038">
        <f t="shared" si="46"/>
        <v>-4200000</v>
      </c>
      <c r="AC69" s="2038">
        <f t="shared" si="47"/>
        <v>-4459817.6300000008</v>
      </c>
    </row>
    <row r="70" spans="1:30" s="1729" customFormat="1" ht="17.399999999999999">
      <c r="A70" s="1372"/>
      <c r="B70" s="38" t="s">
        <v>5</v>
      </c>
      <c r="C70" s="1546"/>
      <c r="D70" s="1281">
        <f t="shared" ref="D70:X70" si="59">D9+D58</f>
        <v>6172303.5464256834</v>
      </c>
      <c r="E70" s="796">
        <f>E9+E58</f>
        <v>3489564.5414285716</v>
      </c>
      <c r="F70" s="1281">
        <f t="shared" si="59"/>
        <v>6292570.6008108724</v>
      </c>
      <c r="G70" s="796">
        <f>G9+G58</f>
        <v>5127622.5852380935</v>
      </c>
      <c r="H70" s="1281">
        <f t="shared" si="59"/>
        <v>10341549.676721534</v>
      </c>
      <c r="I70" s="796">
        <f t="shared" si="59"/>
        <v>4231113.1404761896</v>
      </c>
      <c r="J70" s="1281">
        <f t="shared" si="59"/>
        <v>9607914.3057279717</v>
      </c>
      <c r="K70" s="796">
        <f>K9+K58</f>
        <v>4883699.1752380934</v>
      </c>
      <c r="L70" s="1281">
        <f t="shared" si="59"/>
        <v>9203689.8803703636</v>
      </c>
      <c r="M70" s="796">
        <f>M9+M58</f>
        <v>4969140.3904761896</v>
      </c>
      <c r="N70" s="1281">
        <f t="shared" si="59"/>
        <v>8493368.5112995803</v>
      </c>
      <c r="O70" s="796">
        <f>O9+O58</f>
        <v>4290581.8933333308</v>
      </c>
      <c r="P70" s="1281">
        <f t="shared" si="59"/>
        <v>9448466.2277378645</v>
      </c>
      <c r="Q70" s="1263">
        <f>Q9+Q58</f>
        <v>4687462.8942857143</v>
      </c>
      <c r="R70" s="796">
        <f t="shared" si="59"/>
        <v>9971667.2931639347</v>
      </c>
      <c r="S70" s="796">
        <f>S9+S58</f>
        <v>3319895.4223809522</v>
      </c>
      <c r="T70" s="1683">
        <f t="shared" si="59"/>
        <v>10519302.457024876</v>
      </c>
      <c r="U70" s="796">
        <f>U9+U58</f>
        <v>5211392.8214285709</v>
      </c>
      <c r="V70" s="1281">
        <f t="shared" si="59"/>
        <v>10912389.269929789</v>
      </c>
      <c r="W70" s="1263">
        <f>W9+W58</f>
        <v>5239672.4157142863</v>
      </c>
      <c r="X70" s="796">
        <f t="shared" si="59"/>
        <v>11386427.312122755</v>
      </c>
      <c r="Y70" s="796">
        <f t="shared" ref="Y70" si="60">Y9+Y58</f>
        <v>4842787.6971428581</v>
      </c>
      <c r="Z70" s="1606">
        <f>Z9+Z58</f>
        <v>11563118.536094861</v>
      </c>
      <c r="AA70" s="1281">
        <f>AA9+AA58</f>
        <v>9330135.0414285697</v>
      </c>
      <c r="AB70" s="2039">
        <f t="shared" si="46"/>
        <v>113912767.61743011</v>
      </c>
      <c r="AC70" s="2039">
        <f t="shared" si="47"/>
        <v>59623068.018571422</v>
      </c>
      <c r="AD70" s="2081"/>
    </row>
    <row r="71" spans="1:30" s="1751" customFormat="1" ht="13.2">
      <c r="A71" s="1373"/>
      <c r="B71" s="1750" t="s">
        <v>6</v>
      </c>
      <c r="C71" s="1547"/>
      <c r="D71" s="1297">
        <f t="shared" ref="D71:Z71" si="61">D70/D9</f>
        <v>0.49684829808244274</v>
      </c>
      <c r="E71" s="1711">
        <f>E70/E9</f>
        <v>0.36221528896242727</v>
      </c>
      <c r="F71" s="1297">
        <f t="shared" si="61"/>
        <v>0.49820832189618625</v>
      </c>
      <c r="G71" s="1711">
        <f>G70/G9</f>
        <v>0.44616512702766575</v>
      </c>
      <c r="H71" s="1297">
        <f t="shared" si="61"/>
        <v>0.61839342724553392</v>
      </c>
      <c r="I71" s="1711">
        <f t="shared" si="61"/>
        <v>0.39187981933317245</v>
      </c>
      <c r="J71" s="1297">
        <f t="shared" si="61"/>
        <v>0.60088456568362469</v>
      </c>
      <c r="K71" s="1711">
        <f>K70/K9</f>
        <v>0.42311089405479191</v>
      </c>
      <c r="L71" s="1297">
        <f t="shared" si="61"/>
        <v>0.59053306493098756</v>
      </c>
      <c r="M71" s="1711">
        <f>M70/M9</f>
        <v>0.4155276892364157</v>
      </c>
      <c r="N71" s="1297">
        <f t="shared" si="61"/>
        <v>0.57098000853864805</v>
      </c>
      <c r="O71" s="1711">
        <f>O70/O9</f>
        <v>0.40958207455846418</v>
      </c>
      <c r="P71" s="1297">
        <f t="shared" si="61"/>
        <v>0.59686450831020577</v>
      </c>
      <c r="Q71" s="1264">
        <f>Q70/Q9</f>
        <v>0.42036878303057124</v>
      </c>
      <c r="R71" s="1711">
        <f t="shared" si="61"/>
        <v>0.60976221158421806</v>
      </c>
      <c r="S71" s="1711">
        <f>S70/S9</f>
        <v>0.3198716086661037</v>
      </c>
      <c r="T71" s="1684">
        <f t="shared" si="61"/>
        <v>0.59092379532564476</v>
      </c>
      <c r="U71" s="1711">
        <f>U70/U9</f>
        <v>0.45515183271533227</v>
      </c>
      <c r="V71" s="1297">
        <f t="shared" si="61"/>
        <v>0.59426720332112049</v>
      </c>
      <c r="W71" s="1264">
        <f>W70/W9</f>
        <v>0.44056726689562847</v>
      </c>
      <c r="X71" s="1711">
        <f t="shared" si="61"/>
        <v>0.59894779846658996</v>
      </c>
      <c r="Y71" s="1711">
        <f t="shared" ref="Y71" si="62">Y70/Y9</f>
        <v>0.41756394923118045</v>
      </c>
      <c r="Z71" s="1607">
        <f t="shared" si="61"/>
        <v>0.5970460002207939</v>
      </c>
      <c r="AA71" s="1297">
        <f t="shared" ref="AA71:AC71" si="63">AA70/AA9</f>
        <v>0.5685323364317163</v>
      </c>
      <c r="AB71" s="2040">
        <f>AB70/AB9</f>
        <v>0.58431084906458541</v>
      </c>
      <c r="AC71" s="941">
        <f>AC70/AC9</f>
        <v>0.42961926459889133</v>
      </c>
      <c r="AD71" s="2083"/>
    </row>
    <row r="72" spans="1:30" ht="17.399999999999999">
      <c r="A72" s="96"/>
      <c r="B72" s="3"/>
      <c r="C72" s="1536"/>
      <c r="D72" s="96"/>
      <c r="E72" s="3"/>
      <c r="F72" s="96"/>
      <c r="G72" s="3"/>
      <c r="H72" s="96"/>
      <c r="I72" s="3"/>
      <c r="J72" s="96"/>
      <c r="K72" s="3"/>
      <c r="L72" s="96"/>
      <c r="M72" s="3"/>
      <c r="N72" s="96"/>
      <c r="O72" s="3"/>
      <c r="P72" s="96"/>
      <c r="Q72" s="1265"/>
      <c r="R72" s="3"/>
      <c r="S72" s="3"/>
      <c r="T72" s="1685"/>
      <c r="U72" s="3"/>
      <c r="V72" s="96"/>
      <c r="W72" s="1265"/>
      <c r="X72" s="3"/>
      <c r="Y72" s="3"/>
      <c r="Z72" s="1569"/>
      <c r="AA72" s="96"/>
      <c r="AB72" s="2041"/>
      <c r="AC72" s="2041"/>
    </row>
    <row r="73" spans="1:30" s="1729" customFormat="1" ht="17.399999999999999">
      <c r="A73" s="1372"/>
      <c r="B73" s="38" t="s">
        <v>7</v>
      </c>
      <c r="C73" s="1546"/>
      <c r="D73" s="1281">
        <f t="shared" ref="D73:Z73" si="64">D74+D95</f>
        <v>-4434898.3060155623</v>
      </c>
      <c r="E73" s="796">
        <f t="shared" si="64"/>
        <v>-4167174.7883333331</v>
      </c>
      <c r="F73" s="1281">
        <f t="shared" si="64"/>
        <v>-4693431.2811407261</v>
      </c>
      <c r="G73" s="796">
        <f t="shared" si="64"/>
        <v>-4573361.8666666672</v>
      </c>
      <c r="H73" s="1281">
        <f t="shared" si="64"/>
        <v>-4763938.2980074231</v>
      </c>
      <c r="I73" s="796">
        <f t="shared" si="64"/>
        <v>-4343996.530286666</v>
      </c>
      <c r="J73" s="1281">
        <f t="shared" si="64"/>
        <v>-4744130.1394049209</v>
      </c>
      <c r="K73" s="796">
        <f>K74+K95</f>
        <v>-4618811.2666666666</v>
      </c>
      <c r="L73" s="1281">
        <f t="shared" si="64"/>
        <v>-5028216.0799202649</v>
      </c>
      <c r="M73" s="796">
        <f>M74+M95</f>
        <v>-4235610.7466666671</v>
      </c>
      <c r="N73" s="1281">
        <f t="shared" si="64"/>
        <v>-4714037.4029553533</v>
      </c>
      <c r="O73" s="796">
        <f>O74+O95</f>
        <v>-3996934.166666666</v>
      </c>
      <c r="P73" s="1281">
        <f t="shared" si="64"/>
        <v>-4659825.0412991866</v>
      </c>
      <c r="Q73" s="1263">
        <f>Q74+Q95</f>
        <v>-4287635.706666667</v>
      </c>
      <c r="R73" s="796">
        <f t="shared" si="64"/>
        <v>-4673951.4700656906</v>
      </c>
      <c r="S73" s="796">
        <f>S74+S95</f>
        <v>-3979482.4266666668</v>
      </c>
      <c r="T73" s="1683">
        <f t="shared" si="64"/>
        <v>-4713049.7138121184</v>
      </c>
      <c r="U73" s="796">
        <f>U74+U95</f>
        <v>-4281360.0966666667</v>
      </c>
      <c r="V73" s="1281">
        <f t="shared" si="64"/>
        <v>-4728205.1368377302</v>
      </c>
      <c r="W73" s="1263">
        <f>W74+W95</f>
        <v>-4415461.74</v>
      </c>
      <c r="X73" s="796">
        <f t="shared" si="64"/>
        <v>-5290699.8384689447</v>
      </c>
      <c r="Y73" s="796">
        <f t="shared" ref="Y73" si="65">Y74+Y95</f>
        <v>-4031756.1297619054</v>
      </c>
      <c r="Z73" s="1606">
        <f t="shared" si="64"/>
        <v>-5350325.2875404023</v>
      </c>
      <c r="AA73" s="1281">
        <f t="shared" ref="AA73" si="66">AA74+AA95</f>
        <v>-4083743.8714285712</v>
      </c>
      <c r="AB73" s="2039">
        <f t="shared" si="46"/>
        <v>-57794707.995468318</v>
      </c>
      <c r="AC73" s="2039">
        <f t="shared" si="47"/>
        <v>-51015329.336477138</v>
      </c>
      <c r="AD73" s="2081"/>
    </row>
    <row r="74" spans="1:30" s="31" customFormat="1" ht="15">
      <c r="A74" s="1374"/>
      <c r="B74" s="1752" t="s">
        <v>8</v>
      </c>
      <c r="C74" s="1548"/>
      <c r="D74" s="1298">
        <f t="shared" ref="D74:Z74" si="67">SUM(D75:D94)</f>
        <v>-3101044.1642500707</v>
      </c>
      <c r="E74" s="1712">
        <f t="shared" si="67"/>
        <v>-2996763.1083333334</v>
      </c>
      <c r="F74" s="1298">
        <f t="shared" si="67"/>
        <v>-3261873.9110119082</v>
      </c>
      <c r="G74" s="1712">
        <f>SUM(G75:G94)</f>
        <v>-3030532.0166666671</v>
      </c>
      <c r="H74" s="1298">
        <f t="shared" si="67"/>
        <v>-3238245.3209180855</v>
      </c>
      <c r="I74" s="1712">
        <f t="shared" si="67"/>
        <v>-3226297.4964266662</v>
      </c>
      <c r="J74" s="1298">
        <f t="shared" si="67"/>
        <v>-3235310.7789028999</v>
      </c>
      <c r="K74" s="1712">
        <f>SUM(K75:K94)</f>
        <v>-3458848.9666666663</v>
      </c>
      <c r="L74" s="1298">
        <f t="shared" si="67"/>
        <v>-3528693.8812014693</v>
      </c>
      <c r="M74" s="1712">
        <f>SUM(M75:M94)</f>
        <v>-3034291.6566666667</v>
      </c>
      <c r="N74" s="1298">
        <f t="shared" si="67"/>
        <v>-3230852.5957251862</v>
      </c>
      <c r="O74" s="1712">
        <f>SUM(O75:O94)</f>
        <v>-2673537.9466666663</v>
      </c>
      <c r="P74" s="1298">
        <f t="shared" si="67"/>
        <v>-3154672.9865909391</v>
      </c>
      <c r="Q74" s="1266">
        <f>SUM(Q75:Q94)</f>
        <v>-2797266.8366666669</v>
      </c>
      <c r="R74" s="1712">
        <f t="shared" si="67"/>
        <v>-3156765.7908526435</v>
      </c>
      <c r="S74" s="1712">
        <f>SUM(S75:S94)</f>
        <v>-2881184.1066666669</v>
      </c>
      <c r="T74" s="1686">
        <f t="shared" si="67"/>
        <v>-3162558.1232595216</v>
      </c>
      <c r="U74" s="1712">
        <f>SUM(U75:U94)</f>
        <v>-3264956.7166666668</v>
      </c>
      <c r="V74" s="1298">
        <f t="shared" si="67"/>
        <v>-3164803.3711151681</v>
      </c>
      <c r="W74" s="1266">
        <f>SUM(W75:W94)</f>
        <v>-3332794.67</v>
      </c>
      <c r="X74" s="1712">
        <f t="shared" si="67"/>
        <v>-3712395.1787642366</v>
      </c>
      <c r="Y74" s="1712">
        <f>SUM(Y75:Y94)</f>
        <v>-2979290.1183333336</v>
      </c>
      <c r="Z74" s="1544">
        <f t="shared" si="67"/>
        <v>-3763821.1712192674</v>
      </c>
      <c r="AA74" s="1298">
        <f t="shared" ref="AA74" si="68">SUM(AA75:AA94)</f>
        <v>-3039334.55</v>
      </c>
      <c r="AB74" s="2023">
        <f t="shared" si="46"/>
        <v>-39711037.273811392</v>
      </c>
      <c r="AC74" s="2023">
        <f t="shared" si="47"/>
        <v>-36715098.189759992</v>
      </c>
      <c r="AD74" s="2073"/>
    </row>
    <row r="75" spans="1:30" ht="15">
      <c r="A75" s="96"/>
      <c r="B75" s="1753" t="s">
        <v>8</v>
      </c>
      <c r="C75" s="1545">
        <f>'База расходы'!K51</f>
        <v>643649</v>
      </c>
      <c r="D75" s="1289">
        <f>-'База расходы'!K51</f>
        <v>-643649</v>
      </c>
      <c r="E75" s="1010">
        <f>-'База расходы'!M51</f>
        <v>-566158.86</v>
      </c>
      <c r="F75" s="1289">
        <f>D75</f>
        <v>-643649</v>
      </c>
      <c r="G75" s="1010">
        <f>-'База расходы'!O51</f>
        <v>-622366.05999999994</v>
      </c>
      <c r="H75" s="1289">
        <f>F75</f>
        <v>-643649</v>
      </c>
      <c r="I75" s="1010">
        <f>-'База расходы'!Q51</f>
        <v>-638092.39999999991</v>
      </c>
      <c r="J75" s="1289">
        <f>H75</f>
        <v>-643649</v>
      </c>
      <c r="K75" s="1010">
        <f>-'База расходы'!S51</f>
        <v>-621885.38000000012</v>
      </c>
      <c r="L75" s="1289">
        <f>J75</f>
        <v>-643649</v>
      </c>
      <c r="M75" s="1010">
        <f>-'База расходы'!U51</f>
        <v>-513195.26000000007</v>
      </c>
      <c r="N75" s="1289">
        <f>L75</f>
        <v>-643649</v>
      </c>
      <c r="O75" s="1010">
        <f>-'База расходы'!W51</f>
        <v>-547861.20000000007</v>
      </c>
      <c r="P75" s="1289">
        <f>N75</f>
        <v>-643649</v>
      </c>
      <c r="Q75" s="1253">
        <f>-'База расходы'!Y51</f>
        <v>-567140.7300000001</v>
      </c>
      <c r="R75" s="1010">
        <f>P75</f>
        <v>-643649</v>
      </c>
      <c r="S75" s="1010">
        <f>-'База расходы'!AA51</f>
        <v>-564510.12000000011</v>
      </c>
      <c r="T75" s="1672">
        <f>R75</f>
        <v>-643649</v>
      </c>
      <c r="U75" s="1010">
        <f>-'База расходы'!AC51</f>
        <v>-537482.37000000011</v>
      </c>
      <c r="V75" s="1289">
        <f>T75</f>
        <v>-643649</v>
      </c>
      <c r="W75" s="1253">
        <f>-'База расходы'!AE51</f>
        <v>-573186.34000000008</v>
      </c>
      <c r="X75" s="1010">
        <f>V75</f>
        <v>-643649</v>
      </c>
      <c r="Y75" s="1010">
        <f>-'База расходы'!AG51</f>
        <v>-522320.27</v>
      </c>
      <c r="Z75" s="1598">
        <f>X75</f>
        <v>-643649</v>
      </c>
      <c r="AA75" s="1289">
        <f>-'База расходы'!AI51</f>
        <v>-608810.71000000008</v>
      </c>
      <c r="AB75" s="2038">
        <f t="shared" si="46"/>
        <v>-7723788</v>
      </c>
      <c r="AC75" s="2038">
        <f t="shared" si="47"/>
        <v>-6883009.7000000002</v>
      </c>
    </row>
    <row r="76" spans="1:30" ht="15">
      <c r="A76" s="96"/>
      <c r="B76" s="1753" t="s">
        <v>174</v>
      </c>
      <c r="C76" s="1545">
        <f>'База расходы'!K4+'База расходы'!K93+'База расходы'!K101</f>
        <v>296119.27999999997</v>
      </c>
      <c r="D76" s="1289">
        <f t="shared" ref="D76:N76" si="69">-$C76</f>
        <v>-296119.27999999997</v>
      </c>
      <c r="E76" s="1010">
        <f>-'База расходы'!M4-'База расходы'!M93-'База расходы'!M101</f>
        <v>-227448.84</v>
      </c>
      <c r="F76" s="1289">
        <f t="shared" si="69"/>
        <v>-296119.27999999997</v>
      </c>
      <c r="G76" s="1010">
        <f>-'База расходы'!O4-'База расходы'!O93-'База расходы'!O101</f>
        <v>-311770.25</v>
      </c>
      <c r="H76" s="1289">
        <f t="shared" si="69"/>
        <v>-296119.27999999997</v>
      </c>
      <c r="I76" s="1010">
        <f>-'База расходы'!Q4-'База расходы'!Q93-'База расходы'!Q101</f>
        <v>-328572.34999999998</v>
      </c>
      <c r="J76" s="1289">
        <f t="shared" si="69"/>
        <v>-296119.27999999997</v>
      </c>
      <c r="K76" s="1010">
        <f>-'База расходы'!S4</f>
        <v>-264785.71999999997</v>
      </c>
      <c r="L76" s="1289">
        <f t="shared" si="69"/>
        <v>-296119.27999999997</v>
      </c>
      <c r="M76" s="1010">
        <f>-'База расходы'!U4</f>
        <v>-157722.30000000002</v>
      </c>
      <c r="N76" s="1289">
        <f t="shared" si="69"/>
        <v>-296119.27999999997</v>
      </c>
      <c r="O76" s="1010">
        <f>-'База расходы'!W4-'База расходы'!W93-'База расходы'!W101</f>
        <v>-99110.079999999987</v>
      </c>
      <c r="P76" s="1289">
        <f>-$C76+'База расходы'!$G$5</f>
        <v>-216119.27999999997</v>
      </c>
      <c r="Q76" s="1253">
        <f>-'База расходы'!Y4+'База расходы'!Y93+'База расходы'!Y101</f>
        <v>-33354.269999999997</v>
      </c>
      <c r="R76" s="1010">
        <f>-$C76+'База расходы'!$G$5</f>
        <v>-216119.27999999997</v>
      </c>
      <c r="S76" s="1010">
        <f>-'База расходы'!AA4</f>
        <v>-142293.32999999996</v>
      </c>
      <c r="T76" s="1672">
        <f>-$C76+'База расходы'!$G$5</f>
        <v>-216119.27999999997</v>
      </c>
      <c r="U76" s="1010">
        <f>-'База расходы'!AC4-'База расходы'!AC93-'База расходы'!AC101</f>
        <v>-184388.24000000002</v>
      </c>
      <c r="V76" s="1289">
        <f>-$C76+'База расходы'!$G$5</f>
        <v>-216119.27999999997</v>
      </c>
      <c r="W76" s="1253">
        <f>-'База расходы'!AE4-'База расходы'!AE93-'База расходы'!AE101</f>
        <v>-145979.54</v>
      </c>
      <c r="X76" s="1010">
        <f>-$C76+'База расходы'!$G$5</f>
        <v>-216119.27999999997</v>
      </c>
      <c r="Y76" s="1010">
        <f>-'База расходы'!AG4-'База расходы'!AG93-'База расходы'!AG101</f>
        <v>-408841.81833333336</v>
      </c>
      <c r="Z76" s="1598">
        <f>-$C76+'База расходы'!$G$5</f>
        <v>-216119.27999999997</v>
      </c>
      <c r="AA76" s="1289">
        <f>-'База расходы'!AI4</f>
        <v>-228482.63999999998</v>
      </c>
      <c r="AB76" s="2038">
        <f t="shared" si="46"/>
        <v>-3073431.3599999989</v>
      </c>
      <c r="AC76" s="2038">
        <f t="shared" si="47"/>
        <v>-2532749.3783333334</v>
      </c>
    </row>
    <row r="77" spans="1:30" ht="15">
      <c r="A77" s="96"/>
      <c r="B77" s="1753" t="s">
        <v>178</v>
      </c>
      <c r="C77" s="1545">
        <f>'База расходы'!K82</f>
        <v>22190.066666666666</v>
      </c>
      <c r="D77" s="1289">
        <f t="shared" ref="D77:AA77" si="70">-$C77</f>
        <v>-22190.066666666666</v>
      </c>
      <c r="E77" s="1010">
        <f>-'База расходы'!M82</f>
        <v>-17331.898333333334</v>
      </c>
      <c r="F77" s="1289">
        <f t="shared" si="70"/>
        <v>-22190.066666666666</v>
      </c>
      <c r="G77" s="1010">
        <f>-'База расходы'!O82</f>
        <v>-20816.626666666667</v>
      </c>
      <c r="H77" s="1289">
        <f t="shared" si="70"/>
        <v>-22190.066666666666</v>
      </c>
      <c r="I77" s="1010">
        <f>-'База расходы'!Q82</f>
        <v>-20738.026666666668</v>
      </c>
      <c r="J77" s="1289">
        <f t="shared" si="70"/>
        <v>-22190.066666666666</v>
      </c>
      <c r="K77" s="1010">
        <f>-'База расходы'!S82</f>
        <v>-20623.206666666665</v>
      </c>
      <c r="L77" s="1289">
        <f t="shared" si="70"/>
        <v>-22190.066666666666</v>
      </c>
      <c r="M77" s="1010">
        <f>-'База расходы'!U82</f>
        <v>-97109.606666666674</v>
      </c>
      <c r="N77" s="1289">
        <f t="shared" si="70"/>
        <v>-22190.066666666666</v>
      </c>
      <c r="O77" s="1010">
        <f>-'База расходы'!W82</f>
        <v>-105772.02666666667</v>
      </c>
      <c r="P77" s="1289">
        <f t="shared" si="70"/>
        <v>-22190.066666666666</v>
      </c>
      <c r="Q77" s="1253">
        <f>-'База расходы'!Y82</f>
        <v>-88067.94666666667</v>
      </c>
      <c r="R77" s="1010">
        <f t="shared" si="70"/>
        <v>-22190.066666666666</v>
      </c>
      <c r="S77" s="1010">
        <f>-'База расходы'!AA82</f>
        <v>-92067.94666666667</v>
      </c>
      <c r="T77" s="1672">
        <f t="shared" si="70"/>
        <v>-22190.066666666666</v>
      </c>
      <c r="U77" s="1010">
        <f>-'База расходы'!AC82</f>
        <v>-90208.666666666672</v>
      </c>
      <c r="V77" s="1289">
        <f t="shared" si="70"/>
        <v>-22190.066666666666</v>
      </c>
      <c r="W77" s="1253">
        <f>-'База расходы'!AE82</f>
        <v>-90765</v>
      </c>
      <c r="X77" s="1010">
        <f t="shared" si="70"/>
        <v>-22190.066666666666</v>
      </c>
      <c r="Y77" s="1010">
        <f>-'База расходы'!AG82</f>
        <v>-90765</v>
      </c>
      <c r="Z77" s="1598">
        <f t="shared" si="70"/>
        <v>-22190.066666666666</v>
      </c>
      <c r="AA77" s="1289">
        <f>-'База расходы'!AI82</f>
        <v>-90765</v>
      </c>
      <c r="AB77" s="2038">
        <f t="shared" si="46"/>
        <v>-266280.79999999993</v>
      </c>
      <c r="AC77" s="2038">
        <f t="shared" si="47"/>
        <v>-825030.95166666666</v>
      </c>
    </row>
    <row r="78" spans="1:30" ht="15">
      <c r="A78" s="96"/>
      <c r="B78" s="1753" t="s">
        <v>10</v>
      </c>
      <c r="C78" s="1549">
        <v>4.0000000000000001E-3</v>
      </c>
      <c r="D78" s="1289">
        <f t="shared" ref="D78:Z78" si="71">-D9*$C$78</f>
        <v>-49691.654939725719</v>
      </c>
      <c r="E78" s="1010">
        <f>-25452.78-3016</f>
        <v>-28468.78</v>
      </c>
      <c r="F78" s="1289">
        <f t="shared" si="71"/>
        <v>-50521.601701563559</v>
      </c>
      <c r="G78" s="1010">
        <f>-26183.53</f>
        <v>-26183.53</v>
      </c>
      <c r="H78" s="1289">
        <f t="shared" si="71"/>
        <v>-66893.011607740831</v>
      </c>
      <c r="I78" s="1010">
        <f>-26310.79</f>
        <v>-26310.79</v>
      </c>
      <c r="J78" s="1289">
        <f t="shared" si="71"/>
        <v>-63958.469592555273</v>
      </c>
      <c r="K78" s="1010">
        <f>-28578.59</f>
        <v>-28578.59</v>
      </c>
      <c r="L78" s="1289">
        <f t="shared" si="71"/>
        <v>-62341.57189112484</v>
      </c>
      <c r="M78" s="1010">
        <f>-3848.17-25508</f>
        <v>-29356.17</v>
      </c>
      <c r="N78" s="1289">
        <f t="shared" si="71"/>
        <v>-59500.286414841707</v>
      </c>
      <c r="O78" s="1010">
        <f>-55223.07</f>
        <v>-55223.07</v>
      </c>
      <c r="P78" s="1289">
        <f t="shared" si="71"/>
        <v>-63320.677280594842</v>
      </c>
      <c r="Q78" s="1253">
        <f>-17505.22</f>
        <v>-17505.22</v>
      </c>
      <c r="R78" s="1010">
        <f t="shared" si="71"/>
        <v>-65413.481542299123</v>
      </c>
      <c r="S78" s="1010">
        <f>-26247.27</f>
        <v>-26247.27</v>
      </c>
      <c r="T78" s="1672">
        <f t="shared" si="71"/>
        <v>-71205.813949177158</v>
      </c>
      <c r="U78" s="1010">
        <f>-16989</f>
        <v>-16989</v>
      </c>
      <c r="V78" s="1289">
        <f t="shared" si="71"/>
        <v>-73451.061804823374</v>
      </c>
      <c r="W78" s="1253">
        <f>-30178.85</f>
        <v>-30178.85</v>
      </c>
      <c r="X78" s="1010">
        <f t="shared" si="71"/>
        <v>-76042.86945389217</v>
      </c>
      <c r="Y78" s="1010">
        <f>-12643.64</f>
        <v>-12643.64</v>
      </c>
      <c r="Z78" s="1598">
        <f t="shared" si="71"/>
        <v>-77468.861908922918</v>
      </c>
      <c r="AA78" s="1289">
        <f>-17845.63</f>
        <v>-17845.63</v>
      </c>
      <c r="AB78" s="2038">
        <f t="shared" si="46"/>
        <v>-779809.3620872614</v>
      </c>
      <c r="AC78" s="2038">
        <f t="shared" si="47"/>
        <v>-315530.53999999998</v>
      </c>
    </row>
    <row r="79" spans="1:30" ht="30">
      <c r="A79" s="96"/>
      <c r="B79" s="1753" t="s">
        <v>185</v>
      </c>
      <c r="C79" s="1550">
        <v>120000</v>
      </c>
      <c r="D79" s="1289">
        <v>0</v>
      </c>
      <c r="E79" s="1010">
        <f>-4311</f>
        <v>-4311</v>
      </c>
      <c r="F79" s="1289">
        <v>0</v>
      </c>
      <c r="G79" s="1010">
        <f>-1340</f>
        <v>-1340</v>
      </c>
      <c r="H79" s="1289">
        <f>-$C$79</f>
        <v>-120000</v>
      </c>
      <c r="I79" s="1010">
        <f>-28850</f>
        <v>-28850</v>
      </c>
      <c r="J79" s="1289">
        <f t="shared" ref="J79:AA79" si="72">-$C$79</f>
        <v>-120000</v>
      </c>
      <c r="K79" s="1010">
        <f>-34750</f>
        <v>-34750</v>
      </c>
      <c r="L79" s="1289">
        <f t="shared" si="72"/>
        <v>-120000</v>
      </c>
      <c r="M79" s="1010"/>
      <c r="N79" s="1289">
        <f t="shared" si="72"/>
        <v>-120000</v>
      </c>
      <c r="O79" s="1010">
        <f>-5118-9785</f>
        <v>-14903</v>
      </c>
      <c r="P79" s="1289">
        <f t="shared" si="72"/>
        <v>-120000</v>
      </c>
      <c r="Q79" s="1253">
        <f>-2423</f>
        <v>-2423</v>
      </c>
      <c r="R79" s="1010">
        <f t="shared" si="72"/>
        <v>-120000</v>
      </c>
      <c r="S79" s="1010">
        <v>0</v>
      </c>
      <c r="T79" s="1672">
        <f t="shared" si="72"/>
        <v>-120000</v>
      </c>
      <c r="U79" s="1010">
        <v>0</v>
      </c>
      <c r="V79" s="1672">
        <f t="shared" si="72"/>
        <v>-120000</v>
      </c>
      <c r="W79" s="1253">
        <v>0</v>
      </c>
      <c r="X79" s="1010">
        <f t="shared" si="72"/>
        <v>-120000</v>
      </c>
      <c r="Y79" s="1010"/>
      <c r="Z79" s="1598">
        <f t="shared" si="72"/>
        <v>-120000</v>
      </c>
      <c r="AA79" s="1289">
        <v>0</v>
      </c>
      <c r="AB79" s="2038">
        <f t="shared" si="46"/>
        <v>-1200000</v>
      </c>
      <c r="AC79" s="2038">
        <f t="shared" si="47"/>
        <v>-86577</v>
      </c>
    </row>
    <row r="80" spans="1:30" s="31" customFormat="1" ht="15">
      <c r="A80" s="97"/>
      <c r="B80" s="1754" t="s">
        <v>183</v>
      </c>
      <c r="C80" s="1551"/>
      <c r="D80" s="1009"/>
      <c r="E80" s="797"/>
      <c r="F80" s="1009"/>
      <c r="G80" s="797"/>
      <c r="H80" s="1009"/>
      <c r="I80" s="797"/>
      <c r="J80" s="1009"/>
      <c r="K80" s="797"/>
      <c r="L80" s="1009"/>
      <c r="M80" s="797"/>
      <c r="N80" s="1009"/>
      <c r="O80" s="797"/>
      <c r="P80" s="1009"/>
      <c r="Q80" s="1267"/>
      <c r="R80" s="797"/>
      <c r="S80" s="797"/>
      <c r="T80" s="1687"/>
      <c r="U80" s="797"/>
      <c r="V80" s="1009"/>
      <c r="W80" s="1267"/>
      <c r="X80" s="797"/>
      <c r="Y80" s="797"/>
      <c r="Z80" s="1608"/>
      <c r="AA80" s="1009"/>
      <c r="AB80" s="2042"/>
      <c r="AC80" s="2077"/>
      <c r="AD80" s="2073"/>
    </row>
    <row r="81" spans="1:30" ht="15">
      <c r="A81" s="96"/>
      <c r="B81" s="1753" t="s">
        <v>210</v>
      </c>
      <c r="C81" s="1545">
        <f>'База расходы зп'!V4</f>
        <v>1078167</v>
      </c>
      <c r="D81" s="1289">
        <f t="shared" ref="D81:AA81" si="73">-$C81</f>
        <v>-1078167</v>
      </c>
      <c r="E81" s="1010">
        <f>-1133974</f>
        <v>-1133974</v>
      </c>
      <c r="F81" s="1289">
        <f t="shared" si="73"/>
        <v>-1078167</v>
      </c>
      <c r="G81" s="1010">
        <f>-1070617</f>
        <v>-1070617</v>
      </c>
      <c r="H81" s="1289">
        <f t="shared" si="73"/>
        <v>-1078167</v>
      </c>
      <c r="I81" s="1010">
        <f>-SUM('База расходы зп'!G360:H362)</f>
        <v>-1144425</v>
      </c>
      <c r="J81" s="1289">
        <f t="shared" si="73"/>
        <v>-1078167</v>
      </c>
      <c r="K81" s="1010">
        <f>-1053157</f>
        <v>-1053157</v>
      </c>
      <c r="L81" s="1289">
        <f t="shared" si="73"/>
        <v>-1078167</v>
      </c>
      <c r="M81" s="1010">
        <f>-1091475</f>
        <v>-1091475</v>
      </c>
      <c r="N81" s="1289">
        <f t="shared" si="73"/>
        <v>-1078167</v>
      </c>
      <c r="O81" s="1010">
        <f>-1083780</f>
        <v>-1083780</v>
      </c>
      <c r="P81" s="1289">
        <f t="shared" si="73"/>
        <v>-1078167</v>
      </c>
      <c r="Q81" s="1253">
        <f>-1226260</f>
        <v>-1226260</v>
      </c>
      <c r="R81" s="1010">
        <f t="shared" si="73"/>
        <v>-1078167</v>
      </c>
      <c r="S81" s="1010">
        <f>-925677</f>
        <v>-925677</v>
      </c>
      <c r="T81" s="1672">
        <f t="shared" si="73"/>
        <v>-1078167</v>
      </c>
      <c r="U81" s="1010">
        <f>-1180912</f>
        <v>-1180912</v>
      </c>
      <c r="V81" s="1289">
        <f t="shared" si="73"/>
        <v>-1078167</v>
      </c>
      <c r="W81" s="1253">
        <f>-1489943</f>
        <v>-1489943</v>
      </c>
      <c r="X81" s="1010">
        <f t="shared" si="73"/>
        <v>-1078167</v>
      </c>
      <c r="Y81" s="1010">
        <f>-1107837</f>
        <v>-1107837</v>
      </c>
      <c r="Z81" s="1598">
        <f t="shared" si="73"/>
        <v>-1078167</v>
      </c>
      <c r="AA81" s="1289">
        <f>-1079392</f>
        <v>-1079392</v>
      </c>
      <c r="AB81" s="2038">
        <f t="shared" si="46"/>
        <v>-12938004</v>
      </c>
      <c r="AC81" s="2038">
        <f>E81+G81+I81+K81+M81+O81+Q81+S81+U81+W81+Y81+AA81</f>
        <v>-13587449</v>
      </c>
    </row>
    <row r="82" spans="1:30" ht="15">
      <c r="A82" s="96"/>
      <c r="B82" s="1753" t="s">
        <v>236</v>
      </c>
      <c r="C82" s="1545">
        <v>0</v>
      </c>
      <c r="D82" s="1289">
        <f>-$C$82/12</f>
        <v>0</v>
      </c>
      <c r="E82" s="1010">
        <f>-$C$82/12</f>
        <v>0</v>
      </c>
      <c r="F82" s="1289">
        <f t="shared" ref="F82:AA82" si="74">-$C$82/12</f>
        <v>0</v>
      </c>
      <c r="G82" s="1010">
        <f t="shared" si="74"/>
        <v>0</v>
      </c>
      <c r="H82" s="1289">
        <f t="shared" si="74"/>
        <v>0</v>
      </c>
      <c r="I82" s="1010">
        <f t="shared" si="74"/>
        <v>0</v>
      </c>
      <c r="J82" s="1289">
        <f t="shared" si="74"/>
        <v>0</v>
      </c>
      <c r="K82" s="1010">
        <f t="shared" si="74"/>
        <v>0</v>
      </c>
      <c r="L82" s="1289">
        <f t="shared" si="74"/>
        <v>0</v>
      </c>
      <c r="M82" s="1010">
        <f t="shared" si="74"/>
        <v>0</v>
      </c>
      <c r="N82" s="1289">
        <f t="shared" si="74"/>
        <v>0</v>
      </c>
      <c r="O82" s="1010">
        <f t="shared" si="74"/>
        <v>0</v>
      </c>
      <c r="P82" s="1289">
        <f t="shared" si="74"/>
        <v>0</v>
      </c>
      <c r="Q82" s="1253">
        <f t="shared" si="74"/>
        <v>0</v>
      </c>
      <c r="R82" s="1010">
        <f t="shared" si="74"/>
        <v>0</v>
      </c>
      <c r="S82" s="1010">
        <f t="shared" si="74"/>
        <v>0</v>
      </c>
      <c r="T82" s="1672">
        <f t="shared" si="74"/>
        <v>0</v>
      </c>
      <c r="U82" s="1010">
        <f t="shared" si="74"/>
        <v>0</v>
      </c>
      <c r="V82" s="1289">
        <f t="shared" si="74"/>
        <v>0</v>
      </c>
      <c r="W82" s="1253">
        <f t="shared" si="74"/>
        <v>0</v>
      </c>
      <c r="X82" s="1010">
        <f t="shared" si="74"/>
        <v>0</v>
      </c>
      <c r="Y82" s="1010">
        <f t="shared" si="74"/>
        <v>0</v>
      </c>
      <c r="Z82" s="1598">
        <f t="shared" si="74"/>
        <v>0</v>
      </c>
      <c r="AA82" s="1289">
        <f t="shared" si="74"/>
        <v>0</v>
      </c>
      <c r="AB82" s="2038">
        <f t="shared" si="46"/>
        <v>0</v>
      </c>
      <c r="AC82" s="2038">
        <f t="shared" ref="AC82:AC85" si="75">E82+G82+I82+K82+M82+O82+Q82+S82+U82+W82+Y82+AA82</f>
        <v>0</v>
      </c>
    </row>
    <row r="83" spans="1:30" ht="15">
      <c r="A83" s="96"/>
      <c r="B83" s="1753" t="s">
        <v>9</v>
      </c>
      <c r="C83" s="1545">
        <f>'База расходы зп'!V17+'База расходы зп'!V7+'База расходы зп'!V12</f>
        <v>631035.17931034474</v>
      </c>
      <c r="D83" s="1289">
        <f t="shared" ref="D83:AA83" si="76">-$C83</f>
        <v>-631035.17931034474</v>
      </c>
      <c r="E83" s="1010">
        <f>-728617</f>
        <v>-728617</v>
      </c>
      <c r="F83" s="1289">
        <f t="shared" si="76"/>
        <v>-631035.17931034474</v>
      </c>
      <c r="G83" s="1010">
        <f>-647527</f>
        <v>-647527</v>
      </c>
      <c r="H83" s="1289">
        <f t="shared" si="76"/>
        <v>-631035.17931034474</v>
      </c>
      <c r="I83" s="1010">
        <f>-SUM('База расходы зп'!G277:H284)</f>
        <v>-557669.99976000004</v>
      </c>
      <c r="J83" s="1289">
        <f t="shared" si="76"/>
        <v>-631035.17931034474</v>
      </c>
      <c r="K83" s="1010">
        <f>-980446</f>
        <v>-980446</v>
      </c>
      <c r="L83" s="1289">
        <f t="shared" si="76"/>
        <v>-631035.17931034474</v>
      </c>
      <c r="M83" s="1010">
        <f>-634579</f>
        <v>-634579</v>
      </c>
      <c r="N83" s="1289">
        <f t="shared" si="76"/>
        <v>-631035.17931034474</v>
      </c>
      <c r="O83" s="1010">
        <f>-494641</f>
        <v>-494641</v>
      </c>
      <c r="P83" s="1289">
        <f t="shared" si="76"/>
        <v>-631035.17931034474</v>
      </c>
      <c r="Q83" s="1253">
        <f>-415149</f>
        <v>-415149</v>
      </c>
      <c r="R83" s="1010">
        <f t="shared" si="76"/>
        <v>-631035.17931034474</v>
      </c>
      <c r="S83" s="1010">
        <f>-372802</f>
        <v>-372802</v>
      </c>
      <c r="T83" s="1672">
        <f t="shared" si="76"/>
        <v>-631035.17931034474</v>
      </c>
      <c r="U83" s="1010">
        <f>-477914</f>
        <v>-477914</v>
      </c>
      <c r="V83" s="1289">
        <f t="shared" si="76"/>
        <v>-631035.17931034474</v>
      </c>
      <c r="W83" s="1253">
        <f>-496095</f>
        <v>-496095</v>
      </c>
      <c r="X83" s="1010">
        <f t="shared" si="76"/>
        <v>-631035.17931034474</v>
      </c>
      <c r="Y83" s="1010">
        <f>-520250</f>
        <v>-520250</v>
      </c>
      <c r="Z83" s="1598">
        <f t="shared" si="76"/>
        <v>-631035.17931034474</v>
      </c>
      <c r="AA83" s="1289">
        <f>-529208</f>
        <v>-529208</v>
      </c>
      <c r="AB83" s="2038">
        <f t="shared" si="46"/>
        <v>-7572422.1517241383</v>
      </c>
      <c r="AC83" s="2038">
        <f t="shared" si="75"/>
        <v>-6854897.99976</v>
      </c>
    </row>
    <row r="84" spans="1:30" ht="15">
      <c r="A84" s="96"/>
      <c r="B84" s="1753" t="s">
        <v>239</v>
      </c>
      <c r="C84" s="1552">
        <v>0</v>
      </c>
      <c r="D84" s="1289">
        <f>D83*$C$84</f>
        <v>0</v>
      </c>
      <c r="E84" s="1010">
        <f>E83*$C$84</f>
        <v>0</v>
      </c>
      <c r="F84" s="1289">
        <f>F83*$C$84</f>
        <v>0</v>
      </c>
      <c r="G84" s="1010">
        <f>G83*$C$84</f>
        <v>0</v>
      </c>
      <c r="H84" s="1289">
        <f t="shared" ref="H84:Z84" si="77">H83*$C$84</f>
        <v>0</v>
      </c>
      <c r="I84" s="1010">
        <f>I83*$C$84</f>
        <v>0</v>
      </c>
      <c r="J84" s="1289">
        <f t="shared" si="77"/>
        <v>0</v>
      </c>
      <c r="K84" s="1010">
        <f>K83*$C$84</f>
        <v>0</v>
      </c>
      <c r="L84" s="1289">
        <f t="shared" si="77"/>
        <v>0</v>
      </c>
      <c r="M84" s="1010">
        <f>M83*$C$84</f>
        <v>0</v>
      </c>
      <c r="N84" s="1289">
        <f t="shared" si="77"/>
        <v>0</v>
      </c>
      <c r="O84" s="1010">
        <f>O83*$C$84</f>
        <v>0</v>
      </c>
      <c r="P84" s="1289">
        <f t="shared" si="77"/>
        <v>0</v>
      </c>
      <c r="Q84" s="1253">
        <f>Q83*$C$84</f>
        <v>0</v>
      </c>
      <c r="R84" s="1010">
        <f t="shared" si="77"/>
        <v>0</v>
      </c>
      <c r="S84" s="1010">
        <f>S83*$C$84</f>
        <v>0</v>
      </c>
      <c r="T84" s="1672">
        <f t="shared" si="77"/>
        <v>0</v>
      </c>
      <c r="U84" s="1010">
        <f>U83*$C$84</f>
        <v>0</v>
      </c>
      <c r="V84" s="1289">
        <f t="shared" si="77"/>
        <v>0</v>
      </c>
      <c r="W84" s="1253">
        <f>W83*$C$84</f>
        <v>0</v>
      </c>
      <c r="X84" s="1010">
        <f t="shared" si="77"/>
        <v>0</v>
      </c>
      <c r="Y84" s="1010">
        <f t="shared" ref="Y84" si="78">Y83*$C$84</f>
        <v>0</v>
      </c>
      <c r="Z84" s="1598">
        <f t="shared" si="77"/>
        <v>0</v>
      </c>
      <c r="AA84" s="1289">
        <f t="shared" ref="AA84" si="79">AA83*$C$84</f>
        <v>0</v>
      </c>
      <c r="AB84" s="2038">
        <f t="shared" si="46"/>
        <v>0</v>
      </c>
      <c r="AC84" s="2038">
        <f t="shared" si="75"/>
        <v>0</v>
      </c>
    </row>
    <row r="85" spans="1:30" ht="15">
      <c r="A85" s="96"/>
      <c r="B85" s="1753" t="s">
        <v>235</v>
      </c>
      <c r="C85" s="1553">
        <v>0</v>
      </c>
      <c r="D85" s="1289">
        <f t="shared" ref="D85:Z85" si="80">-D9*$C$85</f>
        <v>0</v>
      </c>
      <c r="E85" s="1010">
        <f>-E9*$C$85</f>
        <v>0</v>
      </c>
      <c r="F85" s="1289">
        <f t="shared" si="80"/>
        <v>0</v>
      </c>
      <c r="G85" s="1010">
        <f>-G9*$C$85</f>
        <v>0</v>
      </c>
      <c r="H85" s="1289">
        <f t="shared" si="80"/>
        <v>0</v>
      </c>
      <c r="I85" s="1010">
        <f t="shared" si="80"/>
        <v>0</v>
      </c>
      <c r="J85" s="1289">
        <f t="shared" si="80"/>
        <v>0</v>
      </c>
      <c r="K85" s="1010">
        <f>-K9*$C$85</f>
        <v>0</v>
      </c>
      <c r="L85" s="1289">
        <f t="shared" si="80"/>
        <v>0</v>
      </c>
      <c r="M85" s="1010">
        <f>-M9*$C$85</f>
        <v>0</v>
      </c>
      <c r="N85" s="1289">
        <f t="shared" si="80"/>
        <v>0</v>
      </c>
      <c r="O85" s="1010">
        <f>-O9*$C$85</f>
        <v>0</v>
      </c>
      <c r="P85" s="1289">
        <f t="shared" si="80"/>
        <v>0</v>
      </c>
      <c r="Q85" s="1253">
        <f>-Q9*$C$85</f>
        <v>0</v>
      </c>
      <c r="R85" s="1010">
        <f t="shared" si="80"/>
        <v>0</v>
      </c>
      <c r="S85" s="1010">
        <f>-S9*$C$85</f>
        <v>0</v>
      </c>
      <c r="T85" s="1672">
        <f t="shared" si="80"/>
        <v>0</v>
      </c>
      <c r="U85" s="1010">
        <f>-U9*$C$85</f>
        <v>0</v>
      </c>
      <c r="V85" s="1289">
        <f t="shared" si="80"/>
        <v>0</v>
      </c>
      <c r="W85" s="1253">
        <f>-W9*$C$85</f>
        <v>0</v>
      </c>
      <c r="X85" s="1010">
        <f t="shared" si="80"/>
        <v>0</v>
      </c>
      <c r="Y85" s="1010">
        <f t="shared" ref="Y85" si="81">-Y9*$C$85</f>
        <v>0</v>
      </c>
      <c r="Z85" s="1598">
        <f t="shared" si="80"/>
        <v>0</v>
      </c>
      <c r="AA85" s="1289">
        <f t="shared" ref="AA85" si="82">-AA9*$C$85</f>
        <v>0</v>
      </c>
      <c r="AB85" s="2038">
        <f t="shared" si="46"/>
        <v>0</v>
      </c>
      <c r="AC85" s="2038">
        <f t="shared" si="75"/>
        <v>0</v>
      </c>
    </row>
    <row r="86" spans="1:30" s="31" customFormat="1" ht="15">
      <c r="A86" s="97"/>
      <c r="B86" s="1754" t="s">
        <v>170</v>
      </c>
      <c r="C86" s="1551"/>
      <c r="D86" s="1009"/>
      <c r="E86" s="797"/>
      <c r="F86" s="1009"/>
      <c r="G86" s="797"/>
      <c r="H86" s="1009"/>
      <c r="I86" s="797"/>
      <c r="J86" s="1009"/>
      <c r="K86" s="797"/>
      <c r="L86" s="1009"/>
      <c r="M86" s="797"/>
      <c r="N86" s="1009"/>
      <c r="O86" s="797"/>
      <c r="P86" s="1009"/>
      <c r="Q86" s="1267"/>
      <c r="R86" s="797"/>
      <c r="S86" s="797"/>
      <c r="T86" s="1687"/>
      <c r="U86" s="797"/>
      <c r="V86" s="1009"/>
      <c r="W86" s="1267"/>
      <c r="X86" s="797"/>
      <c r="Y86" s="797"/>
      <c r="Z86" s="1608"/>
      <c r="AA86" s="1009"/>
      <c r="AB86" s="2042"/>
      <c r="AC86" s="2077"/>
      <c r="AD86" s="2073"/>
    </row>
    <row r="87" spans="1:30" ht="15">
      <c r="A87" s="96"/>
      <c r="B87" s="1753" t="s">
        <v>180</v>
      </c>
      <c r="C87" s="1545">
        <f>SUM('База расходы зп'!I13:I14)</f>
        <v>231877.8</v>
      </c>
      <c r="D87" s="1289">
        <f>-231878</f>
        <v>-231878</v>
      </c>
      <c r="E87" s="1010">
        <f>-58340-150000</f>
        <v>-208340</v>
      </c>
      <c r="F87" s="1289">
        <f>-SUM('База расходы зп'!I13:I14)</f>
        <v>-231877.8</v>
      </c>
      <c r="G87" s="1010">
        <f>-70740</f>
        <v>-70740</v>
      </c>
      <c r="H87" s="1289">
        <f>-$C$87</f>
        <v>-231877.8</v>
      </c>
      <c r="I87" s="1010">
        <f>-SUM('База расходы зп'!G275:H276)</f>
        <v>-231902.37</v>
      </c>
      <c r="J87" s="1289">
        <f t="shared" ref="J87:AA87" si="83">-$C$87</f>
        <v>-231877.8</v>
      </c>
      <c r="K87" s="1010">
        <f>-231904</f>
        <v>-231904</v>
      </c>
      <c r="L87" s="1289">
        <f t="shared" si="83"/>
        <v>-231877.8</v>
      </c>
      <c r="M87" s="1010">
        <f>-276725</f>
        <v>-276725</v>
      </c>
      <c r="N87" s="1289">
        <f t="shared" si="83"/>
        <v>-231877.8</v>
      </c>
      <c r="O87" s="1010">
        <f>-323811</f>
        <v>-323811</v>
      </c>
      <c r="P87" s="1289">
        <f t="shared" si="83"/>
        <v>-231877.8</v>
      </c>
      <c r="Q87" s="1253">
        <f>-294514</f>
        <v>-294514</v>
      </c>
      <c r="R87" s="1010">
        <f t="shared" si="83"/>
        <v>-231877.8</v>
      </c>
      <c r="S87" s="1010">
        <f>-360500</f>
        <v>-360500</v>
      </c>
      <c r="T87" s="1672">
        <f t="shared" si="83"/>
        <v>-231877.8</v>
      </c>
      <c r="U87" s="1010">
        <f>-341670</f>
        <v>-341670</v>
      </c>
      <c r="V87" s="1289">
        <f t="shared" si="83"/>
        <v>-231877.8</v>
      </c>
      <c r="W87" s="1253">
        <f>-336420</f>
        <v>-336420</v>
      </c>
      <c r="X87" s="1010">
        <f t="shared" si="83"/>
        <v>-231877.8</v>
      </c>
      <c r="Y87" s="1010">
        <f>-261543</f>
        <v>-261543</v>
      </c>
      <c r="Z87" s="1598">
        <f t="shared" si="83"/>
        <v>-231877.8</v>
      </c>
      <c r="AA87" s="1289">
        <f>-262464</f>
        <v>-262464</v>
      </c>
      <c r="AB87" s="2038">
        <f t="shared" si="46"/>
        <v>-2782533.8</v>
      </c>
      <c r="AC87" s="2038">
        <f t="shared" si="46"/>
        <v>-3200533.37</v>
      </c>
    </row>
    <row r="88" spans="1:30" ht="15">
      <c r="A88" s="96"/>
      <c r="B88" s="1753" t="s">
        <v>239</v>
      </c>
      <c r="C88" s="1552">
        <v>0</v>
      </c>
      <c r="D88" s="1289">
        <f t="shared" ref="D88:Z88" si="84">D87*$C$84</f>
        <v>0</v>
      </c>
      <c r="E88" s="1010">
        <f>E87*$C$84</f>
        <v>0</v>
      </c>
      <c r="F88" s="1289">
        <f t="shared" si="84"/>
        <v>0</v>
      </c>
      <c r="G88" s="1010">
        <f>G87*$C$84</f>
        <v>0</v>
      </c>
      <c r="H88" s="1289">
        <f t="shared" si="84"/>
        <v>0</v>
      </c>
      <c r="I88" s="1010">
        <f t="shared" si="84"/>
        <v>0</v>
      </c>
      <c r="J88" s="1289">
        <f t="shared" si="84"/>
        <v>0</v>
      </c>
      <c r="K88" s="1010">
        <f>K87*$C$84</f>
        <v>0</v>
      </c>
      <c r="L88" s="1289">
        <f t="shared" si="84"/>
        <v>0</v>
      </c>
      <c r="M88" s="1010">
        <f>M87*$C$84</f>
        <v>0</v>
      </c>
      <c r="N88" s="1289">
        <f t="shared" si="84"/>
        <v>0</v>
      </c>
      <c r="O88" s="1010">
        <f>O87*$C$84</f>
        <v>0</v>
      </c>
      <c r="P88" s="1289">
        <f t="shared" si="84"/>
        <v>0</v>
      </c>
      <c r="Q88" s="1253">
        <f>Q87*$C$84</f>
        <v>0</v>
      </c>
      <c r="R88" s="1010">
        <f t="shared" si="84"/>
        <v>0</v>
      </c>
      <c r="S88" s="1010">
        <f>S87*$C$84</f>
        <v>0</v>
      </c>
      <c r="T88" s="1672">
        <f t="shared" si="84"/>
        <v>0</v>
      </c>
      <c r="U88" s="1010">
        <f>U87*$C$84</f>
        <v>0</v>
      </c>
      <c r="V88" s="1289">
        <f t="shared" si="84"/>
        <v>0</v>
      </c>
      <c r="W88" s="1253">
        <f>W87*$C$84</f>
        <v>0</v>
      </c>
      <c r="X88" s="1010">
        <f t="shared" si="84"/>
        <v>0</v>
      </c>
      <c r="Y88" s="1010">
        <f t="shared" ref="Y88" si="85">Y87*$C$84</f>
        <v>0</v>
      </c>
      <c r="Z88" s="1598">
        <f t="shared" si="84"/>
        <v>0</v>
      </c>
      <c r="AA88" s="1289">
        <f t="shared" ref="AA88" si="86">AA87*$C$84</f>
        <v>0</v>
      </c>
      <c r="AB88" s="2038">
        <f t="shared" si="46"/>
        <v>0</v>
      </c>
      <c r="AC88" s="2038">
        <f t="shared" si="46"/>
        <v>0</v>
      </c>
    </row>
    <row r="89" spans="1:30" ht="15">
      <c r="A89" s="96"/>
      <c r="B89" s="1753" t="s">
        <v>176</v>
      </c>
      <c r="C89" s="1545">
        <f>'База расходы'!K25</f>
        <v>73313.983333333337</v>
      </c>
      <c r="D89" s="1289">
        <f t="shared" ref="D89:AA89" si="87">-$C89</f>
        <v>-73313.983333333337</v>
      </c>
      <c r="E89" s="1010">
        <f>-'База расходы'!M25</f>
        <v>-53182.73</v>
      </c>
      <c r="F89" s="1289">
        <f t="shared" si="87"/>
        <v>-73313.983333333337</v>
      </c>
      <c r="G89" s="1010">
        <f>-'База расходы'!O25</f>
        <v>-53987.95</v>
      </c>
      <c r="H89" s="1289">
        <f t="shared" si="87"/>
        <v>-73313.983333333337</v>
      </c>
      <c r="I89" s="1010">
        <f>-'База расходы'!Q25</f>
        <v>-54369.34</v>
      </c>
      <c r="J89" s="1289">
        <f t="shared" si="87"/>
        <v>-73313.983333333337</v>
      </c>
      <c r="K89" s="1010">
        <f>-'База расходы'!S25</f>
        <v>-86956.67</v>
      </c>
      <c r="L89" s="1289">
        <f t="shared" si="87"/>
        <v>-73313.983333333337</v>
      </c>
      <c r="M89" s="1010">
        <f>-'База расходы'!U25</f>
        <v>-56236.67</v>
      </c>
      <c r="N89" s="1289">
        <f t="shared" si="87"/>
        <v>-73313.983333333337</v>
      </c>
      <c r="O89" s="1010">
        <f>-'База расходы'!W25</f>
        <v>-53499.67</v>
      </c>
      <c r="P89" s="1289">
        <f t="shared" si="87"/>
        <v>-73313.983333333337</v>
      </c>
      <c r="Q89" s="1253">
        <f>-'База расходы'!Y25</f>
        <v>-52852.67</v>
      </c>
      <c r="R89" s="1010">
        <f t="shared" si="87"/>
        <v>-73313.983333333337</v>
      </c>
      <c r="S89" s="1010">
        <f>-'База расходы'!AA25</f>
        <v>-275349.44</v>
      </c>
      <c r="T89" s="1672">
        <f t="shared" si="87"/>
        <v>-73313.983333333337</v>
      </c>
      <c r="U89" s="1010">
        <f>-'База расходы'!AC25</f>
        <v>-308433.44</v>
      </c>
      <c r="V89" s="1289">
        <f t="shared" si="87"/>
        <v>-73313.983333333337</v>
      </c>
      <c r="W89" s="1253">
        <f>-'База расходы'!AE25</f>
        <v>-51404.439999999995</v>
      </c>
      <c r="X89" s="1010">
        <f t="shared" si="87"/>
        <v>-73313.983333333337</v>
      </c>
      <c r="Y89" s="1010">
        <f>-'База расходы'!AG25</f>
        <v>-55089.39</v>
      </c>
      <c r="Z89" s="1598">
        <f t="shared" si="87"/>
        <v>-73313.983333333337</v>
      </c>
      <c r="AA89" s="1289">
        <f>-'База расходы'!AI25</f>
        <v>-42366.57</v>
      </c>
      <c r="AB89" s="2038">
        <f t="shared" si="46"/>
        <v>-879767.80000000028</v>
      </c>
      <c r="AC89" s="2038">
        <f t="shared" si="46"/>
        <v>-1143728.9799999997</v>
      </c>
    </row>
    <row r="90" spans="1:30" ht="15">
      <c r="A90" s="96"/>
      <c r="B90" s="1753" t="s">
        <v>777</v>
      </c>
      <c r="C90" s="1545">
        <v>20000</v>
      </c>
      <c r="D90" s="1289">
        <f t="shared" ref="D90:AA90" si="88">-$C90</f>
        <v>-20000</v>
      </c>
      <c r="E90" s="1010">
        <v>0</v>
      </c>
      <c r="F90" s="1289">
        <f t="shared" si="88"/>
        <v>-20000</v>
      </c>
      <c r="G90" s="1010">
        <v>0</v>
      </c>
      <c r="H90" s="1289">
        <f t="shared" si="88"/>
        <v>-20000</v>
      </c>
      <c r="I90" s="1010">
        <v>0</v>
      </c>
      <c r="J90" s="1289">
        <f t="shared" si="88"/>
        <v>-20000</v>
      </c>
      <c r="K90" s="1010"/>
      <c r="L90" s="1289">
        <f t="shared" si="88"/>
        <v>-20000</v>
      </c>
      <c r="M90" s="1010">
        <f>-60000</f>
        <v>-60000</v>
      </c>
      <c r="N90" s="1289">
        <f t="shared" si="88"/>
        <v>-20000</v>
      </c>
      <c r="O90" s="1010">
        <f>-29836.9</f>
        <v>-29836.9</v>
      </c>
      <c r="P90" s="1289">
        <f t="shared" si="88"/>
        <v>-20000</v>
      </c>
      <c r="Q90" s="1253"/>
      <c r="R90" s="1010">
        <f t="shared" si="88"/>
        <v>-20000</v>
      </c>
      <c r="S90" s="1010"/>
      <c r="T90" s="1672">
        <f t="shared" si="88"/>
        <v>-20000</v>
      </c>
      <c r="U90" s="1010"/>
      <c r="V90" s="1289">
        <f t="shared" si="88"/>
        <v>-20000</v>
      </c>
      <c r="W90" s="1253"/>
      <c r="X90" s="1010">
        <f t="shared" si="88"/>
        <v>-20000</v>
      </c>
      <c r="Y90" s="1010"/>
      <c r="Z90" s="1598">
        <f t="shared" si="88"/>
        <v>-20000</v>
      </c>
      <c r="AA90" s="1289"/>
      <c r="AB90" s="2038">
        <f t="shared" si="46"/>
        <v>-240000</v>
      </c>
      <c r="AC90" s="2038">
        <f t="shared" si="46"/>
        <v>-89836.9</v>
      </c>
    </row>
    <row r="91" spans="1:30" ht="30">
      <c r="A91" s="96"/>
      <c r="B91" s="1753" t="s">
        <v>504</v>
      </c>
      <c r="C91" s="1545"/>
      <c r="D91" s="1289"/>
      <c r="E91" s="1010"/>
      <c r="F91" s="1289"/>
      <c r="G91" s="1010">
        <f>-29000</f>
        <v>-29000</v>
      </c>
      <c r="H91" s="1289"/>
      <c r="I91" s="1010">
        <v>0</v>
      </c>
      <c r="J91" s="1289"/>
      <c r="K91" s="1010"/>
      <c r="L91" s="1289"/>
      <c r="M91" s="1010"/>
      <c r="N91" s="1289"/>
      <c r="O91" s="1010"/>
      <c r="P91" s="1289"/>
      <c r="Q91" s="1253"/>
      <c r="R91" s="1010"/>
      <c r="S91" s="1010"/>
      <c r="T91" s="1672"/>
      <c r="U91" s="1010"/>
      <c r="V91" s="1289"/>
      <c r="W91" s="1253"/>
      <c r="X91" s="1010"/>
      <c r="Y91" s="1010"/>
      <c r="Z91" s="1598"/>
      <c r="AA91" s="1289"/>
      <c r="AB91" s="2038">
        <f t="shared" si="46"/>
        <v>0</v>
      </c>
      <c r="AC91" s="2038">
        <f t="shared" si="46"/>
        <v>-29000</v>
      </c>
    </row>
    <row r="92" spans="1:30" s="1713" customFormat="1" ht="15.75" customHeight="1">
      <c r="A92" s="1299"/>
      <c r="B92" s="1713" t="s">
        <v>209</v>
      </c>
      <c r="C92" s="1554">
        <f>-SUM(D92:Z92)</f>
        <v>2538970.7599999998</v>
      </c>
      <c r="D92" s="1299">
        <f>-55000</f>
        <v>-55000</v>
      </c>
      <c r="E92" s="1713">
        <f>-2980-25950</f>
        <v>-28930</v>
      </c>
      <c r="F92" s="1299">
        <f>-95000</f>
        <v>-95000</v>
      </c>
      <c r="G92" s="1713">
        <f>-59845.1-88593.5-5245-22500</f>
        <v>-176183.6</v>
      </c>
      <c r="H92" s="1299">
        <f>-55000</f>
        <v>-55000</v>
      </c>
      <c r="I92" s="1713">
        <f>I93</f>
        <v>-42683.61</v>
      </c>
      <c r="J92" s="1299">
        <f>-55000</f>
        <v>-55000</v>
      </c>
      <c r="K92" s="1713">
        <f>-25762.4</f>
        <v>-25762.400000000001</v>
      </c>
      <c r="L92" s="1299">
        <f>-350000</f>
        <v>-350000</v>
      </c>
      <c r="M92" s="1713">
        <f>-7892.65</f>
        <v>-7892.65</v>
      </c>
      <c r="N92" s="1299">
        <f t="shared" ref="N92:V92" si="89">-55000</f>
        <v>-55000</v>
      </c>
      <c r="O92" s="1713">
        <f t="shared" si="89"/>
        <v>-55000</v>
      </c>
      <c r="P92" s="1299">
        <f t="shared" si="89"/>
        <v>-55000</v>
      </c>
      <c r="Q92" s="1268"/>
      <c r="R92" s="1713">
        <f t="shared" si="89"/>
        <v>-55000</v>
      </c>
      <c r="S92" s="1713">
        <f>-17790-3947</f>
        <v>-21737</v>
      </c>
      <c r="T92" s="1688">
        <f t="shared" si="89"/>
        <v>-55000</v>
      </c>
      <c r="U92" s="1713">
        <f>-4500-22459</f>
        <v>-26959</v>
      </c>
      <c r="V92" s="1299">
        <f t="shared" si="89"/>
        <v>-55000</v>
      </c>
      <c r="W92" s="1268">
        <f>-18822.5</f>
        <v>-18822.5</v>
      </c>
      <c r="X92" s="1713">
        <f>-600000</f>
        <v>-600000</v>
      </c>
      <c r="Z92" s="1609">
        <f>-650000</f>
        <v>-650000</v>
      </c>
      <c r="AA92" s="1299">
        <f>-150000-30000</f>
        <v>-180000</v>
      </c>
      <c r="AB92" s="2038">
        <f t="shared" si="46"/>
        <v>-2135000</v>
      </c>
      <c r="AC92" s="2038">
        <f t="shared" si="46"/>
        <v>-583970.76</v>
      </c>
      <c r="AD92" s="1268"/>
    </row>
    <row r="93" spans="1:30" s="1713" customFormat="1" ht="15.75" customHeight="1">
      <c r="A93" s="1299"/>
      <c r="B93" s="1755" t="s">
        <v>1048</v>
      </c>
      <c r="C93" s="1554"/>
      <c r="D93" s="1299"/>
      <c r="F93" s="1299"/>
      <c r="H93" s="1299"/>
      <c r="I93" s="1713">
        <f>-10457.71-32225.9</f>
        <v>-42683.61</v>
      </c>
      <c r="J93" s="1299"/>
      <c r="L93" s="1299"/>
      <c r="N93" s="1299"/>
      <c r="P93" s="1299"/>
      <c r="Q93" s="1268"/>
      <c r="T93" s="1688"/>
      <c r="V93" s="1299"/>
      <c r="W93" s="1268"/>
      <c r="Z93" s="1609"/>
      <c r="AA93" s="1299"/>
      <c r="AB93" s="2038">
        <f t="shared" si="46"/>
        <v>0</v>
      </c>
      <c r="AC93" s="2038">
        <f t="shared" si="46"/>
        <v>-42683.61</v>
      </c>
      <c r="AD93" s="1268"/>
    </row>
    <row r="94" spans="1:30" s="1713" customFormat="1" ht="15.75" customHeight="1">
      <c r="A94" s="1375"/>
      <c r="B94" s="1713" t="s">
        <v>790</v>
      </c>
      <c r="C94" s="1554">
        <v>420000</v>
      </c>
      <c r="D94" s="1299">
        <v>0</v>
      </c>
      <c r="E94" s="1713">
        <v>0</v>
      </c>
      <c r="F94" s="1299">
        <f>-120000</f>
        <v>-120000</v>
      </c>
      <c r="H94" s="1299">
        <v>0</v>
      </c>
      <c r="I94" s="1713">
        <v>-110000</v>
      </c>
      <c r="J94" s="1299">
        <v>0</v>
      </c>
      <c r="K94" s="1713">
        <f>-110000</f>
        <v>-110000</v>
      </c>
      <c r="L94" s="1299">
        <f>J94</f>
        <v>0</v>
      </c>
      <c r="M94" s="1713">
        <f>K94</f>
        <v>-110000</v>
      </c>
      <c r="N94" s="1299">
        <f>L94</f>
        <v>0</v>
      </c>
      <c r="O94" s="1713">
        <f>100000+89900</f>
        <v>189900</v>
      </c>
      <c r="P94" s="1299">
        <f>N94</f>
        <v>0</v>
      </c>
      <c r="Q94" s="1268">
        <v>-100000</v>
      </c>
      <c r="R94" s="1713">
        <f t="shared" ref="R94:W94" si="90">P94</f>
        <v>0</v>
      </c>
      <c r="S94" s="1713">
        <f t="shared" si="90"/>
        <v>-100000</v>
      </c>
      <c r="T94" s="1688">
        <f t="shared" si="90"/>
        <v>0</v>
      </c>
      <c r="U94" s="1713">
        <f t="shared" si="90"/>
        <v>-100000</v>
      </c>
      <c r="V94" s="1299">
        <f t="shared" si="90"/>
        <v>0</v>
      </c>
      <c r="W94" s="1268">
        <f t="shared" si="90"/>
        <v>-100000</v>
      </c>
      <c r="X94" s="1713">
        <f>V94</f>
        <v>0</v>
      </c>
      <c r="Y94" s="1713">
        <v>0</v>
      </c>
      <c r="Z94" s="1609">
        <f>X94</f>
        <v>0</v>
      </c>
      <c r="AA94" s="1299">
        <f>Y94</f>
        <v>0</v>
      </c>
      <c r="AB94" s="2038">
        <f t="shared" si="46"/>
        <v>-120000</v>
      </c>
      <c r="AC94" s="2038">
        <f t="shared" si="46"/>
        <v>-540100</v>
      </c>
      <c r="AD94" s="1268"/>
    </row>
    <row r="95" spans="1:30" s="31" customFormat="1" ht="15">
      <c r="A95" s="1376"/>
      <c r="B95" s="1752" t="s">
        <v>11</v>
      </c>
      <c r="C95" s="1548"/>
      <c r="D95" s="1298">
        <f t="shared" ref="D95:Z95" si="91">SUM(D97:D104)</f>
        <v>-1333854.1417654916</v>
      </c>
      <c r="E95" s="1712">
        <f t="shared" si="91"/>
        <v>-1170411.68</v>
      </c>
      <c r="F95" s="1298">
        <f t="shared" si="91"/>
        <v>-1431557.3701288179</v>
      </c>
      <c r="G95" s="1712">
        <f t="shared" si="91"/>
        <v>-1542829.8499999999</v>
      </c>
      <c r="H95" s="1298">
        <f t="shared" si="91"/>
        <v>-1525692.9770893375</v>
      </c>
      <c r="I95" s="1712">
        <f t="shared" si="91"/>
        <v>-1117699.0338600001</v>
      </c>
      <c r="J95" s="1298">
        <f t="shared" si="91"/>
        <v>-1508819.3605020205</v>
      </c>
      <c r="K95" s="1712">
        <f t="shared" si="91"/>
        <v>-1159962.3</v>
      </c>
      <c r="L95" s="1298">
        <f t="shared" si="91"/>
        <v>-1499522.1987187953</v>
      </c>
      <c r="M95" s="1712">
        <f t="shared" si="91"/>
        <v>-1201319.0900000001</v>
      </c>
      <c r="N95" s="1298">
        <f t="shared" si="91"/>
        <v>-1483184.8072301673</v>
      </c>
      <c r="O95" s="1712">
        <f>SUM(O97:O104)</f>
        <v>-1323396.22</v>
      </c>
      <c r="P95" s="1298">
        <f t="shared" si="91"/>
        <v>-1505152.0547082478</v>
      </c>
      <c r="Q95" s="1266">
        <f>SUM(Q97:Q104)</f>
        <v>-1490368.87</v>
      </c>
      <c r="R95" s="1712">
        <f t="shared" si="91"/>
        <v>-1517185.6792130475</v>
      </c>
      <c r="S95" s="1712">
        <f>SUM(S97:S104)</f>
        <v>-1098298.32</v>
      </c>
      <c r="T95" s="1686">
        <f t="shared" si="91"/>
        <v>-1550491.5905525964</v>
      </c>
      <c r="U95" s="1712">
        <f>SUM(U97:U104)</f>
        <v>-1016403.38</v>
      </c>
      <c r="V95" s="1298">
        <f t="shared" si="91"/>
        <v>-1563401.7657225619</v>
      </c>
      <c r="W95" s="1266">
        <f>SUM(W97:W104)</f>
        <v>-1082667.0699999998</v>
      </c>
      <c r="X95" s="1712">
        <f t="shared" si="91"/>
        <v>-1578304.6597047076</v>
      </c>
      <c r="Y95" s="1712">
        <f>SUM(Y97:Y104)</f>
        <v>-1052466.0114285715</v>
      </c>
      <c r="Z95" s="1544">
        <f t="shared" si="91"/>
        <v>-1586504.1163211344</v>
      </c>
      <c r="AA95" s="1298">
        <f t="shared" ref="AA95" si="92">SUM(AA97:AA104)</f>
        <v>-1044409.3214285714</v>
      </c>
      <c r="AB95" s="2023">
        <f t="shared" si="46"/>
        <v>-18083670.721656926</v>
      </c>
      <c r="AC95" s="2023">
        <f t="shared" si="46"/>
        <v>-14300231.146717144</v>
      </c>
      <c r="AD95" s="2073"/>
    </row>
    <row r="96" spans="1:30" s="31" customFormat="1" ht="15">
      <c r="A96" s="1376"/>
      <c r="B96" s="1754" t="s">
        <v>181</v>
      </c>
      <c r="C96" s="1548"/>
      <c r="D96" s="1298"/>
      <c r="E96" s="1712"/>
      <c r="F96" s="1298"/>
      <c r="G96" s="1712"/>
      <c r="H96" s="1298"/>
      <c r="I96" s="1712"/>
      <c r="J96" s="1298"/>
      <c r="K96" s="1712"/>
      <c r="L96" s="1298"/>
      <c r="M96" s="1712"/>
      <c r="N96" s="1298"/>
      <c r="O96" s="1712"/>
      <c r="P96" s="1298"/>
      <c r="Q96" s="1266"/>
      <c r="R96" s="1712"/>
      <c r="S96" s="1712"/>
      <c r="T96" s="1686"/>
      <c r="U96" s="1712"/>
      <c r="V96" s="1298"/>
      <c r="W96" s="1266"/>
      <c r="X96" s="1712"/>
      <c r="Y96" s="1712"/>
      <c r="Z96" s="1544"/>
      <c r="AA96" s="1298"/>
      <c r="AB96" s="2042">
        <f t="shared" si="46"/>
        <v>0</v>
      </c>
      <c r="AC96" s="2077"/>
      <c r="AD96" s="2073"/>
    </row>
    <row r="97" spans="1:30" ht="15">
      <c r="A97" s="96"/>
      <c r="B97" s="98" t="s">
        <v>173</v>
      </c>
      <c r="C97" s="1555">
        <f>'База расходы зп'!V27</f>
        <v>501957.68965517241</v>
      </c>
      <c r="D97" s="1290">
        <f>-C97+'База расходы зп'!I28</f>
        <v>-409026.6551724138</v>
      </c>
      <c r="E97" s="1011">
        <f>-303477</f>
        <v>-303477</v>
      </c>
      <c r="F97" s="1290">
        <f>D97-'База расходы зп'!I28</f>
        <v>-501957.68965517241</v>
      </c>
      <c r="G97" s="1011">
        <f>-371992</f>
        <v>-371992</v>
      </c>
      <c r="H97" s="1290">
        <f>F97</f>
        <v>-501957.68965517241</v>
      </c>
      <c r="I97" s="1011">
        <f>-550924</f>
        <v>-550924</v>
      </c>
      <c r="J97" s="1290">
        <f>H97</f>
        <v>-501957.68965517241</v>
      </c>
      <c r="K97" s="1011">
        <f>-589002</f>
        <v>-589002</v>
      </c>
      <c r="L97" s="1290">
        <f>J97</f>
        <v>-501957.68965517241</v>
      </c>
      <c r="M97" s="1011">
        <f>-746878-M99</f>
        <v>-540015.98</v>
      </c>
      <c r="N97" s="1290">
        <f>L97</f>
        <v>-501957.68965517241</v>
      </c>
      <c r="O97" s="1011">
        <f>-895282+188633.55</f>
        <v>-706648.45</v>
      </c>
      <c r="P97" s="1290">
        <f>N97</f>
        <v>-501957.68965517241</v>
      </c>
      <c r="Q97" s="1254">
        <f>-799391</f>
        <v>-799391</v>
      </c>
      <c r="R97" s="1011">
        <f>P97</f>
        <v>-501957.68965517241</v>
      </c>
      <c r="S97" s="1011">
        <f>-551837</f>
        <v>-551837</v>
      </c>
      <c r="T97" s="1673">
        <f>R97</f>
        <v>-501957.68965517241</v>
      </c>
      <c r="U97" s="1011">
        <f>-719102</f>
        <v>-719102</v>
      </c>
      <c r="V97" s="1290">
        <f>T97</f>
        <v>-501957.68965517241</v>
      </c>
      <c r="W97" s="1254">
        <f>-774429</f>
        <v>-774429</v>
      </c>
      <c r="X97" s="1011">
        <f>V97</f>
        <v>-501957.68965517241</v>
      </c>
      <c r="Y97" s="1011">
        <f>-699530</f>
        <v>-699530</v>
      </c>
      <c r="Z97" s="1599">
        <f>X97</f>
        <v>-501957.68965517241</v>
      </c>
      <c r="AA97" s="1290">
        <f>-724529</f>
        <v>-724529</v>
      </c>
      <c r="AB97" s="2038">
        <f t="shared" si="46"/>
        <v>-5930561.2413793113</v>
      </c>
      <c r="AC97" s="2038">
        <f t="shared" si="46"/>
        <v>-7330877.4299999997</v>
      </c>
    </row>
    <row r="98" spans="1:30" ht="15">
      <c r="A98" s="96"/>
      <c r="B98" s="1753" t="s">
        <v>239</v>
      </c>
      <c r="C98" s="1552">
        <v>0</v>
      </c>
      <c r="D98" s="1289">
        <f t="shared" ref="D98:Z98" si="93">D97*$C$84</f>
        <v>0</v>
      </c>
      <c r="E98" s="1010">
        <f>E97*$C$84</f>
        <v>0</v>
      </c>
      <c r="F98" s="1289">
        <f t="shared" si="93"/>
        <v>0</v>
      </c>
      <c r="G98" s="1010">
        <f>G97*$C$84</f>
        <v>0</v>
      </c>
      <c r="H98" s="1289">
        <f t="shared" si="93"/>
        <v>0</v>
      </c>
      <c r="I98" s="1010">
        <f t="shared" si="93"/>
        <v>0</v>
      </c>
      <c r="J98" s="1289">
        <f t="shared" si="93"/>
        <v>0</v>
      </c>
      <c r="K98" s="1010">
        <f>K97*$C$84</f>
        <v>0</v>
      </c>
      <c r="L98" s="1289">
        <f t="shared" si="93"/>
        <v>0</v>
      </c>
      <c r="M98" s="1010">
        <f>M97*$C$84</f>
        <v>0</v>
      </c>
      <c r="N98" s="1289">
        <f t="shared" si="93"/>
        <v>0</v>
      </c>
      <c r="O98" s="1010">
        <f>O97*$C$84</f>
        <v>0</v>
      </c>
      <c r="P98" s="1289">
        <f t="shared" si="93"/>
        <v>0</v>
      </c>
      <c r="Q98" s="1253">
        <f>Q97*$C$84</f>
        <v>0</v>
      </c>
      <c r="R98" s="1010">
        <f t="shared" si="93"/>
        <v>0</v>
      </c>
      <c r="S98" s="1010">
        <f>S97*$C$84</f>
        <v>0</v>
      </c>
      <c r="T98" s="1672">
        <f t="shared" si="93"/>
        <v>0</v>
      </c>
      <c r="U98" s="1010">
        <f>U97*$C$84</f>
        <v>0</v>
      </c>
      <c r="V98" s="1289">
        <f t="shared" si="93"/>
        <v>0</v>
      </c>
      <c r="W98" s="1253">
        <f>W97*$C$84</f>
        <v>0</v>
      </c>
      <c r="X98" s="1010">
        <f t="shared" si="93"/>
        <v>0</v>
      </c>
      <c r="Y98" s="1010">
        <f t="shared" ref="Y98" si="94">Y97*$C$84</f>
        <v>0</v>
      </c>
      <c r="Z98" s="1598">
        <f t="shared" si="93"/>
        <v>0</v>
      </c>
      <c r="AA98" s="1289">
        <f t="shared" ref="AA98" si="95">AA97*$C$84</f>
        <v>0</v>
      </c>
      <c r="AB98" s="2038">
        <f t="shared" si="46"/>
        <v>0</v>
      </c>
      <c r="AC98" s="2038">
        <f t="shared" si="46"/>
        <v>0</v>
      </c>
    </row>
    <row r="99" spans="1:30" s="1024" customFormat="1" ht="15.75" customHeight="1">
      <c r="A99" s="1205"/>
      <c r="B99" s="1756" t="s">
        <v>171</v>
      </c>
      <c r="C99" s="1556">
        <v>1.0999999999999999E-2</v>
      </c>
      <c r="D99" s="1387">
        <f>-$C$99*D9</f>
        <v>-136652.05108424573</v>
      </c>
      <c r="E99" s="1714">
        <f>-154756.6</f>
        <v>-154756.6</v>
      </c>
      <c r="F99" s="1387">
        <f>-$C$99*F9</f>
        <v>-138934.40467929977</v>
      </c>
      <c r="G99" s="1714">
        <f>-284196.51</f>
        <v>-284196.51</v>
      </c>
      <c r="H99" s="1387">
        <f>-$C$99*H9</f>
        <v>-183955.78192128727</v>
      </c>
      <c r="I99" s="1714">
        <v>0</v>
      </c>
      <c r="J99" s="1387">
        <f t="shared" ref="J99:Z99" si="96">-$C$99*J9</f>
        <v>-175885.79137952699</v>
      </c>
      <c r="K99" s="1714">
        <f>-233712.74+50000</f>
        <v>-183712.74</v>
      </c>
      <c r="L99" s="1387">
        <f>-$C$99*L9</f>
        <v>-171439.3227005933</v>
      </c>
      <c r="M99" s="1714">
        <f>-166948-39914.02</f>
        <v>-206862.02</v>
      </c>
      <c r="N99" s="1387">
        <f t="shared" si="96"/>
        <v>-163625.78764081467</v>
      </c>
      <c r="O99" s="1714">
        <f>-188633.55</f>
        <v>-188633.55</v>
      </c>
      <c r="P99" s="1387">
        <f t="shared" si="96"/>
        <v>-174131.86252163581</v>
      </c>
      <c r="Q99" s="1388"/>
      <c r="R99" s="1714">
        <f t="shared" si="96"/>
        <v>-179887.07424132258</v>
      </c>
      <c r="S99" s="1714"/>
      <c r="T99" s="1689">
        <f t="shared" si="96"/>
        <v>-195815.98836023718</v>
      </c>
      <c r="U99" s="1714"/>
      <c r="V99" s="1387">
        <f t="shared" si="96"/>
        <v>-201990.41996326426</v>
      </c>
      <c r="W99" s="1388"/>
      <c r="X99" s="1714">
        <f t="shared" si="96"/>
        <v>-209117.89099820345</v>
      </c>
      <c r="Y99" s="1714"/>
      <c r="Z99" s="1610">
        <f t="shared" si="96"/>
        <v>-213039.37024953798</v>
      </c>
      <c r="AA99" s="1387"/>
      <c r="AB99" s="2038">
        <f t="shared" si="46"/>
        <v>-2144475.745739969</v>
      </c>
      <c r="AC99" s="2038">
        <f t="shared" si="46"/>
        <v>-1018161.4199999999</v>
      </c>
      <c r="AD99" s="2084"/>
    </row>
    <row r="100" spans="1:30" ht="15">
      <c r="A100" s="96"/>
      <c r="B100" s="98" t="s">
        <v>175</v>
      </c>
      <c r="C100" s="1557">
        <f>'База расходы'!K33</f>
        <v>39437.683333333334</v>
      </c>
      <c r="D100" s="1289">
        <f>-C100</f>
        <v>-39437.683333333334</v>
      </c>
      <c r="E100" s="1010">
        <f>-'База расходы'!M33</f>
        <v>-12061.66</v>
      </c>
      <c r="F100" s="1289">
        <f>D100</f>
        <v>-39437.683333333334</v>
      </c>
      <c r="G100" s="1010">
        <f>-'База расходы'!O33</f>
        <v>-11288.94</v>
      </c>
      <c r="H100" s="1289">
        <f>F100</f>
        <v>-39437.683333333334</v>
      </c>
      <c r="I100" s="1010">
        <f>-'База расходы'!Q33</f>
        <v>-13414.97</v>
      </c>
      <c r="J100" s="1289">
        <f>H100</f>
        <v>-39437.683333333334</v>
      </c>
      <c r="K100" s="1010">
        <f>-'База расходы'!S33</f>
        <v>-13389.71</v>
      </c>
      <c r="L100" s="1289">
        <f>J100</f>
        <v>-39437.683333333334</v>
      </c>
      <c r="M100" s="1010">
        <f>-'База расходы'!U33</f>
        <v>-20127.48</v>
      </c>
      <c r="N100" s="1289">
        <f>L100</f>
        <v>-39437.683333333334</v>
      </c>
      <c r="O100" s="1010">
        <f>-'База расходы'!W33</f>
        <v>-48356.26</v>
      </c>
      <c r="P100" s="1289">
        <f>N100</f>
        <v>-39437.683333333334</v>
      </c>
      <c r="Q100" s="1253">
        <f>-'База расходы'!Y33</f>
        <v>-10401.33</v>
      </c>
      <c r="R100" s="1010">
        <f>P100</f>
        <v>-39437.683333333334</v>
      </c>
      <c r="S100" s="1010">
        <f>-'База расходы'!AA33</f>
        <v>-23299.640000000003</v>
      </c>
      <c r="T100" s="1672">
        <f>R100</f>
        <v>-39437.683333333334</v>
      </c>
      <c r="U100" s="1010">
        <f>-'База расходы'!AC33</f>
        <v>-10468.210000000001</v>
      </c>
      <c r="V100" s="1289">
        <f>T100</f>
        <v>-39437.683333333334</v>
      </c>
      <c r="W100" s="1253">
        <f>-'База расходы'!AE33</f>
        <v>-11370.08</v>
      </c>
      <c r="X100" s="1010">
        <f>V100</f>
        <v>-39437.683333333334</v>
      </c>
      <c r="Y100" s="1010">
        <f>-'База расходы'!AG33</f>
        <v>-7579.0614285714291</v>
      </c>
      <c r="Z100" s="1598">
        <f>X100</f>
        <v>-39437.683333333334</v>
      </c>
      <c r="AA100" s="1289">
        <f>-'База расходы'!AI33</f>
        <v>-7249.011428571429</v>
      </c>
      <c r="AB100" s="2038">
        <f t="shared" si="46"/>
        <v>-473252.20000000013</v>
      </c>
      <c r="AC100" s="2038">
        <f t="shared" si="46"/>
        <v>-189006.35285714283</v>
      </c>
    </row>
    <row r="101" spans="1:30" s="31" customFormat="1" ht="15">
      <c r="A101" s="97"/>
      <c r="B101" s="1738" t="s">
        <v>182</v>
      </c>
      <c r="C101" s="1537"/>
      <c r="D101" s="1009"/>
      <c r="E101" s="797"/>
      <c r="F101" s="1009"/>
      <c r="G101" s="797"/>
      <c r="H101" s="1009"/>
      <c r="I101" s="797"/>
      <c r="J101" s="1009"/>
      <c r="K101" s="797"/>
      <c r="L101" s="1009"/>
      <c r="M101" s="797"/>
      <c r="N101" s="1009"/>
      <c r="O101" s="797"/>
      <c r="P101" s="1009"/>
      <c r="Q101" s="1267"/>
      <c r="R101" s="797"/>
      <c r="S101" s="797"/>
      <c r="T101" s="1687"/>
      <c r="U101" s="797"/>
      <c r="V101" s="1009"/>
      <c r="W101" s="1267"/>
      <c r="X101" s="797"/>
      <c r="Y101" s="797"/>
      <c r="Z101" s="1608"/>
      <c r="AA101" s="1009"/>
      <c r="AB101" s="2042"/>
      <c r="AC101" s="2042"/>
      <c r="AD101" s="2073"/>
    </row>
    <row r="102" spans="1:30" ht="15">
      <c r="A102" s="96"/>
      <c r="B102" s="98" t="s">
        <v>172</v>
      </c>
      <c r="C102" s="1555">
        <f>'База расходы зп'!V20</f>
        <v>753186.28735632182</v>
      </c>
      <c r="D102" s="1290">
        <f>-C102+'База расходы зп'!I20</f>
        <v>-579628.28735632182</v>
      </c>
      <c r="E102" s="1011">
        <f>-602134</f>
        <v>-602134</v>
      </c>
      <c r="F102" s="1290">
        <f>D102</f>
        <v>-579628.28735632182</v>
      </c>
      <c r="G102" s="1011">
        <f>-777845</f>
        <v>-777845</v>
      </c>
      <c r="H102" s="1290">
        <f>F102</f>
        <v>-579628.28735632182</v>
      </c>
      <c r="I102" s="1011">
        <f>-SUM('База расходы зп'!G351:H353)</f>
        <v>-369210.73386000004</v>
      </c>
      <c r="J102" s="1290">
        <f>H102</f>
        <v>-579628.28735632182</v>
      </c>
      <c r="K102" s="1011">
        <f>-198352-50000</f>
        <v>-248352</v>
      </c>
      <c r="L102" s="1290">
        <f>J102</f>
        <v>-579628.28735632182</v>
      </c>
      <c r="M102" s="1011">
        <f>-327718</f>
        <v>-327718</v>
      </c>
      <c r="N102" s="1290">
        <f>L102</f>
        <v>-579628.28735632182</v>
      </c>
      <c r="O102" s="1011">
        <f>-267276</f>
        <v>-267276</v>
      </c>
      <c r="P102" s="1290">
        <f>N102</f>
        <v>-579628.28735632182</v>
      </c>
      <c r="Q102" s="1254">
        <f>-512849</f>
        <v>-512849</v>
      </c>
      <c r="R102" s="1011">
        <f>P102</f>
        <v>-579628.28735632182</v>
      </c>
      <c r="S102" s="1011">
        <f>-295871</f>
        <v>-295871</v>
      </c>
      <c r="T102" s="1673">
        <f>R102</f>
        <v>-579628.28735632182</v>
      </c>
      <c r="U102" s="1011">
        <f>-183568</f>
        <v>-183568</v>
      </c>
      <c r="V102" s="1290">
        <f>T102</f>
        <v>-579628.28735632182</v>
      </c>
      <c r="W102" s="1254">
        <f>-193735</f>
        <v>-193735</v>
      </c>
      <c r="X102" s="1011">
        <f>V102</f>
        <v>-579628.28735632182</v>
      </c>
      <c r="Y102" s="1011">
        <f>-228939</f>
        <v>-228939</v>
      </c>
      <c r="Z102" s="1599">
        <f>X102</f>
        <v>-579628.28735632182</v>
      </c>
      <c r="AA102" s="1290">
        <f>-229612</f>
        <v>-229612</v>
      </c>
      <c r="AB102" s="2038">
        <f t="shared" si="46"/>
        <v>-6955539.4482758613</v>
      </c>
      <c r="AC102" s="2038">
        <f t="shared" si="46"/>
        <v>-4237109.73386</v>
      </c>
    </row>
    <row r="103" spans="1:30" ht="15">
      <c r="A103" s="96"/>
      <c r="B103" s="3" t="s">
        <v>12</v>
      </c>
      <c r="C103" s="1549">
        <v>1.2E-2</v>
      </c>
      <c r="D103" s="1289">
        <f>-C103*D9</f>
        <v>-149074.96481917717</v>
      </c>
      <c r="E103" s="1010">
        <f>-'База расходы'!M42+'База расходы'!L42</f>
        <v>-92286.410000000018</v>
      </c>
      <c r="F103" s="1289">
        <f>-$C$103*F9</f>
        <v>-151564.80510469069</v>
      </c>
      <c r="G103" s="1010">
        <f>-'База расходы'!O42</f>
        <v>-97507.4</v>
      </c>
      <c r="H103" s="1289">
        <f>-$C$103*H9</f>
        <v>-200679.03482322249</v>
      </c>
      <c r="I103" s="1010">
        <f>-'База расходы'!Q42</f>
        <v>-184149.33</v>
      </c>
      <c r="J103" s="1289">
        <f t="shared" ref="J103:Z103" si="97">-$C$103*J9</f>
        <v>-191875.40877766581</v>
      </c>
      <c r="K103" s="1010">
        <f>-'База расходы'!S42</f>
        <v>-125505.84999999999</v>
      </c>
      <c r="L103" s="1289">
        <f t="shared" si="97"/>
        <v>-187024.71567337451</v>
      </c>
      <c r="M103" s="1010">
        <f>-'База расходы'!U42</f>
        <v>-106595.61000000002</v>
      </c>
      <c r="N103" s="1289">
        <f t="shared" si="97"/>
        <v>-178500.85924452511</v>
      </c>
      <c r="O103" s="1010">
        <f>-'База расходы'!W42</f>
        <v>-112481.96</v>
      </c>
      <c r="P103" s="1289">
        <f t="shared" si="97"/>
        <v>-189962.03184178451</v>
      </c>
      <c r="Q103" s="1253">
        <f>-'База расходы'!Y42</f>
        <v>-167727.54</v>
      </c>
      <c r="R103" s="1010">
        <f t="shared" si="97"/>
        <v>-196240.44462689737</v>
      </c>
      <c r="S103" s="1010">
        <f>-'База расходы'!AA42</f>
        <v>-227290.68</v>
      </c>
      <c r="T103" s="1672">
        <f t="shared" si="97"/>
        <v>-213617.44184753147</v>
      </c>
      <c r="U103" s="1010">
        <f>-'База расходы'!AC42</f>
        <v>-103265.17</v>
      </c>
      <c r="V103" s="1289">
        <f t="shared" si="97"/>
        <v>-220353.18541447012</v>
      </c>
      <c r="W103" s="1253">
        <f>-'База расходы'!AE42</f>
        <v>-103132.98999999999</v>
      </c>
      <c r="X103" s="1010">
        <f t="shared" si="97"/>
        <v>-228128.60836167651</v>
      </c>
      <c r="Y103" s="1010">
        <f>-'База расходы'!AG42</f>
        <v>-116417.95</v>
      </c>
      <c r="Z103" s="1598">
        <f t="shared" si="97"/>
        <v>-232406.58572676874</v>
      </c>
      <c r="AA103" s="1289">
        <f>-'База расходы'!AI42</f>
        <v>-83019.31</v>
      </c>
      <c r="AB103" s="2038">
        <f t="shared" si="46"/>
        <v>-2339428.0862617847</v>
      </c>
      <c r="AC103" s="2038">
        <f t="shared" si="46"/>
        <v>-1519380.2</v>
      </c>
    </row>
    <row r="104" spans="1:30" ht="16.95" customHeight="1">
      <c r="A104" s="96"/>
      <c r="B104" s="98" t="s">
        <v>188</v>
      </c>
      <c r="C104" s="1557">
        <f>SUM('База расходы'!G42:G43)</f>
        <v>20034.5</v>
      </c>
      <c r="D104" s="1289">
        <f>-C104</f>
        <v>-20034.5</v>
      </c>
      <c r="E104" s="1010">
        <f>-'База расходы'!L42</f>
        <v>-5696.01</v>
      </c>
      <c r="F104" s="1289">
        <f>D104</f>
        <v>-20034.5</v>
      </c>
      <c r="G104" s="1010">
        <v>0</v>
      </c>
      <c r="H104" s="1289">
        <f>F104</f>
        <v>-20034.5</v>
      </c>
      <c r="I104" s="1010">
        <v>0</v>
      </c>
      <c r="J104" s="1289">
        <f t="shared" ref="J104:Q104" si="98">H104</f>
        <v>-20034.5</v>
      </c>
      <c r="K104" s="1010">
        <f t="shared" si="98"/>
        <v>0</v>
      </c>
      <c r="L104" s="1289">
        <f t="shared" si="98"/>
        <v>-20034.5</v>
      </c>
      <c r="M104" s="1010">
        <f t="shared" si="98"/>
        <v>0</v>
      </c>
      <c r="N104" s="1289">
        <f t="shared" si="98"/>
        <v>-20034.5</v>
      </c>
      <c r="O104" s="1010">
        <f t="shared" si="98"/>
        <v>0</v>
      </c>
      <c r="P104" s="1289">
        <f t="shared" si="98"/>
        <v>-20034.5</v>
      </c>
      <c r="Q104" s="1253">
        <f t="shared" si="98"/>
        <v>0</v>
      </c>
      <c r="R104" s="1010">
        <f t="shared" ref="R104:W104" si="99">P104</f>
        <v>-20034.5</v>
      </c>
      <c r="S104" s="1010">
        <f t="shared" si="99"/>
        <v>0</v>
      </c>
      <c r="T104" s="1672">
        <f t="shared" si="99"/>
        <v>-20034.5</v>
      </c>
      <c r="U104" s="1010">
        <f t="shared" si="99"/>
        <v>0</v>
      </c>
      <c r="V104" s="1289">
        <f t="shared" si="99"/>
        <v>-20034.5</v>
      </c>
      <c r="W104" s="1253">
        <f t="shared" si="99"/>
        <v>0</v>
      </c>
      <c r="X104" s="1010">
        <f>V104</f>
        <v>-20034.5</v>
      </c>
      <c r="Y104" s="1010">
        <f>W104</f>
        <v>0</v>
      </c>
      <c r="Z104" s="1598">
        <f>X104</f>
        <v>-20034.5</v>
      </c>
      <c r="AA104" s="1289">
        <f>Y104</f>
        <v>0</v>
      </c>
      <c r="AB104" s="2038">
        <f t="shared" si="46"/>
        <v>-240414</v>
      </c>
      <c r="AC104" s="2038">
        <f t="shared" si="46"/>
        <v>-5696.01</v>
      </c>
    </row>
    <row r="105" spans="1:30" s="1729" customFormat="1" ht="17.399999999999999">
      <c r="A105" s="1372"/>
      <c r="B105" s="38" t="s">
        <v>13</v>
      </c>
      <c r="C105" s="1546"/>
      <c r="D105" s="1281">
        <f t="shared" ref="D105:Z105" si="100">D70+D73</f>
        <v>1737405.2404101212</v>
      </c>
      <c r="E105" s="796">
        <f t="shared" si="100"/>
        <v>-677610.24690476153</v>
      </c>
      <c r="F105" s="1281">
        <f t="shared" si="100"/>
        <v>1599139.3196701463</v>
      </c>
      <c r="G105" s="796">
        <f t="shared" si="100"/>
        <v>554260.71857142635</v>
      </c>
      <c r="H105" s="1281">
        <f t="shared" si="100"/>
        <v>5577611.3787141107</v>
      </c>
      <c r="I105" s="796">
        <f t="shared" si="100"/>
        <v>-112883.38981047645</v>
      </c>
      <c r="J105" s="1281">
        <f t="shared" si="100"/>
        <v>4863784.1663230509</v>
      </c>
      <c r="K105" s="796">
        <f t="shared" si="100"/>
        <v>264887.90857142676</v>
      </c>
      <c r="L105" s="1281">
        <f t="shared" si="100"/>
        <v>4175473.8004500987</v>
      </c>
      <c r="M105" s="796">
        <f t="shared" si="100"/>
        <v>733529.6438095225</v>
      </c>
      <c r="N105" s="1281">
        <f t="shared" si="100"/>
        <v>3779331.1083442271</v>
      </c>
      <c r="O105" s="796">
        <f>O70+O73</f>
        <v>293647.7266666647</v>
      </c>
      <c r="P105" s="1281">
        <f t="shared" si="100"/>
        <v>4788641.1864386778</v>
      </c>
      <c r="Q105" s="1263">
        <f>Q70+Q73</f>
        <v>399827.18761904724</v>
      </c>
      <c r="R105" s="796">
        <f t="shared" si="100"/>
        <v>5297715.8230982441</v>
      </c>
      <c r="S105" s="796">
        <f>S70+S73</f>
        <v>-659587.00428571459</v>
      </c>
      <c r="T105" s="1683">
        <f t="shared" si="100"/>
        <v>5806252.7432127576</v>
      </c>
      <c r="U105" s="796">
        <f>U70+U73</f>
        <v>930032.72476190422</v>
      </c>
      <c r="V105" s="1281">
        <f t="shared" si="100"/>
        <v>6184184.1330920588</v>
      </c>
      <c r="W105" s="1263">
        <f>W70+W73</f>
        <v>824210.67571428604</v>
      </c>
      <c r="X105" s="796">
        <f t="shared" si="100"/>
        <v>6095727.4736538101</v>
      </c>
      <c r="Y105" s="796">
        <f t="shared" ref="Y105" si="101">Y70+Y73</f>
        <v>811031.56738095265</v>
      </c>
      <c r="Z105" s="1606">
        <f t="shared" si="100"/>
        <v>6212793.2485544588</v>
      </c>
      <c r="AA105" s="1281">
        <f>AA70+AA73</f>
        <v>5246391.1699999981</v>
      </c>
      <c r="AB105" s="1281">
        <f t="shared" ref="AB105:AC105" si="102">AB70+AB73</f>
        <v>56118059.621961787</v>
      </c>
      <c r="AC105" s="2085">
        <f>AC70+AC73</f>
        <v>8607738.6820942834</v>
      </c>
      <c r="AD105" s="2081"/>
    </row>
    <row r="106" spans="1:30" ht="15">
      <c r="A106" s="1377"/>
      <c r="B106" s="2" t="s">
        <v>14</v>
      </c>
      <c r="C106" s="1558"/>
      <c r="D106" s="1300">
        <f t="shared" ref="D106:Z106" si="103">D105/D9</f>
        <v>0.13985489052578623</v>
      </c>
      <c r="E106" s="798">
        <f t="shared" si="103"/>
        <v>-7.0335650329032273E-2</v>
      </c>
      <c r="F106" s="1300">
        <f t="shared" si="103"/>
        <v>0.12661034217532779</v>
      </c>
      <c r="G106" s="798">
        <f t="shared" si="103"/>
        <v>4.8227380193658131E-2</v>
      </c>
      <c r="H106" s="1300">
        <f t="shared" si="103"/>
        <v>0.33352430961973145</v>
      </c>
      <c r="I106" s="798">
        <f t="shared" si="103"/>
        <v>-1.0455102696607868E-2</v>
      </c>
      <c r="J106" s="1300">
        <f t="shared" si="103"/>
        <v>0.30418389916504146</v>
      </c>
      <c r="K106" s="798">
        <f t="shared" si="103"/>
        <v>2.2949194002002855E-2</v>
      </c>
      <c r="L106" s="1300">
        <f t="shared" si="103"/>
        <v>0.2679094333869072</v>
      </c>
      <c r="M106" s="798">
        <f t="shared" si="103"/>
        <v>6.1338954814551531E-2</v>
      </c>
      <c r="N106" s="1300">
        <f t="shared" si="103"/>
        <v>0.25407145653009922</v>
      </c>
      <c r="O106" s="798">
        <f t="shared" si="103"/>
        <v>2.8031826001127795E-2</v>
      </c>
      <c r="P106" s="1300">
        <f t="shared" si="103"/>
        <v>0.30250094547906536</v>
      </c>
      <c r="Q106" s="1269">
        <f>Q105/Q9</f>
        <v>3.5856255734172886E-2</v>
      </c>
      <c r="R106" s="798">
        <f t="shared" si="103"/>
        <v>0.32395253688935771</v>
      </c>
      <c r="S106" s="798">
        <f>S105/S9</f>
        <v>-6.355114522397079E-2</v>
      </c>
      <c r="T106" s="1690">
        <f t="shared" si="103"/>
        <v>0.32616734062513181</v>
      </c>
      <c r="U106" s="798">
        <f>U105/U9</f>
        <v>8.1227056502061246E-2</v>
      </c>
      <c r="V106" s="1300">
        <f t="shared" si="103"/>
        <v>0.33677847432756686</v>
      </c>
      <c r="W106" s="1269">
        <f>W105/W9</f>
        <v>6.9302089126146382E-2</v>
      </c>
      <c r="X106" s="798">
        <f t="shared" si="103"/>
        <v>0.32064689391290752</v>
      </c>
      <c r="Y106" s="798">
        <f t="shared" ref="Y106" si="104">Y105/Y9</f>
        <v>6.9930289206472054E-2</v>
      </c>
      <c r="Z106" s="946">
        <f t="shared" si="103"/>
        <v>0.32078918396186562</v>
      </c>
      <c r="AA106" s="1300">
        <f t="shared" ref="AA106:AC106" si="105">AA105/AA9</f>
        <v>0.31968915953204963</v>
      </c>
      <c r="AB106" s="1300">
        <f t="shared" si="105"/>
        <v>0.28785527514958004</v>
      </c>
      <c r="AC106" s="2086">
        <f t="shared" si="105"/>
        <v>6.2023818722459996E-2</v>
      </c>
    </row>
    <row r="107" spans="1:30" ht="15">
      <c r="A107" s="96"/>
      <c r="B107" s="3"/>
      <c r="C107" s="1536"/>
      <c r="D107" s="96"/>
      <c r="E107" s="3"/>
      <c r="F107" s="96"/>
      <c r="G107" s="3"/>
      <c r="H107" s="96"/>
      <c r="I107" s="3"/>
      <c r="J107" s="96"/>
      <c r="K107" s="3"/>
      <c r="L107" s="96"/>
      <c r="M107" s="3"/>
      <c r="N107" s="96"/>
      <c r="O107" s="3"/>
      <c r="P107" s="96"/>
      <c r="Q107" s="1265"/>
      <c r="R107" s="3"/>
      <c r="S107" s="3"/>
      <c r="T107" s="1685"/>
      <c r="U107" s="3"/>
      <c r="V107" s="96"/>
      <c r="W107" s="1265"/>
      <c r="X107" s="3"/>
      <c r="Y107" s="3"/>
      <c r="Z107" s="1569"/>
      <c r="AA107" s="96"/>
      <c r="AB107" s="2043"/>
      <c r="AC107" s="2044"/>
    </row>
    <row r="108" spans="1:30" ht="15">
      <c r="A108" s="96"/>
      <c r="B108" s="3" t="s">
        <v>15</v>
      </c>
      <c r="C108" s="1559">
        <v>1.2E-2</v>
      </c>
      <c r="D108" s="1289">
        <f t="shared" ref="D108:Z108" si="106">-D9*$C$108</f>
        <v>-149074.96481917717</v>
      </c>
      <c r="E108" s="1010">
        <f t="shared" si="106"/>
        <v>-115607.41849714286</v>
      </c>
      <c r="F108" s="1289">
        <f t="shared" si="106"/>
        <v>-151564.80510469069</v>
      </c>
      <c r="G108" s="1010">
        <f t="shared" si="106"/>
        <v>-137911.87902285712</v>
      </c>
      <c r="H108" s="1289">
        <f t="shared" si="106"/>
        <v>-200679.03482322249</v>
      </c>
      <c r="I108" s="1010">
        <f t="shared" si="106"/>
        <v>-129563.59368571428</v>
      </c>
      <c r="J108" s="1289">
        <f t="shared" si="106"/>
        <v>-191875.40877766581</v>
      </c>
      <c r="K108" s="1010">
        <f t="shared" si="106"/>
        <v>-138508.34598285714</v>
      </c>
      <c r="L108" s="1289">
        <f t="shared" si="106"/>
        <v>-187024.71567337451</v>
      </c>
      <c r="M108" s="1010">
        <f t="shared" si="106"/>
        <v>-143503.51668571428</v>
      </c>
      <c r="N108" s="1289">
        <f t="shared" si="106"/>
        <v>-178500.85924452511</v>
      </c>
      <c r="O108" s="1010">
        <f>-O9*$C$108</f>
        <v>-125706.14271999997</v>
      </c>
      <c r="P108" s="1289">
        <f t="shared" si="106"/>
        <v>-189962.03184178451</v>
      </c>
      <c r="Q108" s="1253">
        <f>-Q9*$C$108</f>
        <v>-133810.01873142857</v>
      </c>
      <c r="R108" s="1010">
        <f t="shared" si="106"/>
        <v>-196240.44462689737</v>
      </c>
      <c r="S108" s="1010">
        <f>-S9*$C$108</f>
        <v>-124546.04906857143</v>
      </c>
      <c r="T108" s="1672">
        <f t="shared" si="106"/>
        <v>-213617.44184753147</v>
      </c>
      <c r="U108" s="1010">
        <f>-U9*$C$108</f>
        <v>-137397.47785714286</v>
      </c>
      <c r="V108" s="1289">
        <f t="shared" si="106"/>
        <v>-220353.18541447012</v>
      </c>
      <c r="W108" s="1253">
        <f>-W9*$C$108</f>
        <v>-142716.16098857144</v>
      </c>
      <c r="X108" s="1010">
        <f t="shared" si="106"/>
        <v>-228128.60836167651</v>
      </c>
      <c r="Y108" s="1010">
        <f t="shared" ref="Y108" si="107">-Y9*$C$108</f>
        <v>-139172.58056571431</v>
      </c>
      <c r="Z108" s="1598">
        <f t="shared" si="106"/>
        <v>-232406.58572676874</v>
      </c>
      <c r="AA108" s="1289">
        <f t="shared" ref="AA108:AC108" si="108">-AA9*$C$108</f>
        <v>-196930.96297714286</v>
      </c>
      <c r="AB108" s="1289">
        <f t="shared" si="108"/>
        <v>-2339428.0862617842</v>
      </c>
      <c r="AC108" s="1610">
        <f t="shared" si="108"/>
        <v>-1665374.1467828569</v>
      </c>
    </row>
    <row r="109" spans="1:30" ht="15">
      <c r="A109" s="96"/>
      <c r="B109" s="973" t="s">
        <v>1126</v>
      </c>
      <c r="C109" s="1559"/>
      <c r="D109" s="1289"/>
      <c r="E109" s="1010"/>
      <c r="F109" s="1289"/>
      <c r="G109" s="1010"/>
      <c r="H109" s="1289"/>
      <c r="I109" s="1010"/>
      <c r="J109" s="1289"/>
      <c r="K109" s="1010"/>
      <c r="L109" s="1289"/>
      <c r="M109" s="1010"/>
      <c r="N109" s="1289"/>
      <c r="O109" s="1010"/>
      <c r="P109" s="1289"/>
      <c r="Q109" s="1253">
        <f>-Q8</f>
        <v>-565315.09</v>
      </c>
      <c r="R109" s="1010"/>
      <c r="S109" s="1010"/>
      <c r="T109" s="1672"/>
      <c r="U109" s="1010"/>
      <c r="V109" s="1289"/>
      <c r="W109" s="1253"/>
      <c r="X109" s="1010"/>
      <c r="Y109" s="1010"/>
      <c r="Z109" s="1598"/>
      <c r="AA109" s="1289"/>
      <c r="AB109" s="1534"/>
    </row>
    <row r="110" spans="1:30" ht="15">
      <c r="A110" s="96"/>
      <c r="B110" s="3" t="s">
        <v>16</v>
      </c>
      <c r="C110" s="1545">
        <v>0</v>
      </c>
      <c r="D110" s="1289">
        <f t="shared" ref="D110:AC110" si="109">-$C110</f>
        <v>0</v>
      </c>
      <c r="E110" s="1010">
        <f t="shared" si="109"/>
        <v>0</v>
      </c>
      <c r="F110" s="1289">
        <f t="shared" si="109"/>
        <v>0</v>
      </c>
      <c r="G110" s="1010">
        <f t="shared" si="109"/>
        <v>0</v>
      </c>
      <c r="H110" s="1289">
        <f t="shared" si="109"/>
        <v>0</v>
      </c>
      <c r="I110" s="1010">
        <f t="shared" si="109"/>
        <v>0</v>
      </c>
      <c r="J110" s="1289">
        <f t="shared" si="109"/>
        <v>0</v>
      </c>
      <c r="K110" s="1010">
        <f t="shared" si="109"/>
        <v>0</v>
      </c>
      <c r="L110" s="1289">
        <f t="shared" si="109"/>
        <v>0</v>
      </c>
      <c r="M110" s="1010">
        <f t="shared" si="109"/>
        <v>0</v>
      </c>
      <c r="N110" s="1289">
        <f t="shared" si="109"/>
        <v>0</v>
      </c>
      <c r="O110" s="1010">
        <f t="shared" si="109"/>
        <v>0</v>
      </c>
      <c r="P110" s="1289">
        <f t="shared" si="109"/>
        <v>0</v>
      </c>
      <c r="Q110" s="1253">
        <f t="shared" si="109"/>
        <v>0</v>
      </c>
      <c r="R110" s="1010">
        <f t="shared" si="109"/>
        <v>0</v>
      </c>
      <c r="S110" s="1010">
        <f t="shared" si="109"/>
        <v>0</v>
      </c>
      <c r="T110" s="1672">
        <f t="shared" si="109"/>
        <v>0</v>
      </c>
      <c r="U110" s="1010">
        <f t="shared" si="109"/>
        <v>0</v>
      </c>
      <c r="V110" s="1289">
        <f t="shared" si="109"/>
        <v>0</v>
      </c>
      <c r="W110" s="1253">
        <f t="shared" si="109"/>
        <v>0</v>
      </c>
      <c r="X110" s="1010">
        <f t="shared" si="109"/>
        <v>0</v>
      </c>
      <c r="Y110" s="1010">
        <f t="shared" si="109"/>
        <v>0</v>
      </c>
      <c r="Z110" s="1598">
        <f t="shared" si="109"/>
        <v>0</v>
      </c>
      <c r="AA110" s="1289">
        <f t="shared" si="109"/>
        <v>0</v>
      </c>
      <c r="AB110" s="1289">
        <f t="shared" si="109"/>
        <v>0</v>
      </c>
      <c r="AC110" s="1610">
        <f t="shared" si="109"/>
        <v>0</v>
      </c>
    </row>
    <row r="111" spans="1:30" ht="15">
      <c r="A111" s="96"/>
      <c r="B111" s="3" t="s">
        <v>17</v>
      </c>
      <c r="C111" s="1545">
        <v>0</v>
      </c>
      <c r="D111" s="1289">
        <f t="shared" ref="D111:AA111" si="110">-$C111</f>
        <v>0</v>
      </c>
      <c r="E111" s="1010">
        <f t="shared" si="110"/>
        <v>0</v>
      </c>
      <c r="F111" s="1289">
        <f t="shared" si="110"/>
        <v>0</v>
      </c>
      <c r="G111" s="1010">
        <f t="shared" si="110"/>
        <v>0</v>
      </c>
      <c r="H111" s="1289">
        <f t="shared" si="110"/>
        <v>0</v>
      </c>
      <c r="I111" s="1010">
        <f t="shared" si="110"/>
        <v>0</v>
      </c>
      <c r="J111" s="1289">
        <f t="shared" si="110"/>
        <v>0</v>
      </c>
      <c r="K111" s="1010">
        <f t="shared" si="110"/>
        <v>0</v>
      </c>
      <c r="L111" s="1289">
        <f t="shared" si="110"/>
        <v>0</v>
      </c>
      <c r="M111" s="1010">
        <f t="shared" si="110"/>
        <v>0</v>
      </c>
      <c r="N111" s="1289">
        <f t="shared" si="110"/>
        <v>0</v>
      </c>
      <c r="O111" s="1010">
        <f t="shared" si="110"/>
        <v>0</v>
      </c>
      <c r="P111" s="1289">
        <f t="shared" si="110"/>
        <v>0</v>
      </c>
      <c r="Q111" s="1253">
        <f t="shared" si="110"/>
        <v>0</v>
      </c>
      <c r="R111" s="1010">
        <f t="shared" si="110"/>
        <v>0</v>
      </c>
      <c r="S111" s="1010">
        <f t="shared" si="110"/>
        <v>0</v>
      </c>
      <c r="T111" s="1672">
        <f t="shared" si="110"/>
        <v>0</v>
      </c>
      <c r="U111" s="1010">
        <f t="shared" si="110"/>
        <v>0</v>
      </c>
      <c r="V111" s="1289">
        <f t="shared" si="110"/>
        <v>0</v>
      </c>
      <c r="W111" s="1253">
        <f t="shared" si="110"/>
        <v>0</v>
      </c>
      <c r="X111" s="1010">
        <f t="shared" si="110"/>
        <v>0</v>
      </c>
      <c r="Y111" s="1010">
        <f t="shared" si="110"/>
        <v>0</v>
      </c>
      <c r="Z111" s="1598">
        <f t="shared" si="110"/>
        <v>0</v>
      </c>
      <c r="AA111" s="1289">
        <f t="shared" si="110"/>
        <v>0</v>
      </c>
    </row>
    <row r="112" spans="1:30" s="1729" customFormat="1" ht="17.399999999999999">
      <c r="A112" s="1378"/>
      <c r="B112" s="38" t="s">
        <v>18</v>
      </c>
      <c r="C112" s="1546"/>
      <c r="D112" s="1281">
        <f>D105+D108+D110+D111</f>
        <v>1588330.2755909441</v>
      </c>
      <c r="E112" s="796">
        <f>E105+E108+E110+E111</f>
        <v>-793217.66540190438</v>
      </c>
      <c r="F112" s="1281">
        <f t="shared" ref="F112:X112" si="111">F105+F108+F110+F111</f>
        <v>1447574.5145654557</v>
      </c>
      <c r="G112" s="796">
        <f>G105+G108+G110+G111</f>
        <v>416348.83954856923</v>
      </c>
      <c r="H112" s="1281">
        <f t="shared" si="111"/>
        <v>5376932.3438908886</v>
      </c>
      <c r="I112" s="796">
        <f t="shared" si="111"/>
        <v>-242446.98349619075</v>
      </c>
      <c r="J112" s="1281">
        <f t="shared" si="111"/>
        <v>4671908.7575453855</v>
      </c>
      <c r="K112" s="796">
        <f>K105+K108+K110+K111</f>
        <v>126379.56258856962</v>
      </c>
      <c r="L112" s="1281">
        <f t="shared" si="111"/>
        <v>3988449.0847767242</v>
      </c>
      <c r="M112" s="796">
        <f>M105+M108+M110+M111</f>
        <v>590026.12712380826</v>
      </c>
      <c r="N112" s="1281">
        <f t="shared" si="111"/>
        <v>3600830.2490997021</v>
      </c>
      <c r="O112" s="796">
        <f>O105+O108+O110+O111</f>
        <v>167941.58394666473</v>
      </c>
      <c r="P112" s="1281">
        <f t="shared" si="111"/>
        <v>4598679.1545968931</v>
      </c>
      <c r="Q112" s="1263">
        <f>Q105+Q108+Q110+Q111</f>
        <v>266017.1688876187</v>
      </c>
      <c r="R112" s="796">
        <f t="shared" si="111"/>
        <v>5101475.3784713466</v>
      </c>
      <c r="S112" s="796">
        <f>S105+S108+S110+S111</f>
        <v>-784133.05335428601</v>
      </c>
      <c r="T112" s="1683">
        <f t="shared" si="111"/>
        <v>5592635.3013652265</v>
      </c>
      <c r="U112" s="796">
        <f>U105+U108+U110+U111</f>
        <v>792635.2469047613</v>
      </c>
      <c r="V112" s="1281">
        <f t="shared" si="111"/>
        <v>5963830.947677589</v>
      </c>
      <c r="W112" s="1263">
        <f>W105+W108+W110+W111</f>
        <v>681494.51472571457</v>
      </c>
      <c r="X112" s="796">
        <f t="shared" si="111"/>
        <v>5867598.8652921338</v>
      </c>
      <c r="Y112" s="796">
        <f t="shared" ref="Y112" si="112">Y105+Y108+Y110+Y111</f>
        <v>671858.98681523837</v>
      </c>
      <c r="Z112" s="1606">
        <f>Z105+Z108+Z110+Z111</f>
        <v>5980386.6628276901</v>
      </c>
      <c r="AA112" s="1281">
        <f>AA105+AA108+AA110+AA111</f>
        <v>5049460.2070228551</v>
      </c>
      <c r="AB112" s="1281">
        <f>AB105+AB108+AB110+AB111</f>
        <v>53778631.535700001</v>
      </c>
      <c r="AC112" s="2085">
        <f>AC105+AC108+AC110+AC111</f>
        <v>6942364.535311427</v>
      </c>
      <c r="AD112" s="2081"/>
    </row>
    <row r="113" spans="1:31" ht="15">
      <c r="A113" s="1377"/>
      <c r="B113" s="2" t="s">
        <v>19</v>
      </c>
      <c r="C113" s="1558"/>
      <c r="D113" s="1300">
        <f t="shared" ref="D113:Z113" si="113">D112/D9</f>
        <v>0.12785489052578622</v>
      </c>
      <c r="E113" s="798">
        <f t="shared" si="113"/>
        <v>-8.233565032903227E-2</v>
      </c>
      <c r="F113" s="1300">
        <f t="shared" si="113"/>
        <v>0.1146103421753278</v>
      </c>
      <c r="G113" s="798">
        <f t="shared" si="113"/>
        <v>3.6227380193658135E-2</v>
      </c>
      <c r="H113" s="1300">
        <f t="shared" si="113"/>
        <v>0.32152430961973144</v>
      </c>
      <c r="I113" s="798">
        <f t="shared" si="113"/>
        <v>-2.245510269660787E-2</v>
      </c>
      <c r="J113" s="1300">
        <f t="shared" si="113"/>
        <v>0.29218389916504151</v>
      </c>
      <c r="K113" s="798">
        <f t="shared" si="113"/>
        <v>1.0949194002002855E-2</v>
      </c>
      <c r="L113" s="1300">
        <f t="shared" si="113"/>
        <v>0.25590943338690719</v>
      </c>
      <c r="M113" s="798">
        <f t="shared" si="113"/>
        <v>4.9338954814551535E-2</v>
      </c>
      <c r="N113" s="1300">
        <f t="shared" si="113"/>
        <v>0.24207145653009926</v>
      </c>
      <c r="O113" s="798">
        <f t="shared" si="113"/>
        <v>1.6031826001127795E-2</v>
      </c>
      <c r="P113" s="1300">
        <f t="shared" si="113"/>
        <v>0.29050094547906535</v>
      </c>
      <c r="Q113" s="1269">
        <f>Q112/Q9</f>
        <v>2.3856255734172889E-2</v>
      </c>
      <c r="R113" s="798">
        <f t="shared" si="113"/>
        <v>0.3119525368893577</v>
      </c>
      <c r="S113" s="798">
        <f>S112/S9</f>
        <v>-7.5551145223970786E-2</v>
      </c>
      <c r="T113" s="1690">
        <f t="shared" si="113"/>
        <v>0.31416734062513185</v>
      </c>
      <c r="U113" s="798">
        <f>U112/U9</f>
        <v>6.9227056502061235E-2</v>
      </c>
      <c r="V113" s="1300">
        <f t="shared" si="113"/>
        <v>0.3247784743275669</v>
      </c>
      <c r="W113" s="1269">
        <f>W112/W9</f>
        <v>5.7302089126146379E-2</v>
      </c>
      <c r="X113" s="798">
        <f t="shared" si="113"/>
        <v>0.30864689391290756</v>
      </c>
      <c r="Y113" s="798">
        <f t="shared" ref="Y113" si="114">Y112/Y9</f>
        <v>5.7930289206472051E-2</v>
      </c>
      <c r="Z113" s="946">
        <f t="shared" si="113"/>
        <v>0.30878918396186561</v>
      </c>
      <c r="AA113" s="1300">
        <f t="shared" ref="AA113:AC113" si="115">AA112/AA9</f>
        <v>0.30768915953204962</v>
      </c>
      <c r="AB113" s="1300">
        <f t="shared" si="115"/>
        <v>0.27585527514958003</v>
      </c>
      <c r="AC113" s="1300">
        <f t="shared" si="115"/>
        <v>5.0023818722459999E-2</v>
      </c>
    </row>
    <row r="114" spans="1:31" ht="15">
      <c r="A114" s="1377"/>
      <c r="B114" s="2" t="s">
        <v>20</v>
      </c>
      <c r="C114" s="1558"/>
      <c r="D114" s="1301">
        <f>D112</f>
        <v>1588330.2755909441</v>
      </c>
      <c r="E114" s="1715">
        <f>E112</f>
        <v>-793217.66540190438</v>
      </c>
      <c r="F114" s="1301">
        <f t="shared" ref="F114:M114" si="116">D114+F112</f>
        <v>3035904.7901563998</v>
      </c>
      <c r="G114" s="1715">
        <f t="shared" si="116"/>
        <v>-376868.82585333515</v>
      </c>
      <c r="H114" s="1301">
        <f t="shared" si="116"/>
        <v>8412837.1340472884</v>
      </c>
      <c r="I114" s="1715">
        <f t="shared" si="116"/>
        <v>-619315.80934952595</v>
      </c>
      <c r="J114" s="1301">
        <f t="shared" si="116"/>
        <v>13084745.891592674</v>
      </c>
      <c r="K114" s="1715">
        <f t="shared" si="116"/>
        <v>-492936.24676095636</v>
      </c>
      <c r="L114" s="1301">
        <f t="shared" si="116"/>
        <v>17073194.9763694</v>
      </c>
      <c r="M114" s="1715">
        <f t="shared" si="116"/>
        <v>97089.880362851894</v>
      </c>
      <c r="N114" s="1301">
        <f t="shared" ref="N114:U114" si="117">L114+N112</f>
        <v>20674025.225469101</v>
      </c>
      <c r="O114" s="1715">
        <f t="shared" si="117"/>
        <v>265031.4643095166</v>
      </c>
      <c r="P114" s="1301">
        <f t="shared" si="117"/>
        <v>25272704.380065992</v>
      </c>
      <c r="Q114" s="1270">
        <f t="shared" si="117"/>
        <v>531048.63319713529</v>
      </c>
      <c r="R114" s="1715">
        <f t="shared" si="117"/>
        <v>30374179.758537337</v>
      </c>
      <c r="S114" s="1715">
        <f t="shared" si="117"/>
        <v>-253084.42015715071</v>
      </c>
      <c r="T114" s="1691">
        <f t="shared" si="117"/>
        <v>35966815.059902564</v>
      </c>
      <c r="U114" s="1715">
        <f t="shared" si="117"/>
        <v>539550.82674761058</v>
      </c>
      <c r="V114" s="1301">
        <f>T114+V112</f>
        <v>41930646.007580154</v>
      </c>
      <c r="W114" s="1270">
        <f>U114+W112</f>
        <v>1221045.3414733252</v>
      </c>
      <c r="X114" s="1715">
        <f>V114+X112</f>
        <v>47798244.872872286</v>
      </c>
      <c r="Y114" s="1715">
        <f>W114+Y112</f>
        <v>1892904.3282885635</v>
      </c>
      <c r="Z114" s="1611">
        <f>X114+Z112</f>
        <v>53778631.535699978</v>
      </c>
      <c r="AA114" s="1301">
        <f>Y114+AA112</f>
        <v>6942364.5353114186</v>
      </c>
      <c r="AB114" s="1534">
        <f>Z114</f>
        <v>53778631.535699978</v>
      </c>
    </row>
    <row r="115" spans="1:31" ht="15">
      <c r="A115" s="96"/>
      <c r="B115" s="3"/>
      <c r="C115" s="1536"/>
      <c r="D115" s="96"/>
      <c r="E115" s="3"/>
      <c r="F115" s="96"/>
      <c r="G115" s="3"/>
      <c r="H115" s="96"/>
      <c r="I115" s="3"/>
      <c r="J115" s="96"/>
      <c r="K115" s="3"/>
      <c r="L115" s="96"/>
      <c r="M115" s="3"/>
      <c r="N115" s="96"/>
      <c r="O115" s="3"/>
      <c r="P115" s="96"/>
      <c r="Q115" s="1265"/>
      <c r="R115" s="3"/>
      <c r="S115" s="3"/>
      <c r="T115" s="1685"/>
      <c r="U115" s="3"/>
      <c r="V115" s="96"/>
      <c r="W115" s="1265"/>
      <c r="X115" s="3"/>
      <c r="Y115" s="3"/>
      <c r="Z115" s="1569"/>
      <c r="AA115" s="96"/>
    </row>
    <row r="116" spans="1:31" s="1729" customFormat="1" ht="17.399999999999999">
      <c r="A116" s="1378"/>
      <c r="B116" s="38" t="s">
        <v>211</v>
      </c>
      <c r="C116" s="1546"/>
      <c r="D116" s="1281">
        <f>D112</f>
        <v>1588330.2755909441</v>
      </c>
      <c r="E116" s="796">
        <f>E112</f>
        <v>-793217.66540190438</v>
      </c>
      <c r="F116" s="1281">
        <f t="shared" ref="F116:X116" si="118">F112</f>
        <v>1447574.5145654557</v>
      </c>
      <c r="G116" s="796">
        <f>G112</f>
        <v>416348.83954856923</v>
      </c>
      <c r="H116" s="1281">
        <f t="shared" si="118"/>
        <v>5376932.3438908886</v>
      </c>
      <c r="I116" s="796">
        <f t="shared" si="118"/>
        <v>-242446.98349619075</v>
      </c>
      <c r="J116" s="1281">
        <f t="shared" si="118"/>
        <v>4671908.7575453855</v>
      </c>
      <c r="K116" s="796">
        <f>K112</f>
        <v>126379.56258856962</v>
      </c>
      <c r="L116" s="1281">
        <f t="shared" si="118"/>
        <v>3988449.0847767242</v>
      </c>
      <c r="M116" s="796">
        <f>M112</f>
        <v>590026.12712380826</v>
      </c>
      <c r="N116" s="1281">
        <f t="shared" si="118"/>
        <v>3600830.2490997021</v>
      </c>
      <c r="O116" s="796">
        <f>O112</f>
        <v>167941.58394666473</v>
      </c>
      <c r="P116" s="1281">
        <f t="shared" si="118"/>
        <v>4598679.1545968931</v>
      </c>
      <c r="Q116" s="1263">
        <f>Q112</f>
        <v>266017.1688876187</v>
      </c>
      <c r="R116" s="796">
        <f t="shared" si="118"/>
        <v>5101475.3784713466</v>
      </c>
      <c r="S116" s="796">
        <f>S112</f>
        <v>-784133.05335428601</v>
      </c>
      <c r="T116" s="1683">
        <f t="shared" si="118"/>
        <v>5592635.3013652265</v>
      </c>
      <c r="U116" s="796">
        <f>U112</f>
        <v>792635.2469047613</v>
      </c>
      <c r="V116" s="1281">
        <f t="shared" si="118"/>
        <v>5963830.947677589</v>
      </c>
      <c r="W116" s="1263">
        <f>W112</f>
        <v>681494.51472571457</v>
      </c>
      <c r="X116" s="796">
        <f t="shared" si="118"/>
        <v>5867598.8652921338</v>
      </c>
      <c r="Y116" s="796">
        <f t="shared" ref="Y116" si="119">Y112</f>
        <v>671858.98681523837</v>
      </c>
      <c r="Z116" s="1606">
        <f>Z112</f>
        <v>5980386.6628276901</v>
      </c>
      <c r="AA116" s="1281">
        <f>AA112</f>
        <v>5049460.2070228551</v>
      </c>
      <c r="AB116" s="1281">
        <f t="shared" ref="AB116:AC116" si="120">AB112</f>
        <v>53778631.535700001</v>
      </c>
      <c r="AC116" s="2085">
        <f t="shared" si="120"/>
        <v>6942364.535311427</v>
      </c>
      <c r="AD116" s="2081"/>
    </row>
    <row r="117" spans="1:31" s="31" customFormat="1" ht="17.399999999999999">
      <c r="A117" s="1379"/>
      <c r="B117" s="67" t="s">
        <v>212</v>
      </c>
      <c r="C117" s="1560"/>
      <c r="D117" s="1302"/>
      <c r="E117" s="1716"/>
      <c r="F117" s="1302"/>
      <c r="G117" s="1716"/>
      <c r="H117" s="1302"/>
      <c r="I117" s="1716"/>
      <c r="J117" s="1302"/>
      <c r="K117" s="1716"/>
      <c r="L117" s="1302"/>
      <c r="M117" s="1716"/>
      <c r="N117" s="1302"/>
      <c r="O117" s="1716"/>
      <c r="P117" s="1302"/>
      <c r="Q117" s="1271"/>
      <c r="R117" s="1716"/>
      <c r="S117" s="1716"/>
      <c r="T117" s="1692"/>
      <c r="U117" s="1716"/>
      <c r="V117" s="1302"/>
      <c r="W117" s="1271"/>
      <c r="X117" s="1716"/>
      <c r="Y117" s="1716"/>
      <c r="Z117" s="1612"/>
      <c r="AA117" s="1302"/>
      <c r="AB117" s="2016"/>
      <c r="AC117" s="2077"/>
      <c r="AD117" s="2073"/>
    </row>
    <row r="118" spans="1:31" s="31" customFormat="1" ht="17.399999999999999">
      <c r="A118" s="1379"/>
      <c r="B118" s="67" t="s">
        <v>213</v>
      </c>
      <c r="C118" s="1560"/>
      <c r="D118" s="1302"/>
      <c r="E118" s="1716"/>
      <c r="F118" s="1302"/>
      <c r="G118" s="1716"/>
      <c r="H118" s="1302"/>
      <c r="I118" s="1716"/>
      <c r="J118" s="1302"/>
      <c r="K118" s="1716"/>
      <c r="L118" s="1302"/>
      <c r="M118" s="1716"/>
      <c r="N118" s="1302"/>
      <c r="O118" s="1716"/>
      <c r="P118" s="1302"/>
      <c r="Q118" s="1271"/>
      <c r="R118" s="1716"/>
      <c r="S118" s="1716"/>
      <c r="T118" s="1692"/>
      <c r="U118" s="1716"/>
      <c r="V118" s="1302"/>
      <c r="W118" s="1271"/>
      <c r="X118" s="1716"/>
      <c r="Y118" s="1716"/>
      <c r="Z118" s="1612"/>
      <c r="AA118" s="1302"/>
      <c r="AB118" s="2016"/>
      <c r="AC118" s="2077"/>
      <c r="AD118" s="2073"/>
    </row>
    <row r="119" spans="1:31" s="31" customFormat="1" ht="17.399999999999999">
      <c r="A119" s="1379"/>
      <c r="B119" s="67" t="s">
        <v>214</v>
      </c>
      <c r="C119" s="1560"/>
      <c r="D119" s="1302"/>
      <c r="E119" s="1716"/>
      <c r="F119" s="1302"/>
      <c r="G119" s="1716"/>
      <c r="H119" s="1302"/>
      <c r="I119" s="1716"/>
      <c r="J119" s="1302"/>
      <c r="K119" s="1716"/>
      <c r="L119" s="1302"/>
      <c r="M119" s="1716"/>
      <c r="N119" s="1302"/>
      <c r="O119" s="1716"/>
      <c r="P119" s="1302"/>
      <c r="Q119" s="1271"/>
      <c r="R119" s="1716"/>
      <c r="S119" s="1716"/>
      <c r="T119" s="1692"/>
      <c r="U119" s="1716"/>
      <c r="V119" s="1302"/>
      <c r="W119" s="1271"/>
      <c r="X119" s="1716"/>
      <c r="Y119" s="1716"/>
      <c r="Z119" s="1612"/>
      <c r="AA119" s="1302"/>
      <c r="AB119" s="2016"/>
      <c r="AC119" s="2077"/>
      <c r="AD119" s="2073"/>
    </row>
    <row r="120" spans="1:31" s="31" customFormat="1" ht="17.399999999999999">
      <c r="A120" s="1379"/>
      <c r="B120" s="67" t="s">
        <v>215</v>
      </c>
      <c r="C120" s="1560"/>
      <c r="D120" s="1302"/>
      <c r="E120" s="1716"/>
      <c r="F120" s="1302"/>
      <c r="G120" s="1716"/>
      <c r="H120" s="1302"/>
      <c r="I120" s="1716"/>
      <c r="J120" s="1302"/>
      <c r="K120" s="1716"/>
      <c r="L120" s="1302"/>
      <c r="M120" s="1716"/>
      <c r="N120" s="1302"/>
      <c r="O120" s="1716"/>
      <c r="P120" s="1302"/>
      <c r="Q120" s="1271"/>
      <c r="R120" s="1716"/>
      <c r="S120" s="1716"/>
      <c r="T120" s="1692"/>
      <c r="U120" s="1716"/>
      <c r="V120" s="1302"/>
      <c r="W120" s="1271"/>
      <c r="X120" s="1716"/>
      <c r="Y120" s="1716"/>
      <c r="Z120" s="1612"/>
      <c r="AA120" s="1302"/>
      <c r="AB120" s="2016"/>
      <c r="AC120" s="2077"/>
      <c r="AD120" s="2073"/>
    </row>
    <row r="121" spans="1:31" s="31" customFormat="1" ht="17.399999999999999">
      <c r="A121" s="1379"/>
      <c r="B121" s="67" t="s">
        <v>216</v>
      </c>
      <c r="C121" s="1560"/>
      <c r="D121" s="1302"/>
      <c r="E121" s="1716"/>
      <c r="F121" s="1302"/>
      <c r="G121" s="1716"/>
      <c r="H121" s="1302"/>
      <c r="I121" s="1716"/>
      <c r="J121" s="1302"/>
      <c r="K121" s="1716"/>
      <c r="L121" s="1302"/>
      <c r="M121" s="1716"/>
      <c r="N121" s="1302"/>
      <c r="O121" s="1716"/>
      <c r="P121" s="1302"/>
      <c r="Q121" s="1271"/>
      <c r="R121" s="1716"/>
      <c r="S121" s="1716"/>
      <c r="T121" s="1692"/>
      <c r="U121" s="1716"/>
      <c r="V121" s="1302"/>
      <c r="W121" s="1271"/>
      <c r="X121" s="1716"/>
      <c r="Y121" s="1716"/>
      <c r="Z121" s="1612"/>
      <c r="AA121" s="1302"/>
      <c r="AB121" s="2016"/>
      <c r="AC121" s="2077"/>
      <c r="AD121" s="2073"/>
    </row>
    <row r="122" spans="1:31" s="31" customFormat="1" ht="17.399999999999999">
      <c r="A122" s="1379"/>
      <c r="B122" s="67" t="s">
        <v>217</v>
      </c>
      <c r="C122" s="1560"/>
      <c r="D122" s="1302"/>
      <c r="E122" s="1716"/>
      <c r="F122" s="1302"/>
      <c r="G122" s="1716"/>
      <c r="H122" s="1302"/>
      <c r="I122" s="1716"/>
      <c r="J122" s="1302"/>
      <c r="K122" s="1716"/>
      <c r="L122" s="1302"/>
      <c r="M122" s="1716"/>
      <c r="N122" s="1302"/>
      <c r="O122" s="1716"/>
      <c r="P122" s="1302"/>
      <c r="Q122" s="1271"/>
      <c r="R122" s="1716"/>
      <c r="S122" s="1716"/>
      <c r="T122" s="1692"/>
      <c r="U122" s="1716"/>
      <c r="V122" s="1302"/>
      <c r="W122" s="1271"/>
      <c r="X122" s="1716"/>
      <c r="Y122" s="1716"/>
      <c r="Z122" s="1612"/>
      <c r="AA122" s="1302"/>
      <c r="AB122" s="2016"/>
      <c r="AC122" s="2077"/>
      <c r="AD122" s="2073"/>
    </row>
    <row r="123" spans="1:31" ht="17.399999999999999">
      <c r="A123" s="96"/>
      <c r="B123" s="67" t="s">
        <v>556</v>
      </c>
      <c r="C123" s="1560"/>
      <c r="D123" s="96"/>
      <c r="E123" s="3"/>
      <c r="F123" s="96"/>
      <c r="G123" s="3"/>
      <c r="H123" s="96"/>
      <c r="I123" s="3"/>
      <c r="J123" s="96"/>
      <c r="K123" s="3"/>
      <c r="L123" s="96"/>
      <c r="M123" s="3"/>
      <c r="N123" s="96"/>
      <c r="O123" s="3"/>
      <c r="P123" s="96"/>
      <c r="Q123" s="1265"/>
      <c r="R123" s="3"/>
      <c r="S123" s="3"/>
      <c r="T123" s="1685"/>
      <c r="U123" s="3"/>
      <c r="V123" s="96"/>
      <c r="W123" s="1265"/>
      <c r="X123" s="3"/>
      <c r="Y123" s="3"/>
      <c r="Z123" s="1569"/>
      <c r="AA123" s="96"/>
    </row>
    <row r="124" spans="1:31" ht="17.399999999999999">
      <c r="A124" s="96"/>
      <c r="B124" s="1" t="s">
        <v>454</v>
      </c>
      <c r="C124" s="1536"/>
      <c r="D124" s="96"/>
      <c r="E124" s="3"/>
      <c r="F124" s="96"/>
      <c r="G124" s="3"/>
      <c r="H124" s="96"/>
      <c r="I124" s="3"/>
      <c r="J124" s="96"/>
      <c r="K124" s="3"/>
      <c r="L124" s="96"/>
      <c r="M124" s="3"/>
      <c r="N124" s="96"/>
      <c r="O124" s="3"/>
      <c r="P124" s="96"/>
      <c r="Q124" s="1265"/>
      <c r="R124" s="3"/>
      <c r="S124" s="3"/>
      <c r="T124" s="1685"/>
      <c r="U124" s="3"/>
      <c r="V124" s="96"/>
      <c r="W124" s="1265"/>
      <c r="X124" s="3"/>
      <c r="Y124" s="3"/>
      <c r="Z124" s="1569"/>
      <c r="AA124" s="96"/>
    </row>
    <row r="125" spans="1:31" s="1322" customFormat="1" ht="18" thickBot="1">
      <c r="A125" s="1380"/>
      <c r="B125" s="1381" t="s">
        <v>455</v>
      </c>
      <c r="C125" s="1561" t="s">
        <v>453</v>
      </c>
      <c r="D125" s="1383"/>
      <c r="E125" s="1382"/>
      <c r="F125" s="1383"/>
      <c r="G125" s="1382"/>
      <c r="H125" s="1383"/>
      <c r="I125" s="1382"/>
      <c r="J125" s="1383"/>
      <c r="K125" s="1382"/>
      <c r="L125" s="1383"/>
      <c r="M125" s="1382"/>
      <c r="N125" s="1383"/>
      <c r="O125" s="1382"/>
      <c r="P125" s="1383"/>
      <c r="Q125" s="1384"/>
      <c r="R125" s="1382"/>
      <c r="S125" s="1382"/>
      <c r="T125" s="1693"/>
      <c r="U125" s="1382"/>
      <c r="V125" s="1302"/>
      <c r="W125" s="1271"/>
      <c r="X125" s="1382"/>
      <c r="Y125" s="1382"/>
      <c r="Z125" s="1613"/>
      <c r="AA125" s="1383"/>
      <c r="AB125" s="2016"/>
      <c r="AC125" s="2077"/>
      <c r="AD125" s="2073"/>
    </row>
    <row r="126" spans="1:31" s="1344" customFormat="1" ht="17.399999999999999">
      <c r="A126" s="1339"/>
      <c r="B126" s="1340" t="s">
        <v>946</v>
      </c>
      <c r="C126" s="1562"/>
      <c r="D126" s="1631">
        <f>D127+D128</f>
        <v>8830345.3103448264</v>
      </c>
      <c r="E126" s="1341">
        <f t="shared" ref="E126:Z126" si="121">E127+E128</f>
        <v>8845423</v>
      </c>
      <c r="F126" s="1631">
        <f t="shared" si="121"/>
        <v>9010495.7809018567</v>
      </c>
      <c r="G126" s="1341">
        <f>G127+G128</f>
        <v>8953755</v>
      </c>
      <c r="H126" s="1580">
        <f t="shared" si="121"/>
        <v>9054369.1815355141</v>
      </c>
      <c r="I126" s="1341">
        <f t="shared" si="121"/>
        <v>9069985.1036200002</v>
      </c>
      <c r="J126" s="1356">
        <f t="shared" si="121"/>
        <v>9054369.0487326849</v>
      </c>
      <c r="K126" s="1570">
        <f>K127+K128</f>
        <v>9323175</v>
      </c>
      <c r="L126" s="1580">
        <f t="shared" si="121"/>
        <v>9054369.0487326849</v>
      </c>
      <c r="M126" s="1342">
        <f>M127+M128</f>
        <v>9509998.9800000004</v>
      </c>
      <c r="N126" s="1385">
        <f t="shared" si="121"/>
        <v>9054369.0487326849</v>
      </c>
      <c r="O126" s="1574">
        <f>O127+O128</f>
        <v>8711086.4499999993</v>
      </c>
      <c r="P126" s="1580">
        <f t="shared" si="121"/>
        <v>9054369.0487326849</v>
      </c>
      <c r="Q126" s="1581">
        <f>Q127+Q128</f>
        <v>9361535</v>
      </c>
      <c r="R126" s="1342">
        <f t="shared" si="121"/>
        <v>9054369.0487326849</v>
      </c>
      <c r="S126" s="1342">
        <f>S127+S128</f>
        <v>9215629</v>
      </c>
      <c r="T126" s="1694">
        <f t="shared" si="121"/>
        <v>9954816.9865912534</v>
      </c>
      <c r="U126" s="1342">
        <f>U127+U128</f>
        <v>8791563</v>
      </c>
      <c r="V126" s="1356">
        <f t="shared" si="121"/>
        <v>10123042.137597891</v>
      </c>
      <c r="W126" s="1757">
        <f>W127+W128</f>
        <v>9593963</v>
      </c>
      <c r="X126" s="1342">
        <f t="shared" si="121"/>
        <v>10296956.007672127</v>
      </c>
      <c r="Y126" s="1342">
        <f t="shared" ref="Y126" si="122">Y127+Y128</f>
        <v>9153749</v>
      </c>
      <c r="Z126" s="1614">
        <f t="shared" si="121"/>
        <v>10476762.897457706</v>
      </c>
      <c r="AA126" s="1580">
        <f t="shared" ref="AA126" si="123">AA127+AA128</f>
        <v>9615408</v>
      </c>
      <c r="AB126" s="2045">
        <f>D126+F126+H126+J126+L126+N126+P126+R126+T126+V126+X126+Z126</f>
        <v>113018633.5457646</v>
      </c>
      <c r="AC126" s="2087">
        <f>E126+G126+I126+K126+M126+O126+Q126+S126+U126+W126+Y126+AA126</f>
        <v>110145270.53362</v>
      </c>
      <c r="AD126" s="2088">
        <f>AC126/12</f>
        <v>9178772.5444683339</v>
      </c>
      <c r="AE126" s="1343"/>
    </row>
    <row r="127" spans="1:31" s="1014" customFormat="1" ht="17.399999999999999">
      <c r="A127" s="1345"/>
      <c r="B127" s="1016" t="s">
        <v>947</v>
      </c>
      <c r="C127" s="1563"/>
      <c r="D127" s="1632">
        <f t="shared" ref="D127:Z127" si="124">-D59</f>
        <v>5900610.1885057464</v>
      </c>
      <c r="E127" s="1018">
        <f t="shared" si="124"/>
        <v>5868881</v>
      </c>
      <c r="F127" s="1632">
        <f t="shared" si="124"/>
        <v>5987829.8245800175</v>
      </c>
      <c r="G127" s="1018">
        <f t="shared" si="124"/>
        <v>6015034</v>
      </c>
      <c r="H127" s="1582">
        <f t="shared" si="124"/>
        <v>6031703.2252136748</v>
      </c>
      <c r="I127" s="1018">
        <f t="shared" si="124"/>
        <v>6215853</v>
      </c>
      <c r="J127" s="1363">
        <f t="shared" si="124"/>
        <v>6031703.0924108457</v>
      </c>
      <c r="K127" s="1571">
        <f t="shared" si="124"/>
        <v>6220314</v>
      </c>
      <c r="L127" s="1582">
        <f t="shared" si="124"/>
        <v>6031703.0924108457</v>
      </c>
      <c r="M127" s="1020">
        <f t="shared" si="124"/>
        <v>6639486</v>
      </c>
      <c r="N127" s="1370">
        <f t="shared" si="124"/>
        <v>6031703.0924108457</v>
      </c>
      <c r="O127" s="1717">
        <f>-O59</f>
        <v>5834930</v>
      </c>
      <c r="P127" s="1582">
        <f t="shared" si="124"/>
        <v>6031703.0924108457</v>
      </c>
      <c r="Q127" s="1583">
        <f>-Q59</f>
        <v>6113372</v>
      </c>
      <c r="R127" s="1020">
        <f t="shared" si="124"/>
        <v>6031703.0924108457</v>
      </c>
      <c r="S127" s="1020">
        <f>-S59</f>
        <v>6708942</v>
      </c>
      <c r="T127" s="1695">
        <f t="shared" si="124"/>
        <v>6932151.0302694151</v>
      </c>
      <c r="U127" s="1020">
        <f>-U59</f>
        <v>5888397</v>
      </c>
      <c r="V127" s="1363">
        <f t="shared" si="124"/>
        <v>7100376.1812760523</v>
      </c>
      <c r="W127" s="1758">
        <f>-W59</f>
        <v>6303341</v>
      </c>
      <c r="X127" s="1020">
        <f t="shared" si="124"/>
        <v>7274290.0513502881</v>
      </c>
      <c r="Y127" s="1020">
        <f t="shared" ref="Y127" si="125">-Y59</f>
        <v>6335650</v>
      </c>
      <c r="Z127" s="1615">
        <f t="shared" si="124"/>
        <v>7454096.9411358666</v>
      </c>
      <c r="AA127" s="1582">
        <f t="shared" ref="AA127" si="126">-AA59</f>
        <v>6790203</v>
      </c>
      <c r="AB127" s="2046">
        <f t="shared" ref="AB127:AB128" si="127">D127+F127+H127+J127+L127+N127+P127+R127+T127+V127+X127+Z127</f>
        <v>76839572.904385298</v>
      </c>
      <c r="AC127" s="2089">
        <f t="shared" ref="AC127:AC128" si="128">E127+G127+I127+K127+M127+O127+Q127+S127+U127+W127+Y127+AA127</f>
        <v>74934403</v>
      </c>
      <c r="AD127" s="2090">
        <f t="shared" ref="AD127:AD128" si="129">AC127/12</f>
        <v>6244533.583333333</v>
      </c>
      <c r="AE127" s="1023"/>
    </row>
    <row r="128" spans="1:31" s="1014" customFormat="1" ht="17.399999999999999">
      <c r="A128" s="1345"/>
      <c r="B128" s="1016" t="s">
        <v>948</v>
      </c>
      <c r="C128" s="1563"/>
      <c r="D128" s="1632">
        <f t="shared" ref="D128:Z128" si="130">-D81-D83-D87-D97-D102</f>
        <v>2929735.12183908</v>
      </c>
      <c r="E128" s="1018">
        <f t="shared" si="130"/>
        <v>2976542</v>
      </c>
      <c r="F128" s="1632">
        <f t="shared" si="130"/>
        <v>3022665.9563218388</v>
      </c>
      <c r="G128" s="1018">
        <f t="shared" si="130"/>
        <v>2938721</v>
      </c>
      <c r="H128" s="1582">
        <f t="shared" si="130"/>
        <v>3022665.9563218388</v>
      </c>
      <c r="I128" s="1018">
        <f t="shared" si="130"/>
        <v>2854132.1036200002</v>
      </c>
      <c r="J128" s="1363">
        <f t="shared" si="130"/>
        <v>3022665.9563218388</v>
      </c>
      <c r="K128" s="1571">
        <f t="shared" si="130"/>
        <v>3102861</v>
      </c>
      <c r="L128" s="1582">
        <f t="shared" si="130"/>
        <v>3022665.9563218388</v>
      </c>
      <c r="M128" s="1020">
        <f t="shared" si="130"/>
        <v>2870512.98</v>
      </c>
      <c r="N128" s="1370">
        <f t="shared" si="130"/>
        <v>3022665.9563218388</v>
      </c>
      <c r="O128" s="1717">
        <f>-O81-O83-O87-O97-O102</f>
        <v>2876156.45</v>
      </c>
      <c r="P128" s="1582">
        <f t="shared" si="130"/>
        <v>3022665.9563218388</v>
      </c>
      <c r="Q128" s="1583">
        <f>-Q81-Q83-Q87-Q97-Q102</f>
        <v>3248163</v>
      </c>
      <c r="R128" s="1020">
        <f t="shared" si="130"/>
        <v>3022665.9563218388</v>
      </c>
      <c r="S128" s="1020">
        <f>-S81-S83-S87-S97-S102</f>
        <v>2506687</v>
      </c>
      <c r="T128" s="1695">
        <f t="shared" si="130"/>
        <v>3022665.9563218388</v>
      </c>
      <c r="U128" s="1020">
        <f>-U81-U83-U87-U97-U102</f>
        <v>2903166</v>
      </c>
      <c r="V128" s="1363">
        <f t="shared" si="130"/>
        <v>3022665.9563218388</v>
      </c>
      <c r="W128" s="1758">
        <f>-W81-W83-W87-W97-W102</f>
        <v>3290622</v>
      </c>
      <c r="X128" s="1020">
        <f t="shared" si="130"/>
        <v>3022665.9563218388</v>
      </c>
      <c r="Y128" s="1020">
        <f t="shared" ref="Y128" si="131">-Y81-Y83-Y87-Y97-Y102</f>
        <v>2818099</v>
      </c>
      <c r="Z128" s="1615">
        <f t="shared" si="130"/>
        <v>3022665.9563218388</v>
      </c>
      <c r="AA128" s="1582">
        <f t="shared" ref="AA128" si="132">-AA81-AA83-AA87-AA97-AA102</f>
        <v>2825205</v>
      </c>
      <c r="AB128" s="2046">
        <f t="shared" si="127"/>
        <v>36179060.641379312</v>
      </c>
      <c r="AC128" s="2089">
        <f t="shared" si="128"/>
        <v>35210867.53362</v>
      </c>
      <c r="AD128" s="2090">
        <f t="shared" si="129"/>
        <v>2934238.961135</v>
      </c>
      <c r="AE128" s="1023"/>
    </row>
    <row r="129" spans="1:31" s="1015" customFormat="1" ht="17.399999999999999">
      <c r="A129" s="1346"/>
      <c r="B129" s="1017" t="s">
        <v>947</v>
      </c>
      <c r="C129" s="1564"/>
      <c r="D129" s="1633">
        <f>D127/D126</f>
        <v>0.6682196427350503</v>
      </c>
      <c r="E129" s="1019">
        <f t="shared" ref="E129:Z129" si="133">E127/E126</f>
        <v>0.66349353784437448</v>
      </c>
      <c r="F129" s="1633">
        <f t="shared" si="133"/>
        <v>0.66453944046802471</v>
      </c>
      <c r="G129" s="1019">
        <f>G127/G126</f>
        <v>0.67178898685523558</v>
      </c>
      <c r="H129" s="1584">
        <f t="shared" si="133"/>
        <v>0.66616493145807087</v>
      </c>
      <c r="I129" s="1019">
        <f t="shared" si="133"/>
        <v>0.68532119170947003</v>
      </c>
      <c r="J129" s="1364">
        <f t="shared" si="133"/>
        <v>0.66616492656162352</v>
      </c>
      <c r="K129" s="1572">
        <f>K127/K126</f>
        <v>0.6671883773499907</v>
      </c>
      <c r="L129" s="1584">
        <f t="shared" si="133"/>
        <v>0.66616492656162352</v>
      </c>
      <c r="M129" s="1021">
        <f>M127/M126</f>
        <v>0.69815843450279735</v>
      </c>
      <c r="N129" s="1371">
        <f t="shared" si="133"/>
        <v>0.66616492656162352</v>
      </c>
      <c r="O129" s="1718">
        <f>O127/O126</f>
        <v>0.66982804423895947</v>
      </c>
      <c r="P129" s="1584">
        <f t="shared" si="133"/>
        <v>0.66616492656162352</v>
      </c>
      <c r="Q129" s="1585">
        <f>Q127/Q126</f>
        <v>0.65303093990462036</v>
      </c>
      <c r="R129" s="1021">
        <f t="shared" si="133"/>
        <v>0.66616492656162352</v>
      </c>
      <c r="S129" s="1021">
        <f>S127/S126</f>
        <v>0.7279961031417389</v>
      </c>
      <c r="T129" s="1696">
        <f t="shared" si="133"/>
        <v>0.69636147400868842</v>
      </c>
      <c r="U129" s="1021">
        <f>U127/U126</f>
        <v>0.66977817255020522</v>
      </c>
      <c r="V129" s="1364">
        <f t="shared" si="133"/>
        <v>0.70140735213425764</v>
      </c>
      <c r="W129" s="1759">
        <f>W127/W126</f>
        <v>0.65701118505460154</v>
      </c>
      <c r="X129" s="1021">
        <f>X127/X126</f>
        <v>0.7064505321699257</v>
      </c>
      <c r="Y129" s="1021">
        <f>Y127/Y126</f>
        <v>0.69213717789290485</v>
      </c>
      <c r="Z129" s="1616">
        <f t="shared" si="133"/>
        <v>0.71148855940461153</v>
      </c>
      <c r="AA129" s="1584">
        <f t="shared" ref="AA129:AC129" si="134">AA127/AA126</f>
        <v>0.70617939457171242</v>
      </c>
      <c r="AB129" s="2047">
        <f>AB127/AB126</f>
        <v>0.67988410843129399</v>
      </c>
      <c r="AC129" s="2091">
        <f t="shared" si="134"/>
        <v>0.68032338235646284</v>
      </c>
      <c r="AD129" s="2092"/>
      <c r="AE129" s="1022"/>
    </row>
    <row r="130" spans="1:31" s="1352" customFormat="1" ht="18" thickBot="1">
      <c r="A130" s="1347"/>
      <c r="B130" s="1348" t="s">
        <v>948</v>
      </c>
      <c r="C130" s="1565"/>
      <c r="D130" s="1634">
        <f>D128/D126</f>
        <v>0.33178035726494975</v>
      </c>
      <c r="E130" s="1349">
        <f t="shared" ref="E130:Z130" si="135">E128/E126</f>
        <v>0.33650646215562557</v>
      </c>
      <c r="F130" s="1634">
        <f t="shared" si="135"/>
        <v>0.33546055953197523</v>
      </c>
      <c r="G130" s="1349">
        <f>G128/G126</f>
        <v>0.32821101314476442</v>
      </c>
      <c r="H130" s="1586">
        <f t="shared" si="135"/>
        <v>0.33383506854192907</v>
      </c>
      <c r="I130" s="1349">
        <f t="shared" si="135"/>
        <v>0.31467880829052991</v>
      </c>
      <c r="J130" s="1365">
        <f t="shared" si="135"/>
        <v>0.33383507343837648</v>
      </c>
      <c r="K130" s="1573">
        <f>K128/K126</f>
        <v>0.33281162265000924</v>
      </c>
      <c r="L130" s="1586">
        <f t="shared" si="135"/>
        <v>0.33383507343837648</v>
      </c>
      <c r="M130" s="1350">
        <f>M128/M126</f>
        <v>0.30184156549720259</v>
      </c>
      <c r="N130" s="1386">
        <f t="shared" si="135"/>
        <v>0.33383507343837648</v>
      </c>
      <c r="O130" s="1575">
        <f>O128/O126</f>
        <v>0.33017195576104064</v>
      </c>
      <c r="P130" s="1586">
        <f t="shared" si="135"/>
        <v>0.33383507343837648</v>
      </c>
      <c r="Q130" s="1587">
        <f>Q128/Q126</f>
        <v>0.34696906009537964</v>
      </c>
      <c r="R130" s="1350">
        <f t="shared" si="135"/>
        <v>0.33383507343837648</v>
      </c>
      <c r="S130" s="1350">
        <f>S128/S126</f>
        <v>0.2720038968582611</v>
      </c>
      <c r="T130" s="1697">
        <f t="shared" si="135"/>
        <v>0.30363852599131164</v>
      </c>
      <c r="U130" s="1350">
        <f>U128/U126</f>
        <v>0.33022182744979478</v>
      </c>
      <c r="V130" s="1365">
        <f t="shared" si="135"/>
        <v>0.29859264786574236</v>
      </c>
      <c r="W130" s="1760">
        <f>W128/W126</f>
        <v>0.34298881494539846</v>
      </c>
      <c r="X130" s="1350">
        <f t="shared" si="135"/>
        <v>0.29354946783007424</v>
      </c>
      <c r="Y130" s="1350">
        <f t="shared" ref="Y130" si="136">Y128/Y126</f>
        <v>0.30786282210709515</v>
      </c>
      <c r="Z130" s="1617">
        <f t="shared" si="135"/>
        <v>0.28851144059538847</v>
      </c>
      <c r="AA130" s="1586">
        <f t="shared" ref="AA130:AC130" si="137">AA128/AA126</f>
        <v>0.29382060542828758</v>
      </c>
      <c r="AB130" s="2048">
        <f>AB128/AB126</f>
        <v>0.32011589156870612</v>
      </c>
      <c r="AC130" s="2093">
        <f t="shared" si="137"/>
        <v>0.31967661764353716</v>
      </c>
      <c r="AD130" s="2094"/>
      <c r="AE130" s="1351"/>
    </row>
    <row r="131" spans="1:31" ht="15">
      <c r="A131" s="3"/>
      <c r="B131" s="3"/>
      <c r="C131" s="1536"/>
      <c r="D131" s="96"/>
      <c r="E131" s="3"/>
      <c r="F131" s="96"/>
      <c r="G131" s="3"/>
      <c r="H131" s="96"/>
      <c r="I131" s="3"/>
      <c r="J131" s="96"/>
      <c r="K131" s="3"/>
      <c r="L131" s="96"/>
      <c r="M131" s="3"/>
      <c r="N131" s="96"/>
      <c r="O131" s="3"/>
      <c r="P131" s="96"/>
      <c r="Q131" s="1265"/>
      <c r="R131" s="3"/>
      <c r="S131" s="3"/>
      <c r="T131" s="1685"/>
      <c r="U131" s="3"/>
      <c r="V131" s="96"/>
      <c r="W131" s="1265"/>
      <c r="X131" s="3"/>
      <c r="Y131" s="3"/>
      <c r="Z131" s="1569"/>
      <c r="AA131" s="96"/>
    </row>
    <row r="132" spans="1:31" s="875" customFormat="1" ht="15">
      <c r="A132" s="973"/>
      <c r="B132" s="973"/>
      <c r="C132" s="1566"/>
      <c r="D132" s="1303"/>
      <c r="F132" s="1636"/>
      <c r="G132" s="1628"/>
      <c r="H132" s="1636"/>
      <c r="I132" s="1628"/>
      <c r="J132" s="1303"/>
      <c r="K132" s="973"/>
      <c r="L132" s="1303"/>
      <c r="M132" s="973"/>
      <c r="N132" s="1303"/>
      <c r="O132" s="973"/>
      <c r="P132" s="1303"/>
      <c r="Q132" s="1272"/>
      <c r="R132" s="973"/>
      <c r="S132" s="973"/>
      <c r="T132" s="1698"/>
      <c r="U132" s="973"/>
      <c r="V132" s="1303"/>
      <c r="W132" s="1272"/>
      <c r="X132" s="973"/>
      <c r="Y132" s="973"/>
      <c r="Z132" s="1566"/>
      <c r="AA132" s="1303"/>
      <c r="AB132" s="1623"/>
      <c r="AC132" s="933"/>
      <c r="AD132" s="2059"/>
    </row>
    <row r="133" spans="1:31" ht="15">
      <c r="A133" s="3"/>
      <c r="B133" s="3"/>
      <c r="C133" s="1536"/>
      <c r="D133" s="96"/>
      <c r="E133" s="3"/>
      <c r="F133" s="96"/>
      <c r="G133" s="3"/>
      <c r="H133" s="1289"/>
      <c r="I133" s="1010"/>
      <c r="J133" s="96"/>
      <c r="K133" s="3"/>
      <c r="L133" s="96"/>
      <c r="M133" s="3"/>
      <c r="N133" s="96"/>
      <c r="O133" s="3"/>
      <c r="P133" s="96"/>
      <c r="Q133" s="1265"/>
      <c r="R133" s="3"/>
      <c r="S133" s="3"/>
      <c r="T133" s="1685"/>
      <c r="U133" s="3"/>
      <c r="V133" s="96"/>
      <c r="W133" s="1265"/>
      <c r="X133" s="3"/>
      <c r="Y133" s="3"/>
      <c r="Z133" s="1569"/>
      <c r="AA133" s="96"/>
    </row>
    <row r="134" spans="1:31" ht="15">
      <c r="A134" s="3"/>
      <c r="B134" s="3"/>
      <c r="C134" s="1536"/>
      <c r="D134" s="96"/>
      <c r="E134" s="3"/>
      <c r="F134" s="96"/>
      <c r="G134" s="3"/>
      <c r="H134" s="1289"/>
      <c r="I134" s="1010"/>
      <c r="J134" s="96"/>
      <c r="K134" s="3"/>
      <c r="L134" s="96"/>
      <c r="M134" s="3"/>
      <c r="N134" s="96"/>
      <c r="O134" s="3"/>
      <c r="P134" s="96"/>
      <c r="Q134" s="1265"/>
      <c r="R134" s="3"/>
      <c r="S134" s="3"/>
      <c r="T134" s="1685"/>
      <c r="U134" s="3"/>
      <c r="V134" s="96"/>
      <c r="W134" s="1265"/>
      <c r="X134" s="3"/>
      <c r="Y134" s="3"/>
      <c r="Z134" s="1569"/>
      <c r="AA134" s="96"/>
    </row>
    <row r="135" spans="1:31" ht="15">
      <c r="A135" s="3"/>
      <c r="B135" s="3"/>
      <c r="C135" s="1536"/>
      <c r="D135" s="96"/>
      <c r="E135" s="3"/>
      <c r="F135" s="96"/>
      <c r="G135" s="3"/>
      <c r="H135" s="1637"/>
      <c r="I135" s="1638"/>
      <c r="J135" s="96"/>
      <c r="K135" s="3"/>
      <c r="L135" s="96"/>
      <c r="M135" s="3"/>
      <c r="N135" s="96"/>
      <c r="O135" s="3"/>
      <c r="P135" s="96"/>
      <c r="Q135" s="1265"/>
      <c r="R135" s="3"/>
      <c r="S135" s="3"/>
      <c r="T135" s="1685"/>
      <c r="U135" s="3"/>
      <c r="V135" s="96"/>
      <c r="W135" s="1265"/>
      <c r="X135" s="3"/>
      <c r="Y135" s="3"/>
      <c r="Z135" s="1569"/>
      <c r="AA135" s="96"/>
    </row>
    <row r="136" spans="1:31" ht="15">
      <c r="A136" s="3"/>
      <c r="B136" s="3"/>
      <c r="C136" s="1536"/>
      <c r="D136" s="96"/>
      <c r="E136" s="3"/>
      <c r="F136" s="96"/>
      <c r="G136" s="3"/>
      <c r="H136" s="1637"/>
      <c r="I136" s="1638"/>
      <c r="J136" s="96"/>
      <c r="K136" s="3"/>
      <c r="L136" s="96"/>
      <c r="M136" s="3"/>
      <c r="N136" s="96"/>
      <c r="O136" s="3"/>
      <c r="P136" s="96"/>
      <c r="Q136" s="1265"/>
      <c r="R136" s="3"/>
      <c r="S136" s="3"/>
      <c r="T136" s="1685"/>
      <c r="U136" s="3"/>
      <c r="V136" s="96"/>
      <c r="W136" s="1265"/>
      <c r="X136" s="3"/>
      <c r="Y136" s="3"/>
      <c r="Z136" s="1569"/>
      <c r="AA136" s="96"/>
    </row>
    <row r="137" spans="1:31" ht="15">
      <c r="A137" s="3"/>
      <c r="B137" s="3"/>
      <c r="C137" s="1536"/>
      <c r="D137" s="96"/>
      <c r="E137" s="3"/>
      <c r="F137" s="96"/>
      <c r="G137" s="3"/>
      <c r="H137" s="96"/>
      <c r="I137" s="3"/>
      <c r="J137" s="96"/>
      <c r="K137" s="3"/>
      <c r="L137" s="96"/>
      <c r="M137" s="3"/>
      <c r="N137" s="96"/>
      <c r="O137" s="3"/>
      <c r="P137" s="96"/>
      <c r="Q137" s="1265"/>
      <c r="R137" s="3"/>
      <c r="S137" s="3"/>
      <c r="T137" s="1685"/>
      <c r="U137" s="3"/>
      <c r="V137" s="96"/>
      <c r="W137" s="1265"/>
      <c r="X137" s="3"/>
      <c r="Y137" s="3"/>
      <c r="Z137" s="1569"/>
      <c r="AA137" s="96"/>
    </row>
    <row r="138" spans="1:31" ht="15">
      <c r="A138" s="3"/>
      <c r="B138" s="3"/>
      <c r="C138" s="1536"/>
      <c r="D138" s="96"/>
      <c r="E138" s="3"/>
      <c r="F138" s="96"/>
      <c r="G138" s="3"/>
      <c r="H138" s="96"/>
      <c r="I138" s="3"/>
      <c r="J138" s="96"/>
      <c r="K138" s="3"/>
      <c r="L138" s="96"/>
      <c r="M138" s="3"/>
      <c r="N138" s="96"/>
      <c r="O138" s="3"/>
      <c r="P138" s="96"/>
      <c r="Q138" s="1265"/>
      <c r="R138" s="3"/>
      <c r="S138" s="3"/>
      <c r="T138" s="1685"/>
      <c r="U138" s="3"/>
      <c r="V138" s="96"/>
      <c r="W138" s="1265"/>
      <c r="X138" s="3"/>
      <c r="Y138" s="3"/>
      <c r="Z138" s="1569"/>
      <c r="AA138" s="96"/>
    </row>
    <row r="139" spans="1:31" ht="15">
      <c r="A139" s="3"/>
      <c r="B139" s="3"/>
      <c r="C139" s="1536"/>
      <c r="D139" s="96"/>
      <c r="E139" s="3"/>
      <c r="F139" s="96"/>
      <c r="G139" s="3"/>
      <c r="H139" s="96"/>
      <c r="I139" s="3"/>
      <c r="J139" s="96"/>
      <c r="K139" s="3"/>
      <c r="L139" s="96"/>
      <c r="M139" s="3"/>
      <c r="N139" s="96"/>
      <c r="O139" s="3"/>
      <c r="P139" s="96"/>
      <c r="Q139" s="1265"/>
      <c r="R139" s="3"/>
      <c r="S139" s="3"/>
      <c r="T139" s="1685"/>
      <c r="U139" s="3"/>
      <c r="V139" s="96"/>
      <c r="W139" s="1265"/>
      <c r="X139" s="3"/>
      <c r="Y139" s="3"/>
      <c r="Z139" s="1569"/>
      <c r="AA139" s="96"/>
    </row>
    <row r="140" spans="1:31" ht="15">
      <c r="A140" s="3"/>
      <c r="B140" s="3"/>
      <c r="C140" s="1536"/>
      <c r="D140" s="96"/>
      <c r="E140" s="3"/>
      <c r="F140" s="96"/>
      <c r="G140" s="3"/>
      <c r="H140" s="96"/>
      <c r="I140" s="3"/>
      <c r="J140" s="96"/>
      <c r="K140" s="3"/>
      <c r="L140" s="96"/>
      <c r="M140" s="3"/>
      <c r="N140" s="96"/>
      <c r="O140" s="3"/>
      <c r="P140" s="96"/>
      <c r="Q140" s="1265"/>
      <c r="R140" s="3"/>
      <c r="S140" s="3"/>
      <c r="T140" s="1685"/>
      <c r="U140" s="3"/>
      <c r="V140" s="96"/>
      <c r="W140" s="1265"/>
      <c r="X140" s="3"/>
      <c r="Y140" s="3"/>
      <c r="Z140" s="1569"/>
      <c r="AA140" s="96"/>
    </row>
    <row r="141" spans="1:31" ht="15">
      <c r="A141" s="3"/>
      <c r="B141" s="3"/>
      <c r="C141" s="1536"/>
      <c r="D141" s="96"/>
      <c r="E141" s="3"/>
      <c r="F141" s="96"/>
      <c r="G141" s="3"/>
      <c r="H141" s="96"/>
      <c r="I141" s="3"/>
      <c r="J141" s="96"/>
      <c r="K141" s="3"/>
      <c r="L141" s="96"/>
      <c r="M141" s="3"/>
      <c r="N141" s="96"/>
      <c r="O141" s="3"/>
      <c r="P141" s="96"/>
      <c r="Q141" s="1265"/>
      <c r="R141" s="3"/>
      <c r="S141" s="3"/>
      <c r="T141" s="1685"/>
      <c r="U141" s="3"/>
      <c r="V141" s="96"/>
      <c r="W141" s="1265"/>
      <c r="X141" s="3"/>
      <c r="Y141" s="3"/>
      <c r="Z141" s="1569"/>
      <c r="AA141" s="96"/>
    </row>
    <row r="142" spans="1:31" s="41" customFormat="1" ht="15.6" hidden="1" customHeight="1">
      <c r="A142" s="40"/>
      <c r="B142" s="42" t="s">
        <v>21</v>
      </c>
      <c r="C142" s="1567"/>
      <c r="D142" s="1304" t="e">
        <f>D148-D154+D160</f>
        <v>#REF!</v>
      </c>
      <c r="E142" s="40" t="e">
        <f>E148-E154+E160</f>
        <v>#REF!</v>
      </c>
      <c r="F142" s="1304" t="e">
        <f t="shared" ref="F142:Z142" si="138">F148-F154+F160</f>
        <v>#REF!</v>
      </c>
      <c r="G142" s="40" t="e">
        <f>G148-G154+G160</f>
        <v>#REF!</v>
      </c>
      <c r="H142" s="1304" t="e">
        <f t="shared" si="138"/>
        <v>#REF!</v>
      </c>
      <c r="I142" s="40" t="e">
        <f t="shared" si="138"/>
        <v>#REF!</v>
      </c>
      <c r="J142" s="1304" t="e">
        <f t="shared" si="138"/>
        <v>#REF!</v>
      </c>
      <c r="K142" s="40" t="e">
        <f>K148-K154+K160</f>
        <v>#REF!</v>
      </c>
      <c r="L142" s="1304" t="e">
        <f t="shared" si="138"/>
        <v>#REF!</v>
      </c>
      <c r="M142" s="40" t="e">
        <f>M148-M154+M160</f>
        <v>#REF!</v>
      </c>
      <c r="N142" s="1304" t="e">
        <f t="shared" si="138"/>
        <v>#REF!</v>
      </c>
      <c r="O142" s="40" t="e">
        <f>O148-O154+O160</f>
        <v>#REF!</v>
      </c>
      <c r="P142" s="1304" t="e">
        <f t="shared" si="138"/>
        <v>#REF!</v>
      </c>
      <c r="Q142" s="1273" t="e">
        <f>Q148-Q154+Q160</f>
        <v>#REF!</v>
      </c>
      <c r="R142" s="40" t="e">
        <f t="shared" si="138"/>
        <v>#REF!</v>
      </c>
      <c r="S142" s="40" t="e">
        <f>S148-S154+S160</f>
        <v>#REF!</v>
      </c>
      <c r="T142" s="1699" t="e">
        <f t="shared" si="138"/>
        <v>#REF!</v>
      </c>
      <c r="U142" s="40" t="e">
        <f>U148-U154+U160</f>
        <v>#REF!</v>
      </c>
      <c r="V142" s="1304" t="e">
        <f t="shared" si="138"/>
        <v>#REF!</v>
      </c>
      <c r="W142" s="1273" t="e">
        <f>W148-W154+W160</f>
        <v>#REF!</v>
      </c>
      <c r="X142" s="40" t="e">
        <f t="shared" si="138"/>
        <v>#REF!</v>
      </c>
      <c r="Y142" s="40" t="e">
        <f t="shared" ref="Y142" si="139">Y148-Y154+Y160</f>
        <v>#REF!</v>
      </c>
      <c r="Z142" s="1618" t="e">
        <f t="shared" si="138"/>
        <v>#REF!</v>
      </c>
      <c r="AA142" s="1304" t="e">
        <f t="shared" ref="AA142" si="140">AA148-AA154+AA160</f>
        <v>#REF!</v>
      </c>
      <c r="AB142" s="1567"/>
      <c r="AC142" s="2095"/>
      <c r="AD142" s="2096"/>
    </row>
    <row r="143" spans="1:31" ht="15" hidden="1" customHeight="1">
      <c r="A143" s="3"/>
      <c r="B143" s="5" t="s">
        <v>22</v>
      </c>
      <c r="D143" s="1305" t="e">
        <f>D149-D155+D161</f>
        <v>#REF!</v>
      </c>
      <c r="E143" s="1012" t="e">
        <f>E149-E155+E161</f>
        <v>#REF!</v>
      </c>
      <c r="F143" s="1305" t="e">
        <f t="shared" ref="F143:Z143" si="141">F149-F155+F161</f>
        <v>#REF!</v>
      </c>
      <c r="G143" s="1012" t="e">
        <f>G149-G155+G161</f>
        <v>#REF!</v>
      </c>
      <c r="H143" s="1305" t="e">
        <f t="shared" si="141"/>
        <v>#REF!</v>
      </c>
      <c r="I143" s="1012" t="e">
        <f t="shared" si="141"/>
        <v>#REF!</v>
      </c>
      <c r="J143" s="1305" t="e">
        <f t="shared" si="141"/>
        <v>#REF!</v>
      </c>
      <c r="K143" s="1012" t="e">
        <f>K149-K155+K161</f>
        <v>#REF!</v>
      </c>
      <c r="L143" s="1305" t="e">
        <f t="shared" si="141"/>
        <v>#REF!</v>
      </c>
      <c r="M143" s="1012" t="e">
        <f>M149-M155+M161</f>
        <v>#REF!</v>
      </c>
      <c r="N143" s="1305" t="e">
        <f t="shared" si="141"/>
        <v>#REF!</v>
      </c>
      <c r="O143" s="1012" t="e">
        <f>O149-O155+O161</f>
        <v>#REF!</v>
      </c>
      <c r="P143" s="1305" t="e">
        <f t="shared" si="141"/>
        <v>#REF!</v>
      </c>
      <c r="Q143" s="1274" t="e">
        <f>Q149-Q155+Q161</f>
        <v>#REF!</v>
      </c>
      <c r="R143" s="1012" t="e">
        <f t="shared" si="141"/>
        <v>#REF!</v>
      </c>
      <c r="S143" s="1012" t="e">
        <f>S149-S155+S161</f>
        <v>#REF!</v>
      </c>
      <c r="T143" s="1700" t="e">
        <f t="shared" si="141"/>
        <v>#REF!</v>
      </c>
      <c r="U143" s="1012" t="e">
        <f>U149-U155+U161</f>
        <v>#REF!</v>
      </c>
      <c r="V143" s="1305" t="e">
        <f t="shared" si="141"/>
        <v>#REF!</v>
      </c>
      <c r="W143" s="1274" t="e">
        <f>W149-W155+W161</f>
        <v>#REF!</v>
      </c>
      <c r="X143" s="1012" t="e">
        <f t="shared" si="141"/>
        <v>#REF!</v>
      </c>
      <c r="Y143" s="1012" t="e">
        <f t="shared" ref="Y143" si="142">Y149-Y155+Y161</f>
        <v>#REF!</v>
      </c>
      <c r="Z143" s="1619" t="e">
        <f t="shared" si="141"/>
        <v>#REF!</v>
      </c>
      <c r="AA143" s="1305" t="e">
        <f t="shared" ref="AA143" si="143">AA149-AA155+AA161</f>
        <v>#REF!</v>
      </c>
    </row>
    <row r="144" spans="1:31" ht="15" hidden="1" customHeight="1">
      <c r="A144" s="3"/>
      <c r="B144" s="3"/>
      <c r="D144" s="96"/>
      <c r="E144" s="3"/>
      <c r="F144" s="96"/>
      <c r="G144" s="3"/>
      <c r="H144" s="96"/>
      <c r="I144" s="3"/>
      <c r="J144" s="96"/>
      <c r="K144" s="3"/>
      <c r="L144" s="96"/>
      <c r="M144" s="3"/>
      <c r="N144" s="96"/>
      <c r="O144" s="3"/>
      <c r="P144" s="96"/>
      <c r="Q144" s="1265"/>
      <c r="R144" s="3"/>
      <c r="S144" s="3"/>
      <c r="T144" s="1685"/>
      <c r="U144" s="3"/>
      <c r="V144" s="96"/>
      <c r="W144" s="1265"/>
      <c r="X144" s="3"/>
      <c r="Y144" s="3"/>
      <c r="Z144" s="1569"/>
      <c r="AA144" s="96"/>
    </row>
    <row r="145" spans="1:27" ht="15" hidden="1" customHeight="1">
      <c r="A145" s="3"/>
      <c r="B145" s="6" t="s">
        <v>23</v>
      </c>
      <c r="D145" s="96"/>
      <c r="E145" s="3"/>
      <c r="F145" s="96"/>
      <c r="G145" s="3"/>
      <c r="H145" s="96"/>
      <c r="I145" s="3"/>
      <c r="J145" s="96"/>
      <c r="K145" s="3"/>
      <c r="L145" s="96"/>
      <c r="M145" s="3"/>
      <c r="N145" s="96"/>
      <c r="O145" s="3"/>
      <c r="P145" s="96"/>
      <c r="Q145" s="1265"/>
      <c r="R145" s="3"/>
      <c r="S145" s="3"/>
      <c r="T145" s="1685"/>
      <c r="U145" s="3"/>
      <c r="V145" s="96"/>
      <c r="W145" s="1265"/>
      <c r="X145" s="3"/>
      <c r="Y145" s="3"/>
      <c r="Z145" s="1569"/>
      <c r="AA145" s="96"/>
    </row>
    <row r="146" spans="1:27" ht="15" hidden="1" customHeight="1">
      <c r="A146" s="3"/>
      <c r="B146" s="5" t="s">
        <v>24</v>
      </c>
      <c r="C146" s="1568">
        <v>60</v>
      </c>
      <c r="D146" s="1305"/>
      <c r="E146" s="1012"/>
      <c r="F146" s="1305"/>
      <c r="G146" s="1012"/>
      <c r="H146" s="1305"/>
      <c r="I146" s="1012"/>
      <c r="J146" s="1305"/>
      <c r="K146" s="1012"/>
      <c r="L146" s="1305"/>
      <c r="M146" s="1012"/>
      <c r="N146" s="1305"/>
      <c r="O146" s="1012"/>
      <c r="P146" s="1305"/>
      <c r="Q146" s="1274"/>
      <c r="R146" s="1012"/>
      <c r="S146" s="1012"/>
      <c r="T146" s="1700"/>
      <c r="U146" s="1012"/>
      <c r="V146" s="1305"/>
      <c r="W146" s="1274"/>
      <c r="X146" s="1012"/>
      <c r="Y146" s="1012"/>
      <c r="Z146" s="1619"/>
      <c r="AA146" s="1305"/>
    </row>
    <row r="147" spans="1:27" ht="15" hidden="1" customHeight="1">
      <c r="A147" s="3"/>
      <c r="B147" s="5" t="s">
        <v>25</v>
      </c>
      <c r="D147" s="1306">
        <f>C148</f>
        <v>16600000</v>
      </c>
      <c r="E147" s="7" t="e">
        <f>D148</f>
        <v>#REF!</v>
      </c>
      <c r="F147" s="1306" t="e">
        <f t="shared" ref="F147:M147" si="144">D148</f>
        <v>#REF!</v>
      </c>
      <c r="G147" s="7" t="e">
        <f t="shared" si="144"/>
        <v>#REF!</v>
      </c>
      <c r="H147" s="1306" t="e">
        <f t="shared" si="144"/>
        <v>#REF!</v>
      </c>
      <c r="I147" s="7" t="e">
        <f t="shared" si="144"/>
        <v>#REF!</v>
      </c>
      <c r="J147" s="1306" t="e">
        <f t="shared" si="144"/>
        <v>#REF!</v>
      </c>
      <c r="K147" s="7" t="e">
        <f t="shared" si="144"/>
        <v>#REF!</v>
      </c>
      <c r="L147" s="1306" t="e">
        <f t="shared" si="144"/>
        <v>#REF!</v>
      </c>
      <c r="M147" s="7" t="e">
        <f t="shared" si="144"/>
        <v>#REF!</v>
      </c>
      <c r="N147" s="1306" t="e">
        <f t="shared" ref="N147:U147" si="145">L148</f>
        <v>#REF!</v>
      </c>
      <c r="O147" s="7" t="e">
        <f t="shared" si="145"/>
        <v>#REF!</v>
      </c>
      <c r="P147" s="1306" t="e">
        <f t="shared" si="145"/>
        <v>#REF!</v>
      </c>
      <c r="Q147" s="1275" t="e">
        <f t="shared" si="145"/>
        <v>#REF!</v>
      </c>
      <c r="R147" s="7" t="e">
        <f t="shared" si="145"/>
        <v>#REF!</v>
      </c>
      <c r="S147" s="7" t="e">
        <f t="shared" si="145"/>
        <v>#REF!</v>
      </c>
      <c r="T147" s="1701" t="e">
        <f t="shared" si="145"/>
        <v>#REF!</v>
      </c>
      <c r="U147" s="7" t="e">
        <f t="shared" si="145"/>
        <v>#REF!</v>
      </c>
      <c r="V147" s="1306" t="e">
        <f>T148</f>
        <v>#REF!</v>
      </c>
      <c r="W147" s="1275" t="e">
        <f>U148</f>
        <v>#REF!</v>
      </c>
      <c r="X147" s="7" t="e">
        <f>V148</f>
        <v>#REF!</v>
      </c>
      <c r="Y147" s="7" t="e">
        <f>W148</f>
        <v>#REF!</v>
      </c>
      <c r="Z147" s="1568" t="e">
        <f>X148</f>
        <v>#REF!</v>
      </c>
      <c r="AA147" s="1306" t="e">
        <f>Y148</f>
        <v>#REF!</v>
      </c>
    </row>
    <row r="148" spans="1:27" ht="15" hidden="1" customHeight="1">
      <c r="A148" s="3"/>
      <c r="B148" s="5" t="s">
        <v>26</v>
      </c>
      <c r="C148" s="1568">
        <v>16600000</v>
      </c>
      <c r="D148" s="1306" t="e">
        <f>-#REF!*$C$146/30</f>
        <v>#REF!</v>
      </c>
      <c r="E148" s="7" t="e">
        <f>-#REF!*$C$146/30</f>
        <v>#REF!</v>
      </c>
      <c r="F148" s="1306" t="e">
        <f>-#REF!*$C$146/30</f>
        <v>#REF!</v>
      </c>
      <c r="G148" s="7" t="e">
        <f>-#REF!*$C$146/30</f>
        <v>#REF!</v>
      </c>
      <c r="H148" s="1306" t="e">
        <f>-#REF!*$C$146/30</f>
        <v>#REF!</v>
      </c>
      <c r="I148" s="7" t="e">
        <f>-#REF!*$C$146/30</f>
        <v>#REF!</v>
      </c>
      <c r="J148" s="1306" t="e">
        <f>-#REF!*$C$146/30</f>
        <v>#REF!</v>
      </c>
      <c r="K148" s="7" t="e">
        <f>-#REF!*$C$146/30</f>
        <v>#REF!</v>
      </c>
      <c r="L148" s="1306" t="e">
        <f>-#REF!*$C$146/30</f>
        <v>#REF!</v>
      </c>
      <c r="M148" s="7" t="e">
        <f>-#REF!*$C$146/30</f>
        <v>#REF!</v>
      </c>
      <c r="N148" s="1306" t="e">
        <f>-#REF!*$C$146/30</f>
        <v>#REF!</v>
      </c>
      <c r="O148" s="7" t="e">
        <f>-#REF!*$C$146/30</f>
        <v>#REF!</v>
      </c>
      <c r="P148" s="1306" t="e">
        <f>-#REF!*$C$146/30</f>
        <v>#REF!</v>
      </c>
      <c r="Q148" s="1275" t="e">
        <f>-#REF!*$C$146/30</f>
        <v>#REF!</v>
      </c>
      <c r="R148" s="7" t="e">
        <f>-#REF!*$C$146/30</f>
        <v>#REF!</v>
      </c>
      <c r="S148" s="7" t="e">
        <f>-#REF!*$C$146/30</f>
        <v>#REF!</v>
      </c>
      <c r="T148" s="1701" t="e">
        <f>-#REF!*$C$146/30</f>
        <v>#REF!</v>
      </c>
      <c r="U148" s="7" t="e">
        <f>-#REF!*$C$146/30</f>
        <v>#REF!</v>
      </c>
      <c r="V148" s="1306" t="e">
        <f>-#REF!*$C$146/30</f>
        <v>#REF!</v>
      </c>
      <c r="W148" s="1275" t="e">
        <f>-#REF!*$C$146/30</f>
        <v>#REF!</v>
      </c>
      <c r="X148" s="7" t="e">
        <f>-#REF!*$C$146/30</f>
        <v>#REF!</v>
      </c>
      <c r="Y148" s="7" t="e">
        <f>-#REF!*$C$146/30</f>
        <v>#REF!</v>
      </c>
      <c r="Z148" s="1568" t="e">
        <f>-#REF!*$C$146/30</f>
        <v>#REF!</v>
      </c>
      <c r="AA148" s="1306" t="e">
        <f>-#REF!*$C$146/30</f>
        <v>#REF!</v>
      </c>
    </row>
    <row r="149" spans="1:27" ht="15" hidden="1" customHeight="1">
      <c r="A149" s="3"/>
      <c r="B149" s="5" t="s">
        <v>27</v>
      </c>
      <c r="D149" s="1306" t="e">
        <f t="shared" ref="D149:Z149" si="146">D148-D147</f>
        <v>#REF!</v>
      </c>
      <c r="E149" s="7" t="e">
        <f>E148-E147</f>
        <v>#REF!</v>
      </c>
      <c r="F149" s="1306" t="e">
        <f t="shared" si="146"/>
        <v>#REF!</v>
      </c>
      <c r="G149" s="7" t="e">
        <f>G148-G147</f>
        <v>#REF!</v>
      </c>
      <c r="H149" s="1306" t="e">
        <f t="shared" si="146"/>
        <v>#REF!</v>
      </c>
      <c r="I149" s="7" t="e">
        <f t="shared" si="146"/>
        <v>#REF!</v>
      </c>
      <c r="J149" s="1306" t="e">
        <f t="shared" si="146"/>
        <v>#REF!</v>
      </c>
      <c r="K149" s="7" t="e">
        <f>K148-K147</f>
        <v>#REF!</v>
      </c>
      <c r="L149" s="1306" t="e">
        <f t="shared" si="146"/>
        <v>#REF!</v>
      </c>
      <c r="M149" s="7" t="e">
        <f>M148-M147</f>
        <v>#REF!</v>
      </c>
      <c r="N149" s="1306" t="e">
        <f t="shared" si="146"/>
        <v>#REF!</v>
      </c>
      <c r="O149" s="7" t="e">
        <f>O148-O147</f>
        <v>#REF!</v>
      </c>
      <c r="P149" s="1306" t="e">
        <f t="shared" si="146"/>
        <v>#REF!</v>
      </c>
      <c r="Q149" s="1275" t="e">
        <f>Q148-Q147</f>
        <v>#REF!</v>
      </c>
      <c r="R149" s="7" t="e">
        <f t="shared" si="146"/>
        <v>#REF!</v>
      </c>
      <c r="S149" s="7" t="e">
        <f>S148-S147</f>
        <v>#REF!</v>
      </c>
      <c r="T149" s="1701" t="e">
        <f t="shared" si="146"/>
        <v>#REF!</v>
      </c>
      <c r="U149" s="7" t="e">
        <f>U148-U147</f>
        <v>#REF!</v>
      </c>
      <c r="V149" s="1306" t="e">
        <f t="shared" si="146"/>
        <v>#REF!</v>
      </c>
      <c r="W149" s="1275" t="e">
        <f>W148-W147</f>
        <v>#REF!</v>
      </c>
      <c r="X149" s="7" t="e">
        <f t="shared" si="146"/>
        <v>#REF!</v>
      </c>
      <c r="Y149" s="7" t="e">
        <f t="shared" ref="Y149" si="147">Y148-Y147</f>
        <v>#REF!</v>
      </c>
      <c r="Z149" s="1568" t="e">
        <f t="shared" si="146"/>
        <v>#REF!</v>
      </c>
      <c r="AA149" s="1306" t="e">
        <f t="shared" ref="AA149" si="148">AA148-AA147</f>
        <v>#REF!</v>
      </c>
    </row>
    <row r="150" spans="1:27" ht="15" hidden="1" customHeight="1">
      <c r="A150" s="3"/>
      <c r="B150" s="3"/>
      <c r="D150" s="96"/>
      <c r="E150" s="3"/>
      <c r="F150" s="96"/>
      <c r="G150" s="3"/>
      <c r="H150" s="96"/>
      <c r="I150" s="3"/>
      <c r="J150" s="96"/>
      <c r="K150" s="3"/>
      <c r="L150" s="96"/>
      <c r="M150" s="3"/>
      <c r="N150" s="96"/>
      <c r="O150" s="3"/>
      <c r="P150" s="96"/>
      <c r="Q150" s="1265"/>
      <c r="R150" s="3"/>
      <c r="S150" s="3"/>
      <c r="T150" s="1685"/>
      <c r="U150" s="3"/>
      <c r="V150" s="96"/>
      <c r="W150" s="1265"/>
      <c r="X150" s="3"/>
      <c r="Y150" s="3"/>
      <c r="Z150" s="1569"/>
      <c r="AA150" s="96"/>
    </row>
    <row r="151" spans="1:27" ht="15" hidden="1" customHeight="1">
      <c r="A151" s="3"/>
      <c r="B151" s="6" t="s">
        <v>28</v>
      </c>
      <c r="D151" s="1307"/>
      <c r="E151" s="6"/>
      <c r="F151" s="1307"/>
      <c r="G151" s="6"/>
      <c r="H151" s="1307"/>
      <c r="I151" s="6"/>
      <c r="J151" s="1307"/>
      <c r="K151" s="6"/>
      <c r="L151" s="1307"/>
      <c r="M151" s="6"/>
      <c r="N151" s="1307"/>
      <c r="O151" s="6"/>
      <c r="P151" s="1307"/>
      <c r="Q151" s="1276"/>
      <c r="R151" s="6"/>
      <c r="S151" s="6"/>
      <c r="T151" s="1702"/>
      <c r="U151" s="6"/>
      <c r="V151" s="1307"/>
      <c r="W151" s="1276"/>
      <c r="X151" s="6"/>
      <c r="Y151" s="6"/>
      <c r="Z151" s="1620"/>
      <c r="AA151" s="1307"/>
    </row>
    <row r="152" spans="1:27" ht="15" hidden="1" customHeight="1">
      <c r="A152" s="3"/>
      <c r="B152" s="5" t="s">
        <v>29</v>
      </c>
      <c r="C152" s="1568">
        <v>80</v>
      </c>
      <c r="D152" s="1305"/>
      <c r="E152" s="1012"/>
      <c r="F152" s="1305"/>
      <c r="G152" s="1012"/>
      <c r="H152" s="1305"/>
      <c r="I152" s="1012"/>
      <c r="J152" s="1305"/>
      <c r="K152" s="1012"/>
      <c r="L152" s="1305"/>
      <c r="M152" s="1012"/>
      <c r="N152" s="1305"/>
      <c r="O152" s="1012"/>
      <c r="P152" s="1305"/>
      <c r="Q152" s="1274"/>
      <c r="R152" s="1012"/>
      <c r="S152" s="1012"/>
      <c r="T152" s="1700"/>
      <c r="U152" s="1012"/>
      <c r="V152" s="1305"/>
      <c r="W152" s="1274"/>
      <c r="X152" s="1012"/>
      <c r="Y152" s="1012"/>
      <c r="Z152" s="1619"/>
      <c r="AA152" s="1305"/>
    </row>
    <row r="153" spans="1:27" ht="15" hidden="1" customHeight="1">
      <c r="A153" s="3"/>
      <c r="B153" s="5" t="s">
        <v>30</v>
      </c>
      <c r="D153" s="1305">
        <f>C154</f>
        <v>25000000</v>
      </c>
      <c r="E153" s="1012" t="e">
        <f>D154</f>
        <v>#REF!</v>
      </c>
      <c r="F153" s="1305" t="e">
        <f t="shared" ref="F153:M153" si="149">D154</f>
        <v>#REF!</v>
      </c>
      <c r="G153" s="1012" t="e">
        <f t="shared" si="149"/>
        <v>#REF!</v>
      </c>
      <c r="H153" s="1305" t="e">
        <f t="shared" si="149"/>
        <v>#REF!</v>
      </c>
      <c r="I153" s="1012" t="e">
        <f t="shared" si="149"/>
        <v>#REF!</v>
      </c>
      <c r="J153" s="1305" t="e">
        <f t="shared" si="149"/>
        <v>#REF!</v>
      </c>
      <c r="K153" s="1012" t="e">
        <f t="shared" si="149"/>
        <v>#REF!</v>
      </c>
      <c r="L153" s="1305" t="e">
        <f t="shared" si="149"/>
        <v>#REF!</v>
      </c>
      <c r="M153" s="1012" t="e">
        <f t="shared" si="149"/>
        <v>#REF!</v>
      </c>
      <c r="N153" s="1305" t="e">
        <f t="shared" ref="N153:U153" si="150">L154</f>
        <v>#REF!</v>
      </c>
      <c r="O153" s="1012" t="e">
        <f t="shared" si="150"/>
        <v>#REF!</v>
      </c>
      <c r="P153" s="1305" t="e">
        <f t="shared" si="150"/>
        <v>#REF!</v>
      </c>
      <c r="Q153" s="1274" t="e">
        <f t="shared" si="150"/>
        <v>#REF!</v>
      </c>
      <c r="R153" s="1012" t="e">
        <f t="shared" si="150"/>
        <v>#REF!</v>
      </c>
      <c r="S153" s="1012" t="e">
        <f t="shared" si="150"/>
        <v>#REF!</v>
      </c>
      <c r="T153" s="1700" t="e">
        <f t="shared" si="150"/>
        <v>#REF!</v>
      </c>
      <c r="U153" s="1012" t="e">
        <f t="shared" si="150"/>
        <v>#REF!</v>
      </c>
      <c r="V153" s="1305" t="e">
        <f>T154</f>
        <v>#REF!</v>
      </c>
      <c r="W153" s="1274" t="e">
        <f>U154</f>
        <v>#REF!</v>
      </c>
      <c r="X153" s="1012" t="e">
        <f>V154</f>
        <v>#REF!</v>
      </c>
      <c r="Y153" s="1012" t="e">
        <f>W154</f>
        <v>#REF!</v>
      </c>
      <c r="Z153" s="1619" t="e">
        <f>X154</f>
        <v>#REF!</v>
      </c>
      <c r="AA153" s="1305" t="e">
        <f>Y154</f>
        <v>#REF!</v>
      </c>
    </row>
    <row r="154" spans="1:27" ht="15" hidden="1" customHeight="1">
      <c r="A154" s="3"/>
      <c r="B154" s="5" t="s">
        <v>31</v>
      </c>
      <c r="C154" s="1568">
        <v>25000000</v>
      </c>
      <c r="D154" s="1305" t="e">
        <f>-#REF!*$C$152/30</f>
        <v>#REF!</v>
      </c>
      <c r="E154" s="1012" t="e">
        <f>-#REF!*$C$152/30</f>
        <v>#REF!</v>
      </c>
      <c r="F154" s="1305" t="e">
        <f>-#REF!*$C$152/30</f>
        <v>#REF!</v>
      </c>
      <c r="G154" s="1012" t="e">
        <f>-#REF!*$C$152/30</f>
        <v>#REF!</v>
      </c>
      <c r="H154" s="1305" t="e">
        <f>-#REF!*$C$152/30</f>
        <v>#REF!</v>
      </c>
      <c r="I154" s="1012" t="e">
        <f>-#REF!*$C$152/30</f>
        <v>#REF!</v>
      </c>
      <c r="J154" s="1305" t="e">
        <f>-#REF!*$C$152/30</f>
        <v>#REF!</v>
      </c>
      <c r="K154" s="1012" t="e">
        <f>-#REF!*$C$152/30</f>
        <v>#REF!</v>
      </c>
      <c r="L154" s="1305" t="e">
        <f>-#REF!*$C$152/30</f>
        <v>#REF!</v>
      </c>
      <c r="M154" s="1012" t="e">
        <f>-#REF!*$C$152/30</f>
        <v>#REF!</v>
      </c>
      <c r="N154" s="1305" t="e">
        <f>-#REF!*$C$152/30</f>
        <v>#REF!</v>
      </c>
      <c r="O154" s="1012" t="e">
        <f>-#REF!*$C$152/30</f>
        <v>#REF!</v>
      </c>
      <c r="P154" s="1305" t="e">
        <f>-#REF!*$C$152/30</f>
        <v>#REF!</v>
      </c>
      <c r="Q154" s="1274" t="e">
        <f>-#REF!*$C$152/30</f>
        <v>#REF!</v>
      </c>
      <c r="R154" s="1012" t="e">
        <f>-#REF!*$C$152/30</f>
        <v>#REF!</v>
      </c>
      <c r="S154" s="1012" t="e">
        <f>-#REF!*$C$152/30</f>
        <v>#REF!</v>
      </c>
      <c r="T154" s="1700" t="e">
        <f>-#REF!*$C$152/30</f>
        <v>#REF!</v>
      </c>
      <c r="U154" s="1012" t="e">
        <f>-#REF!*$C$152/30</f>
        <v>#REF!</v>
      </c>
      <c r="V154" s="1305" t="e">
        <f>-#REF!*$C$152/30</f>
        <v>#REF!</v>
      </c>
      <c r="W154" s="1274" t="e">
        <f>-#REF!*$C$152/30</f>
        <v>#REF!</v>
      </c>
      <c r="X154" s="1012" t="e">
        <f>-#REF!*$C$152/30</f>
        <v>#REF!</v>
      </c>
      <c r="Y154" s="1012" t="e">
        <f>-#REF!*$C$152/30</f>
        <v>#REF!</v>
      </c>
      <c r="Z154" s="1619" t="e">
        <f>-#REF!*$C$152/30</f>
        <v>#REF!</v>
      </c>
      <c r="AA154" s="1305" t="e">
        <f>-#REF!*$C$152/30</f>
        <v>#REF!</v>
      </c>
    </row>
    <row r="155" spans="1:27" ht="15" hidden="1" customHeight="1">
      <c r="A155" s="3"/>
      <c r="B155" s="5" t="s">
        <v>32</v>
      </c>
      <c r="D155" s="1305" t="e">
        <f t="shared" ref="D155:Z155" si="151">D154-D153</f>
        <v>#REF!</v>
      </c>
      <c r="E155" s="1012" t="e">
        <f>E154-E153</f>
        <v>#REF!</v>
      </c>
      <c r="F155" s="1305" t="e">
        <f t="shared" si="151"/>
        <v>#REF!</v>
      </c>
      <c r="G155" s="1012" t="e">
        <f>G154-G153</f>
        <v>#REF!</v>
      </c>
      <c r="H155" s="1305" t="e">
        <f t="shared" si="151"/>
        <v>#REF!</v>
      </c>
      <c r="I155" s="1012" t="e">
        <f t="shared" si="151"/>
        <v>#REF!</v>
      </c>
      <c r="J155" s="1305" t="e">
        <f t="shared" si="151"/>
        <v>#REF!</v>
      </c>
      <c r="K155" s="1012" t="e">
        <f>K154-K153</f>
        <v>#REF!</v>
      </c>
      <c r="L155" s="1305" t="e">
        <f t="shared" si="151"/>
        <v>#REF!</v>
      </c>
      <c r="M155" s="1012" t="e">
        <f>M154-M153</f>
        <v>#REF!</v>
      </c>
      <c r="N155" s="1305" t="e">
        <f t="shared" si="151"/>
        <v>#REF!</v>
      </c>
      <c r="O155" s="1012" t="e">
        <f>O154-O153</f>
        <v>#REF!</v>
      </c>
      <c r="P155" s="1305" t="e">
        <f t="shared" si="151"/>
        <v>#REF!</v>
      </c>
      <c r="Q155" s="1274" t="e">
        <f>Q154-Q153</f>
        <v>#REF!</v>
      </c>
      <c r="R155" s="1012" t="e">
        <f t="shared" si="151"/>
        <v>#REF!</v>
      </c>
      <c r="S155" s="1012" t="e">
        <f>S154-S153</f>
        <v>#REF!</v>
      </c>
      <c r="T155" s="1700" t="e">
        <f t="shared" si="151"/>
        <v>#REF!</v>
      </c>
      <c r="U155" s="1012" t="e">
        <f>U154-U153</f>
        <v>#REF!</v>
      </c>
      <c r="V155" s="1305" t="e">
        <f t="shared" si="151"/>
        <v>#REF!</v>
      </c>
      <c r="W155" s="1274" t="e">
        <f>W154-W153</f>
        <v>#REF!</v>
      </c>
      <c r="X155" s="1012" t="e">
        <f t="shared" si="151"/>
        <v>#REF!</v>
      </c>
      <c r="Y155" s="1012" t="e">
        <f t="shared" ref="Y155" si="152">Y154-Y153</f>
        <v>#REF!</v>
      </c>
      <c r="Z155" s="1619" t="e">
        <f t="shared" si="151"/>
        <v>#REF!</v>
      </c>
      <c r="AA155" s="1305" t="e">
        <f t="shared" ref="AA155" si="153">AA154-AA153</f>
        <v>#REF!</v>
      </c>
    </row>
    <row r="156" spans="1:27" ht="15" hidden="1" customHeight="1">
      <c r="A156" s="3"/>
      <c r="B156" s="3"/>
      <c r="C156" s="1569"/>
      <c r="D156" s="96"/>
      <c r="E156" s="3"/>
      <c r="F156" s="96"/>
      <c r="G156" s="3"/>
      <c r="H156" s="96"/>
      <c r="I156" s="3"/>
      <c r="J156" s="96"/>
      <c r="K156" s="3"/>
      <c r="L156" s="96"/>
      <c r="M156" s="3"/>
      <c r="N156" s="96"/>
      <c r="O156" s="3"/>
      <c r="P156" s="96"/>
      <c r="Q156" s="1265"/>
      <c r="R156" s="3"/>
      <c r="S156" s="3"/>
      <c r="T156" s="1685"/>
      <c r="U156" s="3"/>
      <c r="V156" s="96"/>
      <c r="W156" s="1265"/>
      <c r="X156" s="3"/>
      <c r="Y156" s="3"/>
      <c r="Z156" s="1569"/>
      <c r="AA156" s="96"/>
    </row>
    <row r="157" spans="1:27" ht="15" hidden="1" customHeight="1">
      <c r="A157" s="3"/>
      <c r="B157" s="8" t="s">
        <v>33</v>
      </c>
      <c r="D157" s="1308"/>
      <c r="E157" s="8"/>
      <c r="F157" s="1308"/>
      <c r="G157" s="8"/>
      <c r="H157" s="1308"/>
      <c r="I157" s="8"/>
      <c r="J157" s="1308"/>
      <c r="K157" s="8"/>
      <c r="L157" s="1308"/>
      <c r="M157" s="8"/>
      <c r="N157" s="1308"/>
      <c r="O157" s="8"/>
      <c r="P157" s="1308"/>
      <c r="Q157" s="1277"/>
      <c r="R157" s="8"/>
      <c r="S157" s="8"/>
      <c r="T157" s="1703"/>
      <c r="U157" s="8"/>
      <c r="V157" s="1308"/>
      <c r="W157" s="1277"/>
      <c r="X157" s="8"/>
      <c r="Y157" s="8"/>
      <c r="Z157" s="1621"/>
      <c r="AA157" s="1308"/>
    </row>
    <row r="158" spans="1:27" ht="15" hidden="1" customHeight="1">
      <c r="A158" s="3"/>
      <c r="B158" s="7" t="s">
        <v>34</v>
      </c>
      <c r="C158" s="1568">
        <v>60</v>
      </c>
      <c r="D158" s="1306"/>
      <c r="E158" s="7"/>
      <c r="F158" s="1306"/>
      <c r="G158" s="7"/>
      <c r="H158" s="1306"/>
      <c r="I158" s="7"/>
      <c r="J158" s="1306"/>
      <c r="K158" s="7"/>
      <c r="L158" s="1306"/>
      <c r="M158" s="7"/>
      <c r="N158" s="1306"/>
      <c r="O158" s="7"/>
      <c r="P158" s="1306"/>
      <c r="Q158" s="1275"/>
      <c r="R158" s="7"/>
      <c r="S158" s="7"/>
      <c r="T158" s="1701"/>
      <c r="U158" s="7"/>
      <c r="V158" s="1306"/>
      <c r="W158" s="1275"/>
      <c r="X158" s="7"/>
      <c r="Y158" s="7"/>
      <c r="Z158" s="1568"/>
      <c r="AA158" s="1306"/>
    </row>
    <row r="159" spans="1:27" ht="15" hidden="1" customHeight="1">
      <c r="A159" s="3"/>
      <c r="B159" s="7" t="s">
        <v>35</v>
      </c>
      <c r="D159" s="1306">
        <f>C160</f>
        <v>16600000</v>
      </c>
      <c r="E159" s="7">
        <f>D160</f>
        <v>24845827.46986286</v>
      </c>
      <c r="F159" s="1306">
        <f t="shared" ref="F159:M159" si="154">D160</f>
        <v>24845827.46986286</v>
      </c>
      <c r="G159" s="7">
        <f t="shared" si="154"/>
        <v>19267903.082857143</v>
      </c>
      <c r="H159" s="1306">
        <f t="shared" si="154"/>
        <v>25260800.85078178</v>
      </c>
      <c r="I159" s="7">
        <f t="shared" si="154"/>
        <v>22985313.170476187</v>
      </c>
      <c r="J159" s="1306">
        <f t="shared" si="154"/>
        <v>33446505.803870417</v>
      </c>
      <c r="K159" s="7">
        <f t="shared" si="154"/>
        <v>21593932.280952379</v>
      </c>
      <c r="L159" s="1306">
        <f t="shared" si="154"/>
        <v>31979234.796277635</v>
      </c>
      <c r="M159" s="7">
        <f t="shared" si="154"/>
        <v>23084724.330476187</v>
      </c>
      <c r="N159" s="1306">
        <f t="shared" ref="N159:U159" si="155">L160</f>
        <v>31170785.945562419</v>
      </c>
      <c r="O159" s="7">
        <f t="shared" si="155"/>
        <v>23917252.780952379</v>
      </c>
      <c r="P159" s="1306">
        <f t="shared" si="155"/>
        <v>29750143.207420852</v>
      </c>
      <c r="Q159" s="1275">
        <f t="shared" si="155"/>
        <v>20951023.786666665</v>
      </c>
      <c r="R159" s="7">
        <f t="shared" si="155"/>
        <v>31660338.64029742</v>
      </c>
      <c r="S159" s="7">
        <f t="shared" si="155"/>
        <v>22301669.788571429</v>
      </c>
      <c r="T159" s="1701">
        <f t="shared" si="155"/>
        <v>32706740.771149561</v>
      </c>
      <c r="U159" s="7">
        <f t="shared" si="155"/>
        <v>20757674.844761904</v>
      </c>
      <c r="V159" s="1306">
        <f>T160</f>
        <v>35602906.97458858</v>
      </c>
      <c r="W159" s="1275">
        <f>U160</f>
        <v>22899579.642857142</v>
      </c>
      <c r="X159" s="7">
        <f>V160</f>
        <v>36725530.902411684</v>
      </c>
      <c r="Y159" s="7">
        <f>W160</f>
        <v>23786026.831428573</v>
      </c>
      <c r="Z159" s="1568">
        <f>X160</f>
        <v>38021434.726946086</v>
      </c>
      <c r="AA159" s="1306">
        <f>Y160</f>
        <v>23195430.094285715</v>
      </c>
    </row>
    <row r="160" spans="1:27" ht="15" hidden="1" customHeight="1">
      <c r="A160" s="3"/>
      <c r="B160" s="7" t="s">
        <v>36</v>
      </c>
      <c r="C160" s="1568">
        <v>16600000</v>
      </c>
      <c r="D160" s="1306">
        <f t="shared" ref="D160:Z160" si="156">D9*$C$158/30</f>
        <v>24845827.46986286</v>
      </c>
      <c r="E160" s="7">
        <f t="shared" si="156"/>
        <v>19267903.082857143</v>
      </c>
      <c r="F160" s="1306">
        <f t="shared" si="156"/>
        <v>25260800.85078178</v>
      </c>
      <c r="G160" s="7">
        <f t="shared" si="156"/>
        <v>22985313.170476187</v>
      </c>
      <c r="H160" s="1306">
        <f t="shared" si="156"/>
        <v>33446505.803870417</v>
      </c>
      <c r="I160" s="7">
        <f t="shared" si="156"/>
        <v>21593932.280952379</v>
      </c>
      <c r="J160" s="1306">
        <f t="shared" si="156"/>
        <v>31979234.796277635</v>
      </c>
      <c r="K160" s="7">
        <f t="shared" si="156"/>
        <v>23084724.330476187</v>
      </c>
      <c r="L160" s="1306">
        <f t="shared" si="156"/>
        <v>31170785.945562419</v>
      </c>
      <c r="M160" s="7">
        <f t="shared" si="156"/>
        <v>23917252.780952379</v>
      </c>
      <c r="N160" s="1306">
        <f t="shared" si="156"/>
        <v>29750143.207420852</v>
      </c>
      <c r="O160" s="7">
        <f>O9*$C$158/30</f>
        <v>20951023.786666665</v>
      </c>
      <c r="P160" s="1306">
        <f t="shared" si="156"/>
        <v>31660338.64029742</v>
      </c>
      <c r="Q160" s="1275">
        <f>Q9*$C$158/30</f>
        <v>22301669.788571429</v>
      </c>
      <c r="R160" s="7">
        <f t="shared" si="156"/>
        <v>32706740.771149561</v>
      </c>
      <c r="S160" s="7">
        <f>S9*$C$158/30</f>
        <v>20757674.844761904</v>
      </c>
      <c r="T160" s="1701">
        <f t="shared" si="156"/>
        <v>35602906.97458858</v>
      </c>
      <c r="U160" s="7">
        <f>U9*$C$158/30</f>
        <v>22899579.642857142</v>
      </c>
      <c r="V160" s="1306">
        <f t="shared" si="156"/>
        <v>36725530.902411684</v>
      </c>
      <c r="W160" s="1275">
        <f>W9*$C$158/30</f>
        <v>23786026.831428573</v>
      </c>
      <c r="X160" s="7">
        <f t="shared" si="156"/>
        <v>38021434.726946086</v>
      </c>
      <c r="Y160" s="7">
        <f t="shared" ref="Y160" si="157">Y9*$C$158/30</f>
        <v>23195430.094285715</v>
      </c>
      <c r="Z160" s="1568">
        <f t="shared" si="156"/>
        <v>38734430.954461455</v>
      </c>
      <c r="AA160" s="1306">
        <f t="shared" ref="AA160" si="158">AA9*$C$158/30</f>
        <v>32821827.162857141</v>
      </c>
    </row>
    <row r="161" spans="1:27" ht="15" hidden="1" customHeight="1">
      <c r="A161" s="3"/>
      <c r="B161" s="7" t="s">
        <v>37</v>
      </c>
      <c r="D161" s="1306">
        <f t="shared" ref="D161:Z161" si="159">D160-D159</f>
        <v>8245827.4698628597</v>
      </c>
      <c r="E161" s="7">
        <f>E160-E159</f>
        <v>-5577924.3870057166</v>
      </c>
      <c r="F161" s="1306">
        <f t="shared" si="159"/>
        <v>414973.38091892004</v>
      </c>
      <c r="G161" s="7">
        <f>G160-G159</f>
        <v>3717410.0876190439</v>
      </c>
      <c r="H161" s="1306">
        <f t="shared" si="159"/>
        <v>8185704.9530886374</v>
      </c>
      <c r="I161" s="7">
        <f t="shared" si="159"/>
        <v>-1391380.8895238079</v>
      </c>
      <c r="J161" s="1306">
        <f t="shared" si="159"/>
        <v>-1467271.0075927824</v>
      </c>
      <c r="K161" s="7">
        <f>K160-K159</f>
        <v>1490792.0495238081</v>
      </c>
      <c r="L161" s="1306">
        <f t="shared" si="159"/>
        <v>-808448.85071521625</v>
      </c>
      <c r="M161" s="7">
        <f>M160-M159</f>
        <v>832528.45047619194</v>
      </c>
      <c r="N161" s="1306">
        <f t="shared" si="159"/>
        <v>-1420642.7381415665</v>
      </c>
      <c r="O161" s="7">
        <f>O160-O159</f>
        <v>-2966228.9942857139</v>
      </c>
      <c r="P161" s="1306">
        <f t="shared" si="159"/>
        <v>1910195.4328765683</v>
      </c>
      <c r="Q161" s="1275">
        <f>Q160-Q159</f>
        <v>1350646.0019047633</v>
      </c>
      <c r="R161" s="7">
        <f t="shared" si="159"/>
        <v>1046402.1308521405</v>
      </c>
      <c r="S161" s="7">
        <f>S160-S159</f>
        <v>-1543994.9438095242</v>
      </c>
      <c r="T161" s="1701">
        <f t="shared" si="159"/>
        <v>2896166.2034390196</v>
      </c>
      <c r="U161" s="7">
        <f>U160-U159</f>
        <v>2141904.7980952375</v>
      </c>
      <c r="V161" s="1306">
        <f t="shared" si="159"/>
        <v>1122623.927823104</v>
      </c>
      <c r="W161" s="1275">
        <f>W160-W159</f>
        <v>886447.18857143074</v>
      </c>
      <c r="X161" s="7">
        <f t="shared" si="159"/>
        <v>1295903.8245344013</v>
      </c>
      <c r="Y161" s="7">
        <f t="shared" ref="Y161" si="160">Y160-Y159</f>
        <v>-590596.73714285716</v>
      </c>
      <c r="Z161" s="1568">
        <f t="shared" si="159"/>
        <v>712996.22751536965</v>
      </c>
      <c r="AA161" s="1306">
        <f t="shared" ref="AA161" si="161">AA160-AA159</f>
        <v>9626397.068571426</v>
      </c>
    </row>
    <row r="162" spans="1:27" ht="15.6" hidden="1" customHeight="1">
      <c r="A162" s="4"/>
      <c r="B162" s="9" t="s">
        <v>38</v>
      </c>
      <c r="D162" s="1309"/>
      <c r="E162" s="1013"/>
      <c r="F162" s="1309"/>
      <c r="G162" s="1013"/>
      <c r="H162" s="1309"/>
      <c r="I162" s="1013"/>
      <c r="J162" s="1309"/>
      <c r="K162" s="1013"/>
      <c r="L162" s="1309"/>
      <c r="M162" s="1013"/>
      <c r="N162" s="1309"/>
      <c r="O162" s="1013"/>
      <c r="P162" s="1309"/>
      <c r="Q162" s="1278"/>
      <c r="R162" s="1013"/>
      <c r="S162" s="1013"/>
      <c r="T162" s="1704"/>
      <c r="U162" s="1013"/>
      <c r="V162" s="1309"/>
      <c r="W162" s="1278"/>
      <c r="X162" s="1013"/>
      <c r="Y162" s="1013"/>
      <c r="Z162" s="1622"/>
      <c r="AA162" s="1309"/>
    </row>
    <row r="163" spans="1:27" ht="15" hidden="1" customHeight="1">
      <c r="A163" s="3"/>
      <c r="B163" s="7" t="s">
        <v>39</v>
      </c>
      <c r="D163" s="1306">
        <f>C168</f>
        <v>5000000</v>
      </c>
      <c r="E163" s="7" t="e">
        <f>D168</f>
        <v>#REF!</v>
      </c>
      <c r="F163" s="1306" t="e">
        <f t="shared" ref="F163:M163" si="162">D168</f>
        <v>#REF!</v>
      </c>
      <c r="G163" s="7" t="e">
        <f t="shared" si="162"/>
        <v>#REF!</v>
      </c>
      <c r="H163" s="1306" t="e">
        <f t="shared" si="162"/>
        <v>#REF!</v>
      </c>
      <c r="I163" s="7" t="e">
        <f t="shared" si="162"/>
        <v>#REF!</v>
      </c>
      <c r="J163" s="1306" t="e">
        <f t="shared" si="162"/>
        <v>#REF!</v>
      </c>
      <c r="K163" s="7" t="e">
        <f t="shared" si="162"/>
        <v>#REF!</v>
      </c>
      <c r="L163" s="1306" t="e">
        <f t="shared" si="162"/>
        <v>#REF!</v>
      </c>
      <c r="M163" s="7" t="e">
        <f t="shared" si="162"/>
        <v>#REF!</v>
      </c>
      <c r="N163" s="1306" t="e">
        <f t="shared" ref="N163:U163" si="163">L168</f>
        <v>#REF!</v>
      </c>
      <c r="O163" s="7" t="e">
        <f t="shared" si="163"/>
        <v>#REF!</v>
      </c>
      <c r="P163" s="1306" t="e">
        <f t="shared" si="163"/>
        <v>#REF!</v>
      </c>
      <c r="Q163" s="1275" t="e">
        <f t="shared" si="163"/>
        <v>#REF!</v>
      </c>
      <c r="R163" s="7" t="e">
        <f t="shared" si="163"/>
        <v>#REF!</v>
      </c>
      <c r="S163" s="7" t="e">
        <f t="shared" si="163"/>
        <v>#REF!</v>
      </c>
      <c r="T163" s="1701" t="e">
        <f t="shared" si="163"/>
        <v>#REF!</v>
      </c>
      <c r="U163" s="7" t="e">
        <f t="shared" si="163"/>
        <v>#REF!</v>
      </c>
      <c r="V163" s="1306" t="e">
        <f>T168</f>
        <v>#REF!</v>
      </c>
      <c r="W163" s="1275" t="e">
        <f>U168</f>
        <v>#REF!</v>
      </c>
      <c r="X163" s="7" t="e">
        <f>V168</f>
        <v>#REF!</v>
      </c>
      <c r="Y163" s="7" t="e">
        <f>W168</f>
        <v>#REF!</v>
      </c>
      <c r="Z163" s="1568" t="e">
        <f>X168</f>
        <v>#REF!</v>
      </c>
      <c r="AA163" s="1306" t="e">
        <f>Y168</f>
        <v>#REF!</v>
      </c>
    </row>
    <row r="164" spans="1:27" ht="30" hidden="1" customHeight="1">
      <c r="A164" s="3"/>
      <c r="B164" s="7" t="s">
        <v>40</v>
      </c>
      <c r="D164" s="1306" t="e">
        <f t="shared" ref="D164:Z164" si="164">D105+D108+D110-D143</f>
        <v>#REF!</v>
      </c>
      <c r="E164" s="7" t="e">
        <f>E105+E108+E110-E143</f>
        <v>#REF!</v>
      </c>
      <c r="F164" s="1306" t="e">
        <f t="shared" si="164"/>
        <v>#REF!</v>
      </c>
      <c r="G164" s="7" t="e">
        <f>G105+G108+G110-G143</f>
        <v>#REF!</v>
      </c>
      <c r="H164" s="1306" t="e">
        <f t="shared" si="164"/>
        <v>#REF!</v>
      </c>
      <c r="I164" s="7" t="e">
        <f t="shared" si="164"/>
        <v>#REF!</v>
      </c>
      <c r="J164" s="1306" t="e">
        <f t="shared" si="164"/>
        <v>#REF!</v>
      </c>
      <c r="K164" s="7" t="e">
        <f>K105+K108+K110-K143</f>
        <v>#REF!</v>
      </c>
      <c r="L164" s="1306" t="e">
        <f t="shared" si="164"/>
        <v>#REF!</v>
      </c>
      <c r="M164" s="7" t="e">
        <f>M105+M108+M110-M143</f>
        <v>#REF!</v>
      </c>
      <c r="N164" s="1306" t="e">
        <f t="shared" si="164"/>
        <v>#REF!</v>
      </c>
      <c r="O164" s="7" t="e">
        <f>O105+O108+O110-O143</f>
        <v>#REF!</v>
      </c>
      <c r="P164" s="1306" t="e">
        <f t="shared" si="164"/>
        <v>#REF!</v>
      </c>
      <c r="Q164" s="1275" t="e">
        <f>Q105+Q108+Q110-Q143</f>
        <v>#REF!</v>
      </c>
      <c r="R164" s="7" t="e">
        <f t="shared" si="164"/>
        <v>#REF!</v>
      </c>
      <c r="S164" s="7" t="e">
        <f>S105+S108+S110-S143</f>
        <v>#REF!</v>
      </c>
      <c r="T164" s="1701" t="e">
        <f t="shared" si="164"/>
        <v>#REF!</v>
      </c>
      <c r="U164" s="7" t="e">
        <f>U105+U108+U110-U143</f>
        <v>#REF!</v>
      </c>
      <c r="V164" s="1306" t="e">
        <f t="shared" si="164"/>
        <v>#REF!</v>
      </c>
      <c r="W164" s="1275" t="e">
        <f>W105+W108+W110-W143</f>
        <v>#REF!</v>
      </c>
      <c r="X164" s="7" t="e">
        <f t="shared" si="164"/>
        <v>#REF!</v>
      </c>
      <c r="Y164" s="7" t="e">
        <f t="shared" ref="Y164" si="165">Y105+Y108+Y110-Y143</f>
        <v>#REF!</v>
      </c>
      <c r="Z164" s="1568" t="e">
        <f t="shared" si="164"/>
        <v>#REF!</v>
      </c>
      <c r="AA164" s="1306" t="e">
        <f t="shared" ref="AA164" si="166">AA105+AA108+AA110-AA143</f>
        <v>#REF!</v>
      </c>
    </row>
    <row r="165" spans="1:27" ht="30" hidden="1" customHeight="1">
      <c r="A165" s="3"/>
      <c r="B165" s="7" t="s">
        <v>41</v>
      </c>
      <c r="D165" s="1306"/>
      <c r="E165" s="7"/>
      <c r="F165" s="1306"/>
      <c r="G165" s="7"/>
      <c r="H165" s="1306"/>
      <c r="I165" s="7"/>
      <c r="J165" s="1306"/>
      <c r="K165" s="7"/>
      <c r="L165" s="1306"/>
      <c r="M165" s="7"/>
      <c r="N165" s="1306"/>
      <c r="O165" s="7"/>
      <c r="P165" s="1306"/>
      <c r="Q165" s="1275"/>
      <c r="R165" s="7"/>
      <c r="S165" s="7"/>
      <c r="T165" s="1701"/>
      <c r="U165" s="7"/>
      <c r="V165" s="1306"/>
      <c r="W165" s="1275"/>
      <c r="X165" s="7"/>
      <c r="Y165" s="7"/>
      <c r="Z165" s="1568"/>
      <c r="AA165" s="1306"/>
    </row>
    <row r="166" spans="1:27" ht="15" hidden="1" customHeight="1">
      <c r="A166" s="3"/>
      <c r="B166" s="7" t="s">
        <v>42</v>
      </c>
      <c r="D166" s="1306"/>
      <c r="E166" s="7"/>
      <c r="F166" s="1306"/>
      <c r="G166" s="7"/>
      <c r="H166" s="1306"/>
      <c r="I166" s="7"/>
      <c r="J166" s="1306"/>
      <c r="K166" s="7"/>
      <c r="L166" s="1306"/>
      <c r="M166" s="7"/>
      <c r="N166" s="1306"/>
      <c r="O166" s="7"/>
      <c r="P166" s="1306"/>
      <c r="Q166" s="1275"/>
      <c r="R166" s="7"/>
      <c r="S166" s="7"/>
      <c r="T166" s="1701"/>
      <c r="U166" s="7"/>
      <c r="V166" s="1306"/>
      <c r="W166" s="1275"/>
      <c r="X166" s="7"/>
      <c r="Y166" s="7"/>
      <c r="Z166" s="1568"/>
      <c r="AA166" s="1306"/>
    </row>
    <row r="167" spans="1:27" ht="15" hidden="1" customHeight="1">
      <c r="A167" s="3"/>
      <c r="B167" s="7" t="s">
        <v>43</v>
      </c>
      <c r="D167" s="1306" t="e">
        <f t="shared" ref="D167:Z167" si="167">SUM(D164:D166)</f>
        <v>#REF!</v>
      </c>
      <c r="E167" s="7" t="e">
        <f>SUM(E164:E166)</f>
        <v>#REF!</v>
      </c>
      <c r="F167" s="1306" t="e">
        <f t="shared" si="167"/>
        <v>#REF!</v>
      </c>
      <c r="G167" s="7" t="e">
        <f>SUM(G164:G166)</f>
        <v>#REF!</v>
      </c>
      <c r="H167" s="1306" t="e">
        <f t="shared" si="167"/>
        <v>#REF!</v>
      </c>
      <c r="I167" s="7" t="e">
        <f>SUM(I164:I166)</f>
        <v>#REF!</v>
      </c>
      <c r="J167" s="1306" t="e">
        <f t="shared" si="167"/>
        <v>#REF!</v>
      </c>
      <c r="K167" s="7" t="e">
        <f>SUM(K164:K166)</f>
        <v>#REF!</v>
      </c>
      <c r="L167" s="1306" t="e">
        <f t="shared" si="167"/>
        <v>#REF!</v>
      </c>
      <c r="M167" s="7" t="e">
        <f>SUM(M164:M166)</f>
        <v>#REF!</v>
      </c>
      <c r="N167" s="1306" t="e">
        <f t="shared" si="167"/>
        <v>#REF!</v>
      </c>
      <c r="O167" s="7" t="e">
        <f>SUM(O164:O166)</f>
        <v>#REF!</v>
      </c>
      <c r="P167" s="1306" t="e">
        <f t="shared" si="167"/>
        <v>#REF!</v>
      </c>
      <c r="Q167" s="1275" t="e">
        <f>SUM(Q164:Q166)</f>
        <v>#REF!</v>
      </c>
      <c r="R167" s="7" t="e">
        <f t="shared" si="167"/>
        <v>#REF!</v>
      </c>
      <c r="S167" s="7" t="e">
        <f>SUM(S164:S166)</f>
        <v>#REF!</v>
      </c>
      <c r="T167" s="1701" t="e">
        <f t="shared" si="167"/>
        <v>#REF!</v>
      </c>
      <c r="U167" s="7" t="e">
        <f>SUM(U164:U166)</f>
        <v>#REF!</v>
      </c>
      <c r="V167" s="1306" t="e">
        <f t="shared" si="167"/>
        <v>#REF!</v>
      </c>
      <c r="W167" s="1275" t="e">
        <f>SUM(W164:W166)</f>
        <v>#REF!</v>
      </c>
      <c r="X167" s="7" t="e">
        <f t="shared" si="167"/>
        <v>#REF!</v>
      </c>
      <c r="Y167" s="7" t="e">
        <f t="shared" ref="Y167" si="168">SUM(Y164:Y166)</f>
        <v>#REF!</v>
      </c>
      <c r="Z167" s="1568" t="e">
        <f t="shared" si="167"/>
        <v>#REF!</v>
      </c>
      <c r="AA167" s="1306" t="e">
        <f t="shared" ref="AA167" si="169">SUM(AA164:AA166)</f>
        <v>#REF!</v>
      </c>
    </row>
    <row r="168" spans="1:27" ht="15" hidden="1" customHeight="1">
      <c r="A168" s="3"/>
      <c r="B168" s="7" t="s">
        <v>44</v>
      </c>
      <c r="C168" s="1568">
        <v>5000000</v>
      </c>
      <c r="D168" s="1306" t="e">
        <f t="shared" ref="D168:Z168" si="170">D163+D167</f>
        <v>#REF!</v>
      </c>
      <c r="E168" s="7" t="e">
        <f>E163+E167</f>
        <v>#REF!</v>
      </c>
      <c r="F168" s="1306" t="e">
        <f t="shared" si="170"/>
        <v>#REF!</v>
      </c>
      <c r="G168" s="7" t="e">
        <f>G163+G167</f>
        <v>#REF!</v>
      </c>
      <c r="H168" s="1306" t="e">
        <f t="shared" si="170"/>
        <v>#REF!</v>
      </c>
      <c r="I168" s="7" t="e">
        <f t="shared" si="170"/>
        <v>#REF!</v>
      </c>
      <c r="J168" s="1306" t="e">
        <f t="shared" si="170"/>
        <v>#REF!</v>
      </c>
      <c r="K168" s="7" t="e">
        <f>K163+K167</f>
        <v>#REF!</v>
      </c>
      <c r="L168" s="1306" t="e">
        <f t="shared" si="170"/>
        <v>#REF!</v>
      </c>
      <c r="M168" s="7" t="e">
        <f>M163+M167</f>
        <v>#REF!</v>
      </c>
      <c r="N168" s="1306" t="e">
        <f t="shared" si="170"/>
        <v>#REF!</v>
      </c>
      <c r="O168" s="7" t="e">
        <f>O163+O167</f>
        <v>#REF!</v>
      </c>
      <c r="P168" s="1306" t="e">
        <f t="shared" si="170"/>
        <v>#REF!</v>
      </c>
      <c r="Q168" s="1275" t="e">
        <f>Q163+Q167</f>
        <v>#REF!</v>
      </c>
      <c r="R168" s="7" t="e">
        <f t="shared" si="170"/>
        <v>#REF!</v>
      </c>
      <c r="S168" s="7" t="e">
        <f>S163+S167</f>
        <v>#REF!</v>
      </c>
      <c r="T168" s="1701" t="e">
        <f t="shared" si="170"/>
        <v>#REF!</v>
      </c>
      <c r="U168" s="7" t="e">
        <f>U163+U167</f>
        <v>#REF!</v>
      </c>
      <c r="V168" s="1306" t="e">
        <f t="shared" si="170"/>
        <v>#REF!</v>
      </c>
      <c r="W168" s="1275" t="e">
        <f>W163+W167</f>
        <v>#REF!</v>
      </c>
      <c r="X168" s="7" t="e">
        <f t="shared" si="170"/>
        <v>#REF!</v>
      </c>
      <c r="Y168" s="7" t="e">
        <f t="shared" ref="Y168" si="171">Y163+Y167</f>
        <v>#REF!</v>
      </c>
      <c r="Z168" s="1568" t="e">
        <f t="shared" si="170"/>
        <v>#REF!</v>
      </c>
      <c r="AA168" s="1306" t="e">
        <f t="shared" ref="AA168" si="172">AA163+AA167</f>
        <v>#REF!</v>
      </c>
    </row>
    <row r="169" spans="1:27" ht="15">
      <c r="A169" s="3"/>
      <c r="B169" s="3"/>
      <c r="C169" s="1536"/>
      <c r="D169" s="96"/>
      <c r="E169" s="3"/>
      <c r="F169" s="96"/>
      <c r="G169" s="3"/>
      <c r="H169" s="96"/>
      <c r="I169" s="3"/>
      <c r="J169" s="96"/>
      <c r="K169" s="3"/>
      <c r="L169" s="96"/>
      <c r="M169" s="3"/>
      <c r="N169" s="96"/>
      <c r="O169" s="3"/>
      <c r="P169" s="96"/>
      <c r="Q169" s="1265"/>
      <c r="R169" s="3"/>
      <c r="S169" s="3"/>
      <c r="T169" s="1685"/>
      <c r="U169" s="3"/>
      <c r="V169" s="96"/>
      <c r="W169" s="1265"/>
      <c r="X169" s="3"/>
      <c r="Y169" s="3"/>
      <c r="Z169" s="1569"/>
      <c r="AA169" s="96"/>
    </row>
    <row r="170" spans="1:27" ht="15">
      <c r="A170" s="3"/>
      <c r="B170" s="3"/>
      <c r="C170" s="1536"/>
      <c r="D170" s="96"/>
      <c r="E170" s="3"/>
      <c r="F170" s="96"/>
      <c r="G170" s="3"/>
      <c r="H170" s="96"/>
      <c r="I170" s="3"/>
      <c r="J170" s="96"/>
      <c r="K170" s="3"/>
      <c r="L170" s="96"/>
      <c r="M170" s="3"/>
      <c r="N170" s="96"/>
      <c r="O170" s="3"/>
      <c r="P170" s="96"/>
      <c r="Q170" s="1265"/>
      <c r="R170" s="3"/>
      <c r="S170" s="3"/>
      <c r="T170" s="1685"/>
      <c r="U170" s="3"/>
      <c r="V170" s="96"/>
      <c r="W170" s="1265"/>
      <c r="X170" s="3"/>
      <c r="Y170" s="3"/>
      <c r="Z170" s="1569"/>
      <c r="AA170" s="96"/>
    </row>
    <row r="171" spans="1:27" ht="15">
      <c r="A171" s="3"/>
      <c r="B171" s="3"/>
      <c r="C171" s="1536"/>
      <c r="D171" s="96"/>
      <c r="E171" s="3"/>
      <c r="F171" s="96"/>
      <c r="G171" s="3"/>
      <c r="H171" s="96"/>
      <c r="I171" s="3"/>
      <c r="J171" s="96"/>
      <c r="K171" s="3"/>
      <c r="L171" s="96"/>
      <c r="M171" s="3"/>
      <c r="N171" s="96"/>
      <c r="O171" s="3"/>
      <c r="P171" s="96"/>
      <c r="Q171" s="1265"/>
      <c r="R171" s="3"/>
      <c r="S171" s="3"/>
      <c r="T171" s="1685"/>
      <c r="U171" s="3"/>
      <c r="V171" s="96"/>
      <c r="W171" s="1265"/>
      <c r="X171" s="3"/>
      <c r="Y171" s="3"/>
      <c r="Z171" s="1569"/>
      <c r="AA171" s="96"/>
    </row>
    <row r="172" spans="1:27" ht="15">
      <c r="A172" s="3"/>
      <c r="B172" s="3"/>
      <c r="C172" s="1536"/>
      <c r="D172" s="96"/>
      <c r="E172" s="3"/>
      <c r="F172" s="96"/>
      <c r="G172" s="3"/>
      <c r="H172" s="96"/>
      <c r="I172" s="3"/>
      <c r="J172" s="96"/>
      <c r="K172" s="3"/>
      <c r="L172" s="96"/>
      <c r="M172" s="3"/>
      <c r="N172" s="96"/>
      <c r="O172" s="3"/>
      <c r="P172" s="96"/>
      <c r="Q172" s="1265"/>
      <c r="R172" s="3"/>
      <c r="S172" s="3"/>
      <c r="T172" s="1685"/>
      <c r="U172" s="3"/>
      <c r="V172" s="96"/>
      <c r="W172" s="1265"/>
      <c r="X172" s="3"/>
      <c r="Y172" s="3"/>
      <c r="Z172" s="1569"/>
      <c r="AA172" s="96"/>
    </row>
    <row r="173" spans="1:27" ht="15">
      <c r="A173" s="3"/>
      <c r="B173" s="3"/>
      <c r="C173" s="1536"/>
      <c r="D173" s="96"/>
      <c r="E173" s="3"/>
      <c r="F173" s="96"/>
      <c r="G173" s="3"/>
      <c r="H173" s="96"/>
      <c r="I173" s="3"/>
      <c r="J173" s="96"/>
      <c r="K173" s="3"/>
      <c r="L173" s="96"/>
      <c r="M173" s="3"/>
      <c r="N173" s="96"/>
      <c r="O173" s="3"/>
      <c r="P173" s="96"/>
      <c r="Q173" s="1265"/>
      <c r="R173" s="3"/>
      <c r="S173" s="3"/>
      <c r="T173" s="1685"/>
      <c r="U173" s="3"/>
      <c r="V173" s="96"/>
      <c r="W173" s="1265"/>
      <c r="X173" s="3"/>
      <c r="Y173" s="3"/>
      <c r="Z173" s="1569"/>
      <c r="AA173" s="96"/>
    </row>
    <row r="174" spans="1:27" ht="15">
      <c r="A174" s="3"/>
      <c r="B174" s="3"/>
      <c r="C174" s="1536"/>
      <c r="D174" s="96"/>
      <c r="E174" s="3"/>
      <c r="F174" s="96"/>
      <c r="G174" s="3"/>
      <c r="H174" s="96"/>
      <c r="I174" s="3"/>
      <c r="J174" s="96"/>
      <c r="K174" s="3"/>
      <c r="L174" s="96"/>
      <c r="M174" s="3"/>
      <c r="N174" s="96"/>
      <c r="O174" s="3"/>
      <c r="P174" s="96"/>
      <c r="Q174" s="1265"/>
      <c r="R174" s="3"/>
      <c r="S174" s="3"/>
      <c r="T174" s="1685"/>
      <c r="U174" s="3"/>
      <c r="V174" s="96"/>
      <c r="W174" s="1265"/>
      <c r="X174" s="3"/>
      <c r="Y174" s="3"/>
      <c r="Z174" s="1569"/>
      <c r="AA174" s="96"/>
    </row>
    <row r="175" spans="1:27" ht="15">
      <c r="A175" s="3"/>
      <c r="B175" s="3"/>
      <c r="C175" s="1536"/>
      <c r="D175" s="96"/>
      <c r="E175" s="3"/>
      <c r="F175" s="96"/>
      <c r="G175" s="3"/>
      <c r="H175" s="96"/>
      <c r="I175" s="3"/>
      <c r="J175" s="96"/>
      <c r="K175" s="3"/>
      <c r="L175" s="96"/>
      <c r="M175" s="3"/>
      <c r="N175" s="96"/>
      <c r="O175" s="3"/>
      <c r="P175" s="96"/>
      <c r="Q175" s="1265"/>
      <c r="R175" s="3"/>
      <c r="S175" s="3"/>
      <c r="T175" s="1685"/>
      <c r="U175" s="3"/>
      <c r="V175" s="96"/>
      <c r="W175" s="1265"/>
      <c r="X175" s="3"/>
      <c r="Y175" s="3"/>
      <c r="Z175" s="1569"/>
      <c r="AA175" s="96"/>
    </row>
    <row r="176" spans="1:27" ht="15">
      <c r="A176" s="3"/>
      <c r="B176" s="3"/>
      <c r="C176" s="1536"/>
      <c r="D176" s="96"/>
      <c r="E176" s="3"/>
      <c r="F176" s="96"/>
      <c r="G176" s="3"/>
      <c r="H176" s="96"/>
      <c r="I176" s="3"/>
      <c r="J176" s="96"/>
      <c r="K176" s="3"/>
      <c r="L176" s="96"/>
      <c r="M176" s="3"/>
      <c r="N176" s="96"/>
      <c r="O176" s="3"/>
      <c r="P176" s="96"/>
      <c r="Q176" s="1265"/>
      <c r="R176" s="3"/>
      <c r="S176" s="3"/>
      <c r="T176" s="1685"/>
      <c r="U176" s="3"/>
      <c r="V176" s="96"/>
      <c r="W176" s="1265"/>
      <c r="X176" s="3"/>
      <c r="Y176" s="3"/>
      <c r="Z176" s="1569"/>
      <c r="AA176" s="96"/>
    </row>
    <row r="177" spans="1:27" ht="15">
      <c r="A177" s="3"/>
      <c r="B177" s="3"/>
      <c r="C177" s="1536"/>
      <c r="D177" s="96"/>
      <c r="E177" s="3"/>
      <c r="F177" s="96"/>
      <c r="G177" s="3"/>
      <c r="H177" s="96"/>
      <c r="I177" s="3"/>
      <c r="J177" s="96"/>
      <c r="K177" s="3"/>
      <c r="L177" s="96"/>
      <c r="M177" s="3"/>
      <c r="N177" s="96"/>
      <c r="O177" s="3"/>
      <c r="P177" s="96"/>
      <c r="Q177" s="1265"/>
      <c r="R177" s="3"/>
      <c r="S177" s="3"/>
      <c r="T177" s="1685"/>
      <c r="U177" s="3"/>
      <c r="V177" s="96"/>
      <c r="W177" s="1265"/>
      <c r="X177" s="3"/>
      <c r="Y177" s="3"/>
      <c r="Z177" s="1569"/>
      <c r="AA177" s="96"/>
    </row>
    <row r="178" spans="1:27" ht="15">
      <c r="A178" s="3"/>
      <c r="B178" s="3"/>
      <c r="C178" s="1536"/>
      <c r="D178" s="96"/>
      <c r="E178" s="3"/>
      <c r="F178" s="96"/>
      <c r="G178" s="3"/>
      <c r="H178" s="96"/>
      <c r="I178" s="3"/>
      <c r="J178" s="96"/>
      <c r="K178" s="3"/>
      <c r="L178" s="96"/>
      <c r="M178" s="3"/>
      <c r="N178" s="96"/>
      <c r="O178" s="3"/>
      <c r="P178" s="96"/>
      <c r="Q178" s="1265"/>
      <c r="R178" s="3"/>
      <c r="S178" s="3"/>
      <c r="T178" s="1685"/>
      <c r="U178" s="3"/>
      <c r="V178" s="96"/>
      <c r="W178" s="1265"/>
      <c r="X178" s="3"/>
      <c r="Y178" s="3"/>
      <c r="Z178" s="1569"/>
      <c r="AA178" s="96"/>
    </row>
    <row r="179" spans="1:27" ht="15">
      <c r="A179" s="3"/>
      <c r="B179" s="3"/>
      <c r="C179" s="1536"/>
      <c r="D179" s="96"/>
      <c r="E179" s="3"/>
      <c r="F179" s="96"/>
      <c r="G179" s="3"/>
      <c r="H179" s="96"/>
      <c r="I179" s="3"/>
      <c r="J179" s="96"/>
      <c r="K179" s="3"/>
      <c r="L179" s="96"/>
      <c r="M179" s="3"/>
      <c r="N179" s="96"/>
      <c r="O179" s="3"/>
      <c r="P179" s="96"/>
      <c r="Q179" s="1265"/>
      <c r="R179" s="3"/>
      <c r="S179" s="3"/>
      <c r="T179" s="1685"/>
      <c r="U179" s="3"/>
      <c r="V179" s="96"/>
      <c r="W179" s="1265"/>
      <c r="X179" s="3"/>
      <c r="Y179" s="3"/>
      <c r="Z179" s="1569"/>
      <c r="AA179" s="96"/>
    </row>
    <row r="180" spans="1:27" ht="15">
      <c r="A180" s="3"/>
      <c r="B180" s="3"/>
      <c r="C180" s="1536"/>
      <c r="D180" s="96"/>
      <c r="E180" s="3"/>
      <c r="F180" s="96"/>
      <c r="G180" s="3"/>
      <c r="H180" s="96"/>
      <c r="I180" s="3"/>
      <c r="J180" s="96"/>
      <c r="K180" s="3"/>
      <c r="L180" s="96"/>
      <c r="M180" s="3"/>
      <c r="N180" s="96"/>
      <c r="O180" s="3"/>
      <c r="P180" s="96"/>
      <c r="Q180" s="1265"/>
      <c r="R180" s="3"/>
      <c r="S180" s="3"/>
      <c r="T180" s="1685"/>
      <c r="U180" s="3"/>
      <c r="V180" s="96"/>
      <c r="W180" s="1265"/>
      <c r="X180" s="3"/>
      <c r="Y180" s="3"/>
      <c r="Z180" s="1569"/>
      <c r="AA180" s="96"/>
    </row>
    <row r="181" spans="1:27" ht="15">
      <c r="A181" s="3"/>
      <c r="B181" s="3"/>
      <c r="C181" s="1536"/>
      <c r="D181" s="96"/>
      <c r="E181" s="3"/>
      <c r="F181" s="96"/>
      <c r="G181" s="3"/>
      <c r="H181" s="96"/>
      <c r="I181" s="3"/>
      <c r="J181" s="96"/>
      <c r="K181" s="3"/>
      <c r="L181" s="96"/>
      <c r="M181" s="3"/>
      <c r="N181" s="96"/>
      <c r="O181" s="3"/>
      <c r="P181" s="96"/>
      <c r="Q181" s="1265"/>
      <c r="R181" s="3"/>
      <c r="S181" s="3"/>
      <c r="T181" s="1685"/>
      <c r="U181" s="3"/>
      <c r="V181" s="96"/>
      <c r="W181" s="1265"/>
      <c r="X181" s="3"/>
      <c r="Y181" s="3"/>
      <c r="Z181" s="1569"/>
      <c r="AA181" s="96"/>
    </row>
    <row r="182" spans="1:27" ht="15">
      <c r="A182" s="3"/>
      <c r="B182" s="3"/>
      <c r="C182" s="1536"/>
      <c r="D182" s="96"/>
      <c r="E182" s="3"/>
      <c r="F182" s="96"/>
      <c r="G182" s="3"/>
      <c r="H182" s="96"/>
      <c r="I182" s="3"/>
      <c r="J182" s="96"/>
      <c r="K182" s="3"/>
      <c r="L182" s="96"/>
      <c r="M182" s="3"/>
      <c r="N182" s="96"/>
      <c r="O182" s="3"/>
      <c r="P182" s="96"/>
      <c r="Q182" s="1265"/>
      <c r="R182" s="3"/>
      <c r="S182" s="3"/>
      <c r="T182" s="1685"/>
      <c r="U182" s="3"/>
      <c r="V182" s="96"/>
      <c r="W182" s="1265"/>
      <c r="X182" s="3"/>
      <c r="Y182" s="3"/>
      <c r="Z182" s="1569"/>
      <c r="AA182" s="96"/>
    </row>
    <row r="183" spans="1:27" ht="15">
      <c r="A183" s="3"/>
      <c r="B183" s="3"/>
      <c r="C183" s="1536"/>
      <c r="D183" s="96"/>
      <c r="E183" s="3"/>
      <c r="F183" s="96"/>
      <c r="G183" s="3"/>
      <c r="H183" s="96"/>
      <c r="I183" s="3"/>
      <c r="J183" s="96"/>
      <c r="K183" s="3"/>
      <c r="L183" s="96"/>
      <c r="M183" s="3"/>
      <c r="N183" s="96"/>
      <c r="O183" s="3"/>
      <c r="P183" s="96"/>
      <c r="Q183" s="1265"/>
      <c r="R183" s="3"/>
      <c r="S183" s="3"/>
      <c r="T183" s="1685"/>
      <c r="U183" s="3"/>
      <c r="V183" s="96"/>
      <c r="W183" s="1265"/>
      <c r="X183" s="3"/>
      <c r="Y183" s="3"/>
      <c r="Z183" s="1569"/>
      <c r="AA183" s="96"/>
    </row>
    <row r="184" spans="1:27" ht="15">
      <c r="A184" s="3"/>
      <c r="B184" s="3"/>
      <c r="C184" s="1536"/>
      <c r="D184" s="96"/>
      <c r="E184" s="3"/>
      <c r="F184" s="96"/>
      <c r="G184" s="3"/>
      <c r="H184" s="96"/>
      <c r="I184" s="3"/>
      <c r="J184" s="96"/>
      <c r="K184" s="3"/>
      <c r="L184" s="96"/>
      <c r="M184" s="3"/>
      <c r="N184" s="96"/>
      <c r="O184" s="3"/>
      <c r="P184" s="96"/>
      <c r="Q184" s="1265"/>
      <c r="R184" s="3"/>
      <c r="S184" s="3"/>
      <c r="T184" s="1685"/>
      <c r="U184" s="3"/>
      <c r="V184" s="96"/>
      <c r="W184" s="1265"/>
      <c r="X184" s="3"/>
      <c r="Y184" s="3"/>
      <c r="Z184" s="1569"/>
      <c r="AA184" s="96"/>
    </row>
    <row r="185" spans="1:27" ht="15">
      <c r="A185" s="3"/>
      <c r="B185" s="3"/>
      <c r="C185" s="1536"/>
      <c r="D185" s="96"/>
      <c r="E185" s="3"/>
      <c r="F185" s="96"/>
      <c r="G185" s="3"/>
      <c r="H185" s="96"/>
      <c r="I185" s="3"/>
      <c r="J185" s="96"/>
      <c r="K185" s="3"/>
      <c r="L185" s="96"/>
      <c r="M185" s="3"/>
      <c r="N185" s="96"/>
      <c r="O185" s="3"/>
      <c r="P185" s="96"/>
      <c r="Q185" s="1265"/>
      <c r="R185" s="3"/>
      <c r="S185" s="3"/>
      <c r="T185" s="1685"/>
      <c r="U185" s="3"/>
      <c r="V185" s="96"/>
      <c r="W185" s="1265"/>
      <c r="X185" s="3"/>
      <c r="Y185" s="3"/>
      <c r="Z185" s="1569"/>
      <c r="AA185" s="96"/>
    </row>
    <row r="186" spans="1:27" ht="15">
      <c r="A186" s="3"/>
      <c r="B186" s="3"/>
      <c r="C186" s="1536"/>
      <c r="D186" s="96"/>
      <c r="E186" s="3"/>
      <c r="F186" s="96"/>
      <c r="G186" s="3"/>
      <c r="H186" s="96"/>
      <c r="I186" s="3"/>
      <c r="J186" s="96"/>
      <c r="K186" s="3"/>
      <c r="L186" s="96"/>
      <c r="M186" s="3"/>
      <c r="N186" s="96"/>
      <c r="O186" s="3"/>
      <c r="P186" s="96"/>
      <c r="Q186" s="1265"/>
      <c r="R186" s="3"/>
      <c r="S186" s="3"/>
      <c r="T186" s="1685"/>
      <c r="U186" s="3"/>
      <c r="V186" s="96"/>
      <c r="W186" s="1265"/>
      <c r="X186" s="3"/>
      <c r="Y186" s="3"/>
      <c r="Z186" s="1569"/>
      <c r="AA186" s="96"/>
    </row>
    <row r="187" spans="1:27" ht="15">
      <c r="A187" s="3"/>
      <c r="B187" s="3"/>
      <c r="C187" s="1536"/>
      <c r="D187" s="96"/>
      <c r="E187" s="3"/>
      <c r="F187" s="96"/>
      <c r="G187" s="3"/>
      <c r="H187" s="96"/>
      <c r="I187" s="3"/>
      <c r="J187" s="96"/>
      <c r="K187" s="3"/>
      <c r="L187" s="96"/>
      <c r="M187" s="3"/>
      <c r="N187" s="96"/>
      <c r="O187" s="3"/>
      <c r="P187" s="96"/>
      <c r="Q187" s="1265"/>
      <c r="R187" s="3"/>
      <c r="S187" s="3"/>
      <c r="T187" s="1685"/>
      <c r="U187" s="3"/>
      <c r="V187" s="96"/>
      <c r="W187" s="1265"/>
      <c r="X187" s="3"/>
      <c r="Y187" s="3"/>
      <c r="Z187" s="1569"/>
      <c r="AA187" s="96"/>
    </row>
    <row r="188" spans="1:27" ht="15">
      <c r="A188" s="3"/>
      <c r="B188" s="3"/>
      <c r="C188" s="1536"/>
      <c r="D188" s="96"/>
      <c r="E188" s="3"/>
      <c r="F188" s="96"/>
      <c r="G188" s="3"/>
      <c r="H188" s="96"/>
      <c r="I188" s="3"/>
      <c r="J188" s="96"/>
      <c r="K188" s="3"/>
      <c r="L188" s="96"/>
      <c r="M188" s="3"/>
      <c r="N188" s="96"/>
      <c r="O188" s="3"/>
      <c r="P188" s="96"/>
      <c r="Q188" s="1265"/>
      <c r="R188" s="3"/>
      <c r="S188" s="3"/>
      <c r="T188" s="1685"/>
      <c r="U188" s="3"/>
      <c r="V188" s="96"/>
      <c r="W188" s="1265"/>
      <c r="X188" s="3"/>
      <c r="Y188" s="3"/>
      <c r="Z188" s="1569"/>
      <c r="AA188" s="96"/>
    </row>
    <row r="189" spans="1:27" ht="15">
      <c r="A189" s="3"/>
      <c r="B189" s="3"/>
      <c r="C189" s="1536"/>
      <c r="D189" s="96"/>
      <c r="E189" s="3"/>
      <c r="F189" s="96"/>
      <c r="G189" s="3"/>
      <c r="H189" s="96"/>
      <c r="I189" s="3"/>
      <c r="J189" s="96"/>
      <c r="K189" s="3"/>
      <c r="L189" s="96"/>
      <c r="M189" s="3"/>
      <c r="N189" s="96"/>
      <c r="O189" s="3"/>
      <c r="P189" s="96"/>
      <c r="Q189" s="1265"/>
      <c r="R189" s="3"/>
      <c r="S189" s="3"/>
      <c r="T189" s="1685"/>
      <c r="U189" s="3"/>
      <c r="V189" s="96"/>
      <c r="W189" s="1265"/>
      <c r="X189" s="3"/>
      <c r="Y189" s="3"/>
      <c r="Z189" s="1569"/>
      <c r="AA189" s="96"/>
    </row>
    <row r="190" spans="1:27" ht="15">
      <c r="A190" s="3"/>
      <c r="B190" s="3"/>
      <c r="C190" s="1536"/>
      <c r="D190" s="96"/>
      <c r="E190" s="3"/>
      <c r="F190" s="96"/>
      <c r="G190" s="3"/>
      <c r="H190" s="96"/>
      <c r="I190" s="3"/>
      <c r="J190" s="96"/>
      <c r="K190" s="3"/>
      <c r="L190" s="96"/>
      <c r="M190" s="3"/>
      <c r="N190" s="96"/>
      <c r="O190" s="3"/>
      <c r="P190" s="96"/>
      <c r="Q190" s="1265"/>
      <c r="R190" s="3"/>
      <c r="S190" s="3"/>
      <c r="T190" s="1685"/>
      <c r="U190" s="3"/>
      <c r="V190" s="96"/>
      <c r="W190" s="1265"/>
      <c r="X190" s="3"/>
      <c r="Y190" s="3"/>
      <c r="Z190" s="1569"/>
      <c r="AA190" s="96"/>
    </row>
    <row r="191" spans="1:27" ht="15">
      <c r="A191" s="3"/>
      <c r="B191" s="3"/>
      <c r="C191" s="1536"/>
      <c r="D191" s="96"/>
      <c r="E191" s="3"/>
      <c r="F191" s="96"/>
      <c r="G191" s="3"/>
      <c r="H191" s="96"/>
      <c r="I191" s="3"/>
      <c r="J191" s="96"/>
      <c r="K191" s="3"/>
      <c r="L191" s="96"/>
      <c r="M191" s="3"/>
      <c r="N191" s="96"/>
      <c r="O191" s="3"/>
      <c r="P191" s="96"/>
      <c r="Q191" s="1265"/>
      <c r="R191" s="3"/>
      <c r="S191" s="3"/>
      <c r="T191" s="1685"/>
      <c r="U191" s="3"/>
      <c r="V191" s="96"/>
      <c r="W191" s="1265"/>
      <c r="X191" s="3"/>
      <c r="Y191" s="3"/>
      <c r="Z191" s="1569"/>
      <c r="AA191" s="96"/>
    </row>
    <row r="192" spans="1:27" ht="15">
      <c r="A192" s="3"/>
      <c r="B192" s="3"/>
      <c r="C192" s="1536"/>
      <c r="D192" s="96"/>
      <c r="E192" s="3"/>
      <c r="F192" s="96"/>
      <c r="G192" s="3"/>
      <c r="H192" s="96"/>
      <c r="I192" s="3"/>
      <c r="J192" s="96"/>
      <c r="K192" s="3"/>
      <c r="L192" s="96"/>
      <c r="M192" s="3"/>
      <c r="N192" s="96"/>
      <c r="O192" s="3"/>
      <c r="P192" s="96"/>
      <c r="Q192" s="1265"/>
      <c r="R192" s="3"/>
      <c r="S192" s="3"/>
      <c r="T192" s="1685"/>
      <c r="U192" s="3"/>
      <c r="V192" s="96"/>
      <c r="W192" s="1265"/>
      <c r="X192" s="3"/>
      <c r="Y192" s="3"/>
      <c r="Z192" s="1569"/>
      <c r="AA192" s="96"/>
    </row>
    <row r="193" spans="1:27" ht="15">
      <c r="A193" s="3"/>
      <c r="B193" s="3"/>
      <c r="C193" s="1536"/>
      <c r="D193" s="96"/>
      <c r="E193" s="3"/>
      <c r="F193" s="96"/>
      <c r="G193" s="3"/>
      <c r="H193" s="96"/>
      <c r="I193" s="3"/>
      <c r="J193" s="96"/>
      <c r="K193" s="3"/>
      <c r="L193" s="96"/>
      <c r="M193" s="3"/>
      <c r="N193" s="96"/>
      <c r="O193" s="3"/>
      <c r="P193" s="96"/>
      <c r="Q193" s="1265"/>
      <c r="R193" s="3"/>
      <c r="S193" s="3"/>
      <c r="T193" s="1685"/>
      <c r="U193" s="3"/>
      <c r="V193" s="96"/>
      <c r="W193" s="1265"/>
      <c r="X193" s="3"/>
      <c r="Y193" s="3"/>
      <c r="Z193" s="1569"/>
      <c r="AA193" s="96"/>
    </row>
    <row r="194" spans="1:27" ht="15">
      <c r="A194" s="3"/>
      <c r="B194" s="3"/>
      <c r="C194" s="1536"/>
      <c r="D194" s="96"/>
      <c r="E194" s="3"/>
      <c r="F194" s="96"/>
      <c r="G194" s="3"/>
      <c r="H194" s="96"/>
      <c r="I194" s="3"/>
      <c r="J194" s="96"/>
      <c r="K194" s="3"/>
      <c r="L194" s="96"/>
      <c r="M194" s="3"/>
      <c r="N194" s="96"/>
      <c r="O194" s="3"/>
      <c r="P194" s="96"/>
      <c r="Q194" s="1265"/>
      <c r="R194" s="3"/>
      <c r="S194" s="3"/>
      <c r="T194" s="1685"/>
      <c r="U194" s="3"/>
      <c r="V194" s="96"/>
      <c r="W194" s="1265"/>
      <c r="X194" s="3"/>
      <c r="Y194" s="3"/>
      <c r="Z194" s="1569"/>
      <c r="AA194" s="96"/>
    </row>
    <row r="195" spans="1:27" ht="15">
      <c r="A195" s="3"/>
      <c r="B195" s="3"/>
      <c r="C195" s="1536"/>
      <c r="D195" s="96"/>
      <c r="E195" s="3"/>
      <c r="F195" s="96"/>
      <c r="G195" s="3"/>
      <c r="H195" s="96"/>
      <c r="I195" s="3"/>
      <c r="J195" s="96"/>
      <c r="K195" s="3"/>
      <c r="L195" s="96"/>
      <c r="M195" s="3"/>
      <c r="N195" s="96"/>
      <c r="O195" s="3"/>
      <c r="P195" s="96"/>
      <c r="Q195" s="1265"/>
      <c r="R195" s="3"/>
      <c r="S195" s="3"/>
      <c r="T195" s="1685"/>
      <c r="U195" s="3"/>
      <c r="V195" s="96"/>
      <c r="W195" s="1265"/>
      <c r="X195" s="3"/>
      <c r="Y195" s="3"/>
      <c r="Z195" s="1569"/>
      <c r="AA195" s="96"/>
    </row>
    <row r="196" spans="1:27" ht="15">
      <c r="A196" s="3"/>
      <c r="B196" s="3"/>
      <c r="C196" s="1536"/>
      <c r="D196" s="96"/>
      <c r="E196" s="3"/>
      <c r="F196" s="96"/>
      <c r="G196" s="3"/>
      <c r="H196" s="96"/>
      <c r="I196" s="3"/>
      <c r="J196" s="96"/>
      <c r="K196" s="3"/>
      <c r="L196" s="96"/>
      <c r="M196" s="3"/>
      <c r="N196" s="96"/>
      <c r="O196" s="3"/>
      <c r="P196" s="96"/>
      <c r="Q196" s="1265"/>
      <c r="R196" s="3"/>
      <c r="S196" s="3"/>
      <c r="T196" s="1685"/>
      <c r="U196" s="3"/>
      <c r="V196" s="96"/>
      <c r="W196" s="1265"/>
      <c r="X196" s="3"/>
      <c r="Y196" s="3"/>
      <c r="Z196" s="1569"/>
      <c r="AA196" s="96"/>
    </row>
    <row r="197" spans="1:27" ht="15">
      <c r="A197" s="3"/>
      <c r="B197" s="3"/>
      <c r="C197" s="1536"/>
      <c r="D197" s="96"/>
      <c r="E197" s="3"/>
      <c r="F197" s="96"/>
      <c r="G197" s="3"/>
      <c r="H197" s="96"/>
      <c r="I197" s="3"/>
      <c r="J197" s="96"/>
      <c r="K197" s="3"/>
      <c r="L197" s="96"/>
      <c r="M197" s="3"/>
      <c r="N197" s="96"/>
      <c r="O197" s="3"/>
      <c r="P197" s="96"/>
      <c r="Q197" s="1265"/>
      <c r="R197" s="3"/>
      <c r="S197" s="3"/>
      <c r="T197" s="1685"/>
      <c r="U197" s="3"/>
      <c r="V197" s="96"/>
      <c r="W197" s="1265"/>
      <c r="X197" s="3"/>
      <c r="Y197" s="3"/>
      <c r="Z197" s="1569"/>
      <c r="AA197" s="96"/>
    </row>
    <row r="198" spans="1:27" ht="15">
      <c r="A198" s="3"/>
      <c r="B198" s="3"/>
      <c r="C198" s="1536"/>
      <c r="D198" s="96"/>
      <c r="E198" s="3"/>
      <c r="F198" s="96"/>
      <c r="G198" s="3"/>
      <c r="H198" s="96"/>
      <c r="I198" s="3"/>
      <c r="J198" s="96"/>
      <c r="K198" s="3"/>
      <c r="L198" s="96"/>
      <c r="M198" s="3"/>
      <c r="N198" s="96"/>
      <c r="O198" s="3"/>
      <c r="P198" s="96"/>
      <c r="Q198" s="1265"/>
      <c r="R198" s="3"/>
      <c r="S198" s="3"/>
      <c r="T198" s="1685"/>
      <c r="U198" s="3"/>
      <c r="V198" s="96"/>
      <c r="W198" s="1265"/>
      <c r="X198" s="3"/>
      <c r="Y198" s="3"/>
      <c r="Z198" s="1569"/>
      <c r="AA198" s="96"/>
    </row>
    <row r="199" spans="1:27" ht="15">
      <c r="A199" s="3"/>
      <c r="B199" s="3"/>
      <c r="C199" s="1536"/>
      <c r="D199" s="96"/>
      <c r="E199" s="3"/>
      <c r="F199" s="96"/>
      <c r="G199" s="3"/>
      <c r="H199" s="96"/>
      <c r="I199" s="3"/>
      <c r="J199" s="96"/>
      <c r="K199" s="3"/>
      <c r="L199" s="96"/>
      <c r="M199" s="3"/>
      <c r="N199" s="96"/>
      <c r="O199" s="3"/>
      <c r="P199" s="96"/>
      <c r="Q199" s="1265"/>
      <c r="R199" s="3"/>
      <c r="S199" s="3"/>
      <c r="T199" s="1685"/>
      <c r="U199" s="3"/>
      <c r="V199" s="96"/>
      <c r="W199" s="1265"/>
      <c r="X199" s="3"/>
      <c r="Y199" s="3"/>
      <c r="Z199" s="1569"/>
      <c r="AA199" s="96"/>
    </row>
    <row r="200" spans="1:27" ht="15">
      <c r="A200" s="3"/>
      <c r="B200" s="3"/>
      <c r="C200" s="1536"/>
      <c r="D200" s="96"/>
      <c r="E200" s="3"/>
      <c r="F200" s="96"/>
      <c r="G200" s="3"/>
      <c r="H200" s="96"/>
      <c r="I200" s="3"/>
      <c r="J200" s="96"/>
      <c r="K200" s="3"/>
      <c r="L200" s="96"/>
      <c r="M200" s="3"/>
      <c r="N200" s="96"/>
      <c r="O200" s="3"/>
      <c r="P200" s="96"/>
      <c r="Q200" s="1265"/>
      <c r="R200" s="3"/>
      <c r="S200" s="3"/>
      <c r="T200" s="1685"/>
      <c r="U200" s="3"/>
      <c r="V200" s="96"/>
      <c r="W200" s="1265"/>
      <c r="X200" s="3"/>
      <c r="Y200" s="3"/>
      <c r="Z200" s="1569"/>
      <c r="AA200" s="96"/>
    </row>
    <row r="201" spans="1:27" ht="15">
      <c r="A201" s="3"/>
      <c r="B201" s="3"/>
      <c r="C201" s="1536"/>
      <c r="D201" s="96"/>
      <c r="E201" s="3"/>
      <c r="F201" s="96"/>
      <c r="G201" s="3"/>
      <c r="H201" s="96"/>
      <c r="I201" s="3"/>
      <c r="J201" s="96"/>
      <c r="K201" s="3"/>
      <c r="L201" s="96"/>
      <c r="M201" s="3"/>
      <c r="N201" s="96"/>
      <c r="O201" s="3"/>
      <c r="P201" s="96"/>
      <c r="Q201" s="1265"/>
      <c r="R201" s="3"/>
      <c r="S201" s="3"/>
      <c r="T201" s="1685"/>
      <c r="U201" s="3"/>
      <c r="V201" s="96"/>
      <c r="W201" s="1265"/>
      <c r="X201" s="3"/>
      <c r="Y201" s="3"/>
      <c r="Z201" s="1569"/>
      <c r="AA201" s="96"/>
    </row>
    <row r="202" spans="1:27" ht="15">
      <c r="A202" s="3"/>
      <c r="B202" s="3"/>
      <c r="C202" s="1536"/>
      <c r="D202" s="96"/>
      <c r="E202" s="3"/>
      <c r="F202" s="96"/>
      <c r="G202" s="3"/>
      <c r="H202" s="96"/>
      <c r="I202" s="3"/>
      <c r="J202" s="96"/>
      <c r="K202" s="3"/>
      <c r="L202" s="96"/>
      <c r="M202" s="3"/>
      <c r="N202" s="96"/>
      <c r="O202" s="3"/>
      <c r="P202" s="96"/>
      <c r="Q202" s="1265"/>
      <c r="R202" s="3"/>
      <c r="S202" s="3"/>
      <c r="T202" s="1685"/>
      <c r="U202" s="3"/>
      <c r="V202" s="96"/>
      <c r="W202" s="1265"/>
      <c r="X202" s="3"/>
      <c r="Y202" s="3"/>
      <c r="Z202" s="1569"/>
      <c r="AA202" s="96"/>
    </row>
    <row r="203" spans="1:27" ht="15">
      <c r="A203" s="3"/>
      <c r="B203" s="3"/>
      <c r="C203" s="1536"/>
      <c r="D203" s="96"/>
      <c r="E203" s="3"/>
      <c r="F203" s="96"/>
      <c r="G203" s="3"/>
      <c r="H203" s="96"/>
      <c r="I203" s="3"/>
      <c r="J203" s="96"/>
      <c r="K203" s="3"/>
      <c r="L203" s="96"/>
      <c r="M203" s="3"/>
      <c r="N203" s="96"/>
      <c r="O203" s="3"/>
      <c r="P203" s="96"/>
      <c r="Q203" s="1265"/>
      <c r="R203" s="3"/>
      <c r="S203" s="3"/>
      <c r="T203" s="1685"/>
      <c r="U203" s="3"/>
      <c r="V203" s="96"/>
      <c r="W203" s="1265"/>
      <c r="X203" s="3"/>
      <c r="Y203" s="3"/>
      <c r="Z203" s="1569"/>
      <c r="AA203" s="96"/>
    </row>
    <row r="204" spans="1:27" ht="15">
      <c r="A204" s="3"/>
      <c r="B204" s="3"/>
      <c r="C204" s="1536"/>
      <c r="D204" s="96"/>
      <c r="E204" s="3"/>
      <c r="F204" s="96"/>
      <c r="G204" s="3"/>
      <c r="H204" s="96"/>
      <c r="I204" s="3"/>
      <c r="J204" s="96"/>
      <c r="K204" s="3"/>
      <c r="L204" s="96"/>
      <c r="M204" s="3"/>
      <c r="N204" s="96"/>
      <c r="O204" s="3"/>
      <c r="P204" s="96"/>
      <c r="Q204" s="1265"/>
      <c r="R204" s="3"/>
      <c r="S204" s="3"/>
      <c r="T204" s="1685"/>
      <c r="U204" s="3"/>
      <c r="V204" s="96"/>
      <c r="W204" s="1265"/>
      <c r="X204" s="3"/>
      <c r="Y204" s="3"/>
      <c r="Z204" s="1569"/>
      <c r="AA204" s="96"/>
    </row>
    <row r="205" spans="1:27" ht="15">
      <c r="A205" s="3"/>
      <c r="B205" s="3"/>
      <c r="C205" s="1536"/>
      <c r="D205" s="96"/>
      <c r="E205" s="3"/>
      <c r="F205" s="96"/>
      <c r="G205" s="3"/>
      <c r="H205" s="96"/>
      <c r="I205" s="3"/>
      <c r="J205" s="96"/>
      <c r="K205" s="3"/>
      <c r="L205" s="96"/>
      <c r="M205" s="3"/>
      <c r="N205" s="96"/>
      <c r="O205" s="3"/>
      <c r="P205" s="96"/>
      <c r="Q205" s="1265"/>
      <c r="R205" s="3"/>
      <c r="S205" s="3"/>
      <c r="T205" s="1685"/>
      <c r="U205" s="3"/>
      <c r="V205" s="96"/>
      <c r="W205" s="1265"/>
      <c r="X205" s="3"/>
      <c r="Y205" s="3"/>
      <c r="Z205" s="1569"/>
      <c r="AA205" s="96"/>
    </row>
    <row r="206" spans="1:27" ht="15">
      <c r="A206" s="3"/>
      <c r="B206" s="3"/>
      <c r="C206" s="1536"/>
      <c r="D206" s="96"/>
      <c r="E206" s="3"/>
      <c r="F206" s="96"/>
      <c r="G206" s="3"/>
      <c r="H206" s="96"/>
      <c r="I206" s="3"/>
      <c r="J206" s="96"/>
      <c r="K206" s="3"/>
      <c r="L206" s="96"/>
      <c r="M206" s="3"/>
      <c r="N206" s="96"/>
      <c r="O206" s="3"/>
      <c r="P206" s="96"/>
      <c r="Q206" s="1265"/>
      <c r="R206" s="3"/>
      <c r="S206" s="3"/>
      <c r="T206" s="1685"/>
      <c r="U206" s="3"/>
      <c r="V206" s="96"/>
      <c r="W206" s="1265"/>
      <c r="X206" s="3"/>
      <c r="Y206" s="3"/>
      <c r="Z206" s="1569"/>
      <c r="AA206" s="96"/>
    </row>
    <row r="207" spans="1:27" ht="15">
      <c r="A207" s="3"/>
      <c r="B207" s="3"/>
      <c r="C207" s="1536"/>
      <c r="D207" s="96"/>
      <c r="E207" s="3"/>
      <c r="F207" s="96"/>
      <c r="G207" s="3"/>
      <c r="H207" s="96"/>
      <c r="I207" s="3"/>
      <c r="J207" s="96"/>
      <c r="K207" s="3"/>
      <c r="L207" s="96"/>
      <c r="M207" s="3"/>
      <c r="N207" s="96"/>
      <c r="O207" s="3"/>
      <c r="P207" s="96"/>
      <c r="Q207" s="1265"/>
      <c r="R207" s="3"/>
      <c r="S207" s="3"/>
      <c r="T207" s="1685"/>
      <c r="U207" s="3"/>
      <c r="V207" s="96"/>
      <c r="W207" s="1265"/>
      <c r="X207" s="3"/>
      <c r="Y207" s="3"/>
      <c r="Z207" s="1569"/>
      <c r="AA207" s="96"/>
    </row>
    <row r="208" spans="1:27" ht="15">
      <c r="A208" s="3"/>
      <c r="B208" s="3"/>
      <c r="C208" s="1536"/>
      <c r="D208" s="96"/>
      <c r="E208" s="3"/>
      <c r="F208" s="96"/>
      <c r="G208" s="3"/>
      <c r="H208" s="96"/>
      <c r="I208" s="3"/>
      <c r="J208" s="96"/>
      <c r="K208" s="3"/>
      <c r="L208" s="96"/>
      <c r="M208" s="3"/>
      <c r="N208" s="96"/>
      <c r="O208" s="3"/>
      <c r="P208" s="96"/>
      <c r="Q208" s="1265"/>
      <c r="R208" s="3"/>
      <c r="S208" s="3"/>
      <c r="T208" s="1685"/>
      <c r="U208" s="3"/>
      <c r="V208" s="96"/>
      <c r="W208" s="1265"/>
      <c r="X208" s="3"/>
      <c r="Y208" s="3"/>
      <c r="Z208" s="1569"/>
      <c r="AA208" s="96"/>
    </row>
    <row r="209" spans="1:27" ht="15">
      <c r="A209" s="3"/>
      <c r="B209" s="3"/>
      <c r="C209" s="1536"/>
      <c r="D209" s="96"/>
      <c r="E209" s="3"/>
      <c r="F209" s="96"/>
      <c r="G209" s="3"/>
      <c r="H209" s="96"/>
      <c r="I209" s="3"/>
      <c r="J209" s="96"/>
      <c r="K209" s="3"/>
      <c r="L209" s="96"/>
      <c r="M209" s="3"/>
      <c r="N209" s="96"/>
      <c r="O209" s="3"/>
      <c r="P209" s="96"/>
      <c r="Q209" s="1265"/>
      <c r="R209" s="3"/>
      <c r="S209" s="3"/>
      <c r="T209" s="1685"/>
      <c r="U209" s="3"/>
      <c r="V209" s="96"/>
      <c r="W209" s="1265"/>
      <c r="X209" s="3"/>
      <c r="Y209" s="3"/>
      <c r="Z209" s="1569"/>
      <c r="AA209" s="96"/>
    </row>
    <row r="210" spans="1:27" ht="15">
      <c r="A210" s="3"/>
      <c r="B210" s="3"/>
      <c r="C210" s="1536"/>
      <c r="D210" s="96"/>
      <c r="E210" s="3"/>
      <c r="F210" s="96"/>
      <c r="G210" s="3"/>
      <c r="H210" s="96"/>
      <c r="I210" s="3"/>
      <c r="J210" s="96"/>
      <c r="K210" s="3"/>
      <c r="L210" s="96"/>
      <c r="M210" s="3"/>
      <c r="N210" s="96"/>
      <c r="O210" s="3"/>
      <c r="P210" s="96"/>
      <c r="Q210" s="1265"/>
      <c r="R210" s="3"/>
      <c r="S210" s="3"/>
      <c r="T210" s="1685"/>
      <c r="U210" s="3"/>
      <c r="V210" s="96"/>
      <c r="W210" s="1265"/>
      <c r="X210" s="3"/>
      <c r="Y210" s="3"/>
      <c r="Z210" s="1569"/>
      <c r="AA210" s="96"/>
    </row>
    <row r="211" spans="1:27" ht="15">
      <c r="A211" s="3"/>
      <c r="B211" s="3"/>
      <c r="C211" s="1536"/>
      <c r="D211" s="96"/>
      <c r="E211" s="3"/>
      <c r="F211" s="96"/>
      <c r="G211" s="3"/>
      <c r="H211" s="96"/>
      <c r="I211" s="3"/>
      <c r="J211" s="96"/>
      <c r="K211" s="3"/>
      <c r="L211" s="96"/>
      <c r="M211" s="3"/>
      <c r="N211" s="96"/>
      <c r="O211" s="3"/>
      <c r="P211" s="96"/>
      <c r="Q211" s="1265"/>
      <c r="R211" s="3"/>
      <c r="S211" s="3"/>
      <c r="T211" s="1685"/>
      <c r="U211" s="3"/>
      <c r="V211" s="96"/>
      <c r="W211" s="1265"/>
      <c r="X211" s="3"/>
      <c r="Y211" s="3"/>
      <c r="Z211" s="1569"/>
      <c r="AA211" s="96"/>
    </row>
    <row r="212" spans="1:27" ht="15">
      <c r="A212" s="3"/>
      <c r="B212" s="3"/>
      <c r="C212" s="1536"/>
      <c r="D212" s="96"/>
      <c r="E212" s="3"/>
      <c r="F212" s="96"/>
      <c r="G212" s="3"/>
      <c r="H212" s="96"/>
      <c r="I212" s="3"/>
      <c r="J212" s="96"/>
      <c r="K212" s="3"/>
      <c r="L212" s="96"/>
      <c r="M212" s="3"/>
      <c r="N212" s="96"/>
      <c r="O212" s="3"/>
      <c r="P212" s="96"/>
      <c r="Q212" s="1265"/>
      <c r="R212" s="3"/>
      <c r="S212" s="3"/>
      <c r="T212" s="1685"/>
      <c r="U212" s="3"/>
      <c r="V212" s="96"/>
      <c r="W212" s="1265"/>
      <c r="X212" s="3"/>
      <c r="Y212" s="3"/>
      <c r="Z212" s="1569"/>
      <c r="AA212" s="96"/>
    </row>
    <row r="213" spans="1:27" ht="15">
      <c r="A213" s="3"/>
      <c r="B213" s="3"/>
      <c r="C213" s="1536"/>
      <c r="D213" s="96"/>
      <c r="E213" s="3"/>
      <c r="F213" s="96"/>
      <c r="G213" s="3"/>
      <c r="H213" s="96"/>
      <c r="I213" s="3"/>
      <c r="J213" s="96"/>
      <c r="K213" s="3"/>
      <c r="L213" s="96"/>
      <c r="M213" s="3"/>
      <c r="N213" s="96"/>
      <c r="O213" s="3"/>
      <c r="P213" s="96"/>
      <c r="Q213" s="1265"/>
      <c r="R213" s="3"/>
      <c r="S213" s="3"/>
      <c r="T213" s="1685"/>
      <c r="U213" s="3"/>
      <c r="V213" s="96"/>
      <c r="W213" s="1265"/>
      <c r="X213" s="3"/>
      <c r="Y213" s="3"/>
      <c r="Z213" s="1569"/>
      <c r="AA213" s="96"/>
    </row>
    <row r="214" spans="1:27" ht="15">
      <c r="A214" s="3"/>
      <c r="B214" s="3"/>
      <c r="C214" s="1536"/>
      <c r="D214" s="96"/>
      <c r="E214" s="3"/>
      <c r="F214" s="96"/>
      <c r="G214" s="3"/>
      <c r="H214" s="96"/>
      <c r="I214" s="3"/>
      <c r="J214" s="96"/>
      <c r="K214" s="3"/>
      <c r="L214" s="96"/>
      <c r="M214" s="3"/>
      <c r="N214" s="96"/>
      <c r="O214" s="3"/>
      <c r="P214" s="96"/>
      <c r="Q214" s="1265"/>
      <c r="R214" s="3"/>
      <c r="S214" s="3"/>
      <c r="T214" s="1685"/>
      <c r="U214" s="3"/>
      <c r="V214" s="96"/>
      <c r="W214" s="1265"/>
      <c r="X214" s="3"/>
      <c r="Y214" s="3"/>
      <c r="Z214" s="1569"/>
      <c r="AA214" s="96"/>
    </row>
    <row r="215" spans="1:27" ht="15">
      <c r="A215" s="3"/>
      <c r="B215" s="3"/>
      <c r="C215" s="1536"/>
      <c r="D215" s="96"/>
      <c r="E215" s="3"/>
      <c r="F215" s="96"/>
      <c r="G215" s="3"/>
      <c r="H215" s="96"/>
      <c r="I215" s="3"/>
      <c r="J215" s="96"/>
      <c r="K215" s="3"/>
      <c r="L215" s="96"/>
      <c r="M215" s="3"/>
      <c r="N215" s="96"/>
      <c r="O215" s="3"/>
      <c r="P215" s="96"/>
      <c r="Q215" s="1265"/>
      <c r="R215" s="3"/>
      <c r="S215" s="3"/>
      <c r="T215" s="1685"/>
      <c r="U215" s="3"/>
      <c r="V215" s="96"/>
      <c r="W215" s="1265"/>
      <c r="X215" s="3"/>
      <c r="Y215" s="3"/>
      <c r="Z215" s="1569"/>
      <c r="AA215" s="96"/>
    </row>
    <row r="216" spans="1:27" ht="15">
      <c r="A216" s="3"/>
      <c r="B216" s="3"/>
      <c r="C216" s="1536"/>
      <c r="D216" s="96"/>
      <c r="E216" s="3"/>
      <c r="F216" s="96"/>
      <c r="G216" s="3"/>
      <c r="H216" s="96"/>
      <c r="I216" s="3"/>
      <c r="J216" s="96"/>
      <c r="K216" s="3"/>
      <c r="L216" s="96"/>
      <c r="M216" s="3"/>
      <c r="N216" s="96"/>
      <c r="O216" s="3"/>
      <c r="P216" s="96"/>
      <c r="Q216" s="1265"/>
      <c r="R216" s="3"/>
      <c r="S216" s="3"/>
      <c r="T216" s="1685"/>
      <c r="U216" s="3"/>
      <c r="V216" s="96"/>
      <c r="W216" s="1265"/>
      <c r="X216" s="3"/>
      <c r="Y216" s="3"/>
      <c r="Z216" s="1569"/>
      <c r="AA216" s="96"/>
    </row>
    <row r="217" spans="1:27" ht="15">
      <c r="A217" s="3"/>
      <c r="B217" s="3"/>
      <c r="C217" s="1536"/>
      <c r="D217" s="96"/>
      <c r="E217" s="3"/>
      <c r="F217" s="96"/>
      <c r="G217" s="3"/>
      <c r="H217" s="96"/>
      <c r="I217" s="3"/>
      <c r="J217" s="96"/>
      <c r="K217" s="3"/>
      <c r="L217" s="96"/>
      <c r="M217" s="3"/>
      <c r="N217" s="96"/>
      <c r="O217" s="3"/>
      <c r="P217" s="96"/>
      <c r="Q217" s="1265"/>
      <c r="R217" s="3"/>
      <c r="S217" s="3"/>
      <c r="T217" s="1685"/>
      <c r="U217" s="3"/>
      <c r="V217" s="96"/>
      <c r="W217" s="1265"/>
      <c r="X217" s="3"/>
      <c r="Y217" s="3"/>
      <c r="Z217" s="1569"/>
      <c r="AA217" s="96"/>
    </row>
    <row r="218" spans="1:27" ht="15">
      <c r="A218" s="3"/>
      <c r="B218" s="3"/>
      <c r="C218" s="1536"/>
      <c r="D218" s="96"/>
      <c r="E218" s="3"/>
      <c r="F218" s="96"/>
      <c r="G218" s="3"/>
      <c r="H218" s="96"/>
      <c r="I218" s="3"/>
      <c r="J218" s="96"/>
      <c r="K218" s="3"/>
      <c r="L218" s="96"/>
      <c r="M218" s="3"/>
      <c r="N218" s="96"/>
      <c r="O218" s="3"/>
      <c r="P218" s="96"/>
      <c r="Q218" s="1265"/>
      <c r="R218" s="3"/>
      <c r="S218" s="3"/>
      <c r="T218" s="1685"/>
      <c r="U218" s="3"/>
      <c r="V218" s="96"/>
      <c r="W218" s="1265"/>
      <c r="X218" s="3"/>
      <c r="Y218" s="3"/>
      <c r="Z218" s="1569"/>
      <c r="AA218" s="96"/>
    </row>
    <row r="219" spans="1:27" ht="15">
      <c r="A219" s="3"/>
      <c r="B219" s="3"/>
      <c r="C219" s="1536"/>
      <c r="D219" s="96"/>
      <c r="E219" s="3"/>
      <c r="F219" s="96"/>
      <c r="G219" s="3"/>
      <c r="H219" s="96"/>
      <c r="I219" s="3"/>
      <c r="J219" s="96"/>
      <c r="K219" s="3"/>
      <c r="L219" s="96"/>
      <c r="M219" s="3"/>
      <c r="N219" s="96"/>
      <c r="O219" s="3"/>
      <c r="P219" s="96"/>
      <c r="Q219" s="1265"/>
      <c r="R219" s="3"/>
      <c r="S219" s="3"/>
      <c r="T219" s="1685"/>
      <c r="U219" s="3"/>
      <c r="V219" s="96"/>
      <c r="W219" s="1265"/>
      <c r="X219" s="3"/>
      <c r="Y219" s="3"/>
      <c r="Z219" s="1569"/>
      <c r="AA219" s="96"/>
    </row>
    <row r="220" spans="1:27" ht="15">
      <c r="A220" s="3"/>
      <c r="B220" s="3"/>
      <c r="C220" s="1536"/>
      <c r="D220" s="96"/>
      <c r="E220" s="3"/>
      <c r="F220" s="96"/>
      <c r="G220" s="3"/>
      <c r="H220" s="96"/>
      <c r="I220" s="3"/>
      <c r="J220" s="96"/>
      <c r="K220" s="3"/>
      <c r="L220" s="96"/>
      <c r="M220" s="3"/>
      <c r="N220" s="96"/>
      <c r="O220" s="3"/>
      <c r="P220" s="96"/>
      <c r="Q220" s="1265"/>
      <c r="R220" s="3"/>
      <c r="S220" s="3"/>
      <c r="T220" s="1685"/>
      <c r="U220" s="3"/>
      <c r="V220" s="96"/>
      <c r="W220" s="1265"/>
      <c r="X220" s="3"/>
      <c r="Y220" s="3"/>
      <c r="Z220" s="1569"/>
      <c r="AA220" s="96"/>
    </row>
    <row r="221" spans="1:27" ht="15">
      <c r="A221" s="3"/>
      <c r="B221" s="3"/>
      <c r="C221" s="1536"/>
      <c r="D221" s="96"/>
      <c r="E221" s="3"/>
      <c r="F221" s="96"/>
      <c r="G221" s="3"/>
      <c r="H221" s="96"/>
      <c r="I221" s="3"/>
      <c r="J221" s="96"/>
      <c r="K221" s="3"/>
      <c r="L221" s="96"/>
      <c r="M221" s="3"/>
      <c r="N221" s="96"/>
      <c r="O221" s="3"/>
      <c r="P221" s="96"/>
      <c r="Q221" s="1265"/>
      <c r="R221" s="3"/>
      <c r="S221" s="3"/>
      <c r="T221" s="1685"/>
      <c r="U221" s="3"/>
      <c r="V221" s="96"/>
      <c r="W221" s="1265"/>
      <c r="X221" s="3"/>
      <c r="Y221" s="3"/>
      <c r="Z221" s="1569"/>
      <c r="AA221" s="96"/>
    </row>
    <row r="222" spans="1:27" ht="15">
      <c r="A222" s="3"/>
      <c r="B222" s="3"/>
      <c r="C222" s="1536"/>
      <c r="D222" s="96"/>
      <c r="E222" s="3"/>
      <c r="F222" s="96"/>
      <c r="G222" s="3"/>
      <c r="H222" s="96"/>
      <c r="I222" s="3"/>
      <c r="J222" s="96"/>
      <c r="K222" s="3"/>
      <c r="L222" s="96"/>
      <c r="M222" s="3"/>
      <c r="N222" s="96"/>
      <c r="O222" s="3"/>
      <c r="P222" s="96"/>
      <c r="Q222" s="1265"/>
      <c r="R222" s="3"/>
      <c r="S222" s="3"/>
      <c r="T222" s="1685"/>
      <c r="U222" s="3"/>
      <c r="V222" s="96"/>
      <c r="W222" s="1265"/>
      <c r="X222" s="3"/>
      <c r="Y222" s="3"/>
      <c r="Z222" s="1569"/>
      <c r="AA222" s="96"/>
    </row>
    <row r="223" spans="1:27" ht="15">
      <c r="A223" s="3"/>
      <c r="B223" s="3"/>
      <c r="C223" s="1536"/>
      <c r="D223" s="96"/>
      <c r="E223" s="3"/>
      <c r="F223" s="96"/>
      <c r="G223" s="3"/>
      <c r="H223" s="96"/>
      <c r="I223" s="3"/>
      <c r="J223" s="96"/>
      <c r="K223" s="3"/>
      <c r="L223" s="96"/>
      <c r="M223" s="3"/>
      <c r="N223" s="96"/>
      <c r="O223" s="3"/>
      <c r="P223" s="96"/>
      <c r="Q223" s="1265"/>
      <c r="R223" s="3"/>
      <c r="S223" s="3"/>
      <c r="T223" s="1685"/>
      <c r="U223" s="3"/>
      <c r="V223" s="96"/>
      <c r="W223" s="1265"/>
      <c r="X223" s="3"/>
      <c r="Y223" s="3"/>
      <c r="Z223" s="1569"/>
      <c r="AA223" s="96"/>
    </row>
    <row r="224" spans="1:27" ht="15">
      <c r="A224" s="3"/>
      <c r="B224" s="3"/>
      <c r="C224" s="1536"/>
      <c r="D224" s="96"/>
      <c r="E224" s="3"/>
      <c r="F224" s="96"/>
      <c r="G224" s="3"/>
      <c r="H224" s="96"/>
      <c r="I224" s="3"/>
      <c r="J224" s="96"/>
      <c r="K224" s="3"/>
      <c r="L224" s="96"/>
      <c r="M224" s="3"/>
      <c r="N224" s="96"/>
      <c r="O224" s="3"/>
      <c r="P224" s="96"/>
      <c r="Q224" s="1265"/>
      <c r="R224" s="3"/>
      <c r="S224" s="3"/>
      <c r="T224" s="1685"/>
      <c r="U224" s="3"/>
      <c r="V224" s="96"/>
      <c r="W224" s="1265"/>
      <c r="X224" s="3"/>
      <c r="Y224" s="3"/>
      <c r="Z224" s="1569"/>
      <c r="AA224" s="96"/>
    </row>
    <row r="225" spans="1:27" ht="15">
      <c r="A225" s="3"/>
      <c r="B225" s="3"/>
      <c r="C225" s="1536"/>
      <c r="D225" s="96"/>
      <c r="E225" s="3"/>
      <c r="F225" s="96"/>
      <c r="G225" s="3"/>
      <c r="H225" s="96"/>
      <c r="I225" s="3"/>
      <c r="J225" s="96"/>
      <c r="K225" s="3"/>
      <c r="L225" s="96"/>
      <c r="M225" s="3"/>
      <c r="N225" s="96"/>
      <c r="O225" s="3"/>
      <c r="P225" s="96"/>
      <c r="Q225" s="1265"/>
      <c r="R225" s="3"/>
      <c r="S225" s="3"/>
      <c r="T225" s="1685"/>
      <c r="U225" s="3"/>
      <c r="V225" s="96"/>
      <c r="W225" s="1265"/>
      <c r="X225" s="3"/>
      <c r="Y225" s="3"/>
      <c r="Z225" s="1569"/>
      <c r="AA225" s="96"/>
    </row>
    <row r="226" spans="1:27" ht="15">
      <c r="A226" s="3"/>
      <c r="B226" s="3"/>
      <c r="C226" s="1536"/>
      <c r="D226" s="96"/>
      <c r="E226" s="3"/>
      <c r="F226" s="96"/>
      <c r="G226" s="3"/>
      <c r="H226" s="96"/>
      <c r="I226" s="3"/>
      <c r="J226" s="96"/>
      <c r="K226" s="3"/>
      <c r="L226" s="96"/>
      <c r="M226" s="3"/>
      <c r="N226" s="96"/>
      <c r="O226" s="3"/>
      <c r="P226" s="96"/>
      <c r="Q226" s="1265"/>
      <c r="R226" s="3"/>
      <c r="S226" s="3"/>
      <c r="T226" s="1685"/>
      <c r="U226" s="3"/>
      <c r="V226" s="96"/>
      <c r="W226" s="1265"/>
      <c r="X226" s="3"/>
      <c r="Y226" s="3"/>
      <c r="Z226" s="1569"/>
      <c r="AA226" s="96"/>
    </row>
    <row r="227" spans="1:27" ht="15">
      <c r="A227" s="3"/>
      <c r="B227" s="3"/>
      <c r="C227" s="1536"/>
      <c r="D227" s="96"/>
      <c r="E227" s="3"/>
      <c r="F227" s="96"/>
      <c r="G227" s="3"/>
      <c r="H227" s="96"/>
      <c r="I227" s="3"/>
      <c r="J227" s="96"/>
      <c r="K227" s="3"/>
      <c r="L227" s="96"/>
      <c r="M227" s="3"/>
      <c r="N227" s="96"/>
      <c r="O227" s="3"/>
      <c r="P227" s="96"/>
      <c r="Q227" s="1265"/>
      <c r="R227" s="3"/>
      <c r="S227" s="3"/>
      <c r="T227" s="1685"/>
      <c r="U227" s="3"/>
      <c r="V227" s="96"/>
      <c r="W227" s="1265"/>
      <c r="X227" s="3"/>
      <c r="Y227" s="3"/>
      <c r="Z227" s="1569"/>
      <c r="AA227" s="96"/>
    </row>
    <row r="228" spans="1:27" ht="15">
      <c r="A228" s="3"/>
      <c r="B228" s="3"/>
      <c r="C228" s="1536"/>
      <c r="D228" s="96"/>
      <c r="E228" s="3"/>
      <c r="F228" s="96"/>
      <c r="G228" s="3"/>
      <c r="H228" s="96"/>
      <c r="I228" s="3"/>
      <c r="J228" s="96"/>
      <c r="K228" s="3"/>
      <c r="L228" s="96"/>
      <c r="M228" s="3"/>
      <c r="N228" s="96"/>
      <c r="O228" s="3"/>
      <c r="P228" s="96"/>
      <c r="Q228" s="1265"/>
      <c r="R228" s="3"/>
      <c r="S228" s="3"/>
      <c r="T228" s="1685"/>
      <c r="U228" s="3"/>
      <c r="V228" s="96"/>
      <c r="W228" s="1265"/>
      <c r="X228" s="3"/>
      <c r="Y228" s="3"/>
      <c r="Z228" s="1569"/>
      <c r="AA228" s="96"/>
    </row>
    <row r="229" spans="1:27" ht="15">
      <c r="A229" s="3"/>
      <c r="B229" s="3"/>
      <c r="C229" s="1536"/>
      <c r="D229" s="96"/>
      <c r="E229" s="3"/>
      <c r="F229" s="96"/>
      <c r="G229" s="3"/>
      <c r="H229" s="96"/>
      <c r="I229" s="3"/>
      <c r="J229" s="96"/>
      <c r="K229" s="3"/>
      <c r="L229" s="96"/>
      <c r="M229" s="3"/>
      <c r="N229" s="96"/>
      <c r="O229" s="3"/>
      <c r="P229" s="96"/>
      <c r="Q229" s="1265"/>
      <c r="R229" s="3"/>
      <c r="S229" s="3"/>
      <c r="T229" s="1685"/>
      <c r="U229" s="3"/>
      <c r="V229" s="96"/>
      <c r="W229" s="1265"/>
      <c r="X229" s="3"/>
      <c r="Y229" s="3"/>
      <c r="Z229" s="1569"/>
      <c r="AA229" s="96"/>
    </row>
    <row r="230" spans="1:27" ht="15">
      <c r="A230" s="3"/>
      <c r="B230" s="3"/>
      <c r="C230" s="1536"/>
      <c r="D230" s="96"/>
      <c r="E230" s="3"/>
      <c r="F230" s="96"/>
      <c r="G230" s="3"/>
      <c r="H230" s="96"/>
      <c r="I230" s="3"/>
      <c r="J230" s="96"/>
      <c r="K230" s="3"/>
      <c r="L230" s="96"/>
      <c r="M230" s="3"/>
      <c r="N230" s="96"/>
      <c r="O230" s="3"/>
      <c r="P230" s="96"/>
      <c r="Q230" s="1265"/>
      <c r="R230" s="3"/>
      <c r="S230" s="3"/>
      <c r="T230" s="1685"/>
      <c r="U230" s="3"/>
      <c r="V230" s="96"/>
      <c r="W230" s="1265"/>
      <c r="X230" s="3"/>
      <c r="Y230" s="3"/>
      <c r="Z230" s="1569"/>
      <c r="AA230" s="96"/>
    </row>
    <row r="231" spans="1:27" ht="15">
      <c r="A231" s="3"/>
      <c r="B231" s="3"/>
      <c r="C231" s="1536"/>
      <c r="D231" s="96"/>
      <c r="E231" s="3"/>
      <c r="F231" s="96"/>
      <c r="G231" s="3"/>
      <c r="H231" s="96"/>
      <c r="I231" s="3"/>
      <c r="J231" s="96"/>
      <c r="K231" s="3"/>
      <c r="L231" s="96"/>
      <c r="M231" s="3"/>
      <c r="N231" s="96"/>
      <c r="O231" s="3"/>
      <c r="P231" s="96"/>
      <c r="Q231" s="1265"/>
      <c r="R231" s="3"/>
      <c r="S231" s="3"/>
      <c r="T231" s="1685"/>
      <c r="U231" s="3"/>
      <c r="V231" s="96"/>
      <c r="W231" s="1265"/>
      <c r="X231" s="3"/>
      <c r="Y231" s="3"/>
      <c r="Z231" s="1569"/>
      <c r="AA231" s="96"/>
    </row>
    <row r="232" spans="1:27" ht="15">
      <c r="A232" s="3"/>
      <c r="B232" s="3"/>
      <c r="C232" s="1536"/>
      <c r="D232" s="96"/>
      <c r="E232" s="3"/>
      <c r="F232" s="96"/>
      <c r="G232" s="3"/>
      <c r="H232" s="96"/>
      <c r="I232" s="3"/>
      <c r="J232" s="96"/>
      <c r="K232" s="3"/>
      <c r="L232" s="96"/>
      <c r="M232" s="3"/>
      <c r="N232" s="96"/>
      <c r="O232" s="3"/>
      <c r="P232" s="96"/>
      <c r="Q232" s="1265"/>
      <c r="R232" s="3"/>
      <c r="S232" s="3"/>
      <c r="T232" s="1685"/>
      <c r="U232" s="3"/>
      <c r="V232" s="96"/>
      <c r="W232" s="1265"/>
      <c r="X232" s="3"/>
      <c r="Y232" s="3"/>
      <c r="Z232" s="1569"/>
      <c r="AA232" s="96"/>
    </row>
    <row r="233" spans="1:27" ht="15">
      <c r="A233" s="3"/>
      <c r="B233" s="3"/>
      <c r="C233" s="1536"/>
      <c r="D233" s="96"/>
      <c r="E233" s="3"/>
      <c r="F233" s="96"/>
      <c r="G233" s="3"/>
      <c r="H233" s="96"/>
      <c r="I233" s="3"/>
      <c r="J233" s="96"/>
      <c r="K233" s="3"/>
      <c r="L233" s="96"/>
      <c r="M233" s="3"/>
      <c r="N233" s="96"/>
      <c r="O233" s="3"/>
      <c r="P233" s="96"/>
      <c r="Q233" s="1265"/>
      <c r="R233" s="3"/>
      <c r="S233" s="3"/>
      <c r="T233" s="1685"/>
      <c r="U233" s="3"/>
      <c r="V233" s="96"/>
      <c r="W233" s="1265"/>
      <c r="X233" s="3"/>
      <c r="Y233" s="3"/>
      <c r="Z233" s="1569"/>
      <c r="AA233" s="96"/>
    </row>
    <row r="234" spans="1:27" ht="15">
      <c r="A234" s="3"/>
      <c r="B234" s="3"/>
      <c r="C234" s="1536"/>
      <c r="D234" s="96"/>
      <c r="E234" s="3"/>
      <c r="F234" s="96"/>
      <c r="G234" s="3"/>
      <c r="H234" s="96"/>
      <c r="I234" s="3"/>
      <c r="J234" s="96"/>
      <c r="K234" s="3"/>
      <c r="L234" s="96"/>
      <c r="M234" s="3"/>
      <c r="N234" s="96"/>
      <c r="O234" s="3"/>
      <c r="P234" s="96"/>
      <c r="Q234" s="1265"/>
      <c r="R234" s="3"/>
      <c r="S234" s="3"/>
      <c r="T234" s="1685"/>
      <c r="U234" s="3"/>
      <c r="V234" s="96"/>
      <c r="W234" s="1265"/>
      <c r="X234" s="3"/>
      <c r="Y234" s="3"/>
      <c r="Z234" s="1569"/>
      <c r="AA234" s="96"/>
    </row>
    <row r="235" spans="1:27" ht="15">
      <c r="A235" s="3"/>
      <c r="B235" s="3"/>
      <c r="C235" s="1536"/>
      <c r="D235" s="96"/>
      <c r="E235" s="3"/>
      <c r="F235" s="96"/>
      <c r="G235" s="3"/>
      <c r="H235" s="96"/>
      <c r="I235" s="3"/>
      <c r="J235" s="96"/>
      <c r="K235" s="3"/>
      <c r="L235" s="96"/>
      <c r="M235" s="3"/>
      <c r="N235" s="96"/>
      <c r="O235" s="3"/>
      <c r="P235" s="96"/>
      <c r="Q235" s="1265"/>
      <c r="R235" s="3"/>
      <c r="S235" s="3"/>
      <c r="T235" s="1685"/>
      <c r="U235" s="3"/>
      <c r="V235" s="96"/>
      <c r="W235" s="1265"/>
      <c r="X235" s="3"/>
      <c r="Y235" s="3"/>
      <c r="Z235" s="1569"/>
      <c r="AA235" s="96"/>
    </row>
    <row r="236" spans="1:27" ht="15">
      <c r="A236" s="3"/>
      <c r="B236" s="3"/>
      <c r="C236" s="1536"/>
      <c r="D236" s="96"/>
      <c r="E236" s="3"/>
      <c r="F236" s="96"/>
      <c r="G236" s="3"/>
      <c r="H236" s="96"/>
      <c r="I236" s="3"/>
      <c r="J236" s="96"/>
      <c r="K236" s="3"/>
      <c r="L236" s="96"/>
      <c r="M236" s="3"/>
      <c r="N236" s="96"/>
      <c r="O236" s="3"/>
      <c r="P236" s="96"/>
      <c r="Q236" s="1265"/>
      <c r="R236" s="3"/>
      <c r="S236" s="3"/>
      <c r="T236" s="1685"/>
      <c r="U236" s="3"/>
      <c r="V236" s="96"/>
      <c r="W236" s="1265"/>
      <c r="X236" s="3"/>
      <c r="Y236" s="3"/>
      <c r="Z236" s="1569"/>
      <c r="AA236" s="96"/>
    </row>
    <row r="237" spans="1:27" ht="15">
      <c r="A237" s="3"/>
      <c r="B237" s="3"/>
      <c r="C237" s="1536"/>
      <c r="D237" s="96"/>
      <c r="E237" s="3"/>
      <c r="F237" s="96"/>
      <c r="G237" s="3"/>
      <c r="H237" s="96"/>
      <c r="I237" s="3"/>
      <c r="J237" s="96"/>
      <c r="K237" s="3"/>
      <c r="L237" s="96"/>
      <c r="M237" s="3"/>
      <c r="N237" s="96"/>
      <c r="O237" s="3"/>
      <c r="P237" s="96"/>
      <c r="Q237" s="1265"/>
      <c r="R237" s="3"/>
      <c r="S237" s="3"/>
      <c r="T237" s="1685"/>
      <c r="U237" s="3"/>
      <c r="V237" s="96"/>
      <c r="W237" s="1265"/>
      <c r="X237" s="3"/>
      <c r="Y237" s="3"/>
      <c r="Z237" s="1569"/>
      <c r="AA237" s="96"/>
    </row>
    <row r="238" spans="1:27" ht="15">
      <c r="A238" s="3"/>
      <c r="B238" s="3"/>
      <c r="C238" s="1536"/>
      <c r="D238" s="96"/>
      <c r="E238" s="3"/>
      <c r="F238" s="96"/>
      <c r="G238" s="3"/>
      <c r="H238" s="96"/>
      <c r="I238" s="3"/>
      <c r="J238" s="96"/>
      <c r="K238" s="3"/>
      <c r="L238" s="96"/>
      <c r="M238" s="3"/>
      <c r="N238" s="96"/>
      <c r="O238" s="3"/>
      <c r="P238" s="96"/>
      <c r="Q238" s="1265"/>
      <c r="R238" s="3"/>
      <c r="S238" s="3"/>
      <c r="T238" s="1685"/>
      <c r="U238" s="3"/>
      <c r="V238" s="96"/>
      <c r="W238" s="1265"/>
      <c r="X238" s="3"/>
      <c r="Y238" s="3"/>
      <c r="Z238" s="1569"/>
      <c r="AA238" s="96"/>
    </row>
    <row r="239" spans="1:27" ht="15">
      <c r="A239" s="3"/>
      <c r="B239" s="3"/>
      <c r="C239" s="1536"/>
      <c r="D239" s="96"/>
      <c r="E239" s="3"/>
      <c r="F239" s="96"/>
      <c r="G239" s="3"/>
      <c r="H239" s="96"/>
      <c r="I239" s="3"/>
      <c r="J239" s="96"/>
      <c r="K239" s="3"/>
      <c r="L239" s="96"/>
      <c r="M239" s="3"/>
      <c r="N239" s="96"/>
      <c r="O239" s="3"/>
      <c r="P239" s="96"/>
      <c r="Q239" s="1265"/>
      <c r="R239" s="3"/>
      <c r="S239" s="3"/>
      <c r="T239" s="1685"/>
      <c r="U239" s="3"/>
      <c r="V239" s="96"/>
      <c r="W239" s="1265"/>
      <c r="X239" s="3"/>
      <c r="Y239" s="3"/>
      <c r="Z239" s="1569"/>
      <c r="AA239" s="96"/>
    </row>
    <row r="240" spans="1:27" ht="15">
      <c r="A240" s="3"/>
      <c r="B240" s="3"/>
      <c r="C240" s="1536"/>
      <c r="D240" s="96"/>
      <c r="E240" s="3"/>
      <c r="F240" s="96"/>
      <c r="G240" s="3"/>
      <c r="H240" s="96"/>
      <c r="I240" s="3"/>
      <c r="J240" s="96"/>
      <c r="K240" s="3"/>
      <c r="L240" s="96"/>
      <c r="M240" s="3"/>
      <c r="N240" s="96"/>
      <c r="O240" s="3"/>
      <c r="P240" s="96"/>
      <c r="Q240" s="1265"/>
      <c r="R240" s="3"/>
      <c r="S240" s="3"/>
      <c r="T240" s="1685"/>
      <c r="U240" s="3"/>
      <c r="V240" s="96"/>
      <c r="W240" s="1265"/>
      <c r="X240" s="3"/>
      <c r="Y240" s="3"/>
      <c r="Z240" s="1569"/>
      <c r="AA240" s="96"/>
    </row>
    <row r="241" spans="1:27" ht="15">
      <c r="A241" s="3"/>
      <c r="B241" s="3"/>
      <c r="C241" s="1536"/>
      <c r="D241" s="96"/>
      <c r="E241" s="3"/>
      <c r="F241" s="96"/>
      <c r="G241" s="3"/>
      <c r="H241" s="96"/>
      <c r="I241" s="3"/>
      <c r="J241" s="96"/>
      <c r="K241" s="3"/>
      <c r="L241" s="96"/>
      <c r="M241" s="3"/>
      <c r="N241" s="96"/>
      <c r="O241" s="3"/>
      <c r="P241" s="96"/>
      <c r="Q241" s="1265"/>
      <c r="R241" s="3"/>
      <c r="S241" s="3"/>
      <c r="T241" s="1685"/>
      <c r="U241" s="3"/>
      <c r="V241" s="96"/>
      <c r="W241" s="1265"/>
      <c r="X241" s="3"/>
      <c r="Y241" s="3"/>
      <c r="Z241" s="1569"/>
      <c r="AA241" s="96"/>
    </row>
    <row r="242" spans="1:27" ht="15">
      <c r="A242" s="3"/>
      <c r="B242" s="3"/>
      <c r="C242" s="1536"/>
      <c r="D242" s="96"/>
      <c r="E242" s="3"/>
      <c r="F242" s="96"/>
      <c r="G242" s="3"/>
      <c r="H242" s="96"/>
      <c r="I242" s="3"/>
      <c r="J242" s="96"/>
      <c r="K242" s="3"/>
      <c r="L242" s="96"/>
      <c r="M242" s="3"/>
      <c r="N242" s="96"/>
      <c r="O242" s="3"/>
      <c r="P242" s="96"/>
      <c r="Q242" s="1265"/>
      <c r="R242" s="3"/>
      <c r="S242" s="3"/>
      <c r="T242" s="1685"/>
      <c r="U242" s="3"/>
      <c r="V242" s="96"/>
      <c r="W242" s="1265"/>
      <c r="X242" s="3"/>
      <c r="Y242" s="3"/>
      <c r="Z242" s="1569"/>
      <c r="AA242" s="96"/>
    </row>
    <row r="243" spans="1:27" ht="15">
      <c r="A243" s="3"/>
      <c r="B243" s="3"/>
      <c r="C243" s="1536"/>
      <c r="D243" s="96"/>
      <c r="E243" s="3"/>
      <c r="F243" s="96"/>
      <c r="G243" s="3"/>
      <c r="H243" s="96"/>
      <c r="I243" s="3"/>
      <c r="J243" s="96"/>
      <c r="K243" s="3"/>
      <c r="L243" s="96"/>
      <c r="M243" s="3"/>
      <c r="N243" s="96"/>
      <c r="O243" s="3"/>
      <c r="P243" s="96"/>
      <c r="Q243" s="1265"/>
      <c r="R243" s="3"/>
      <c r="S243" s="3"/>
      <c r="T243" s="1685"/>
      <c r="U243" s="3"/>
      <c r="V243" s="96"/>
      <c r="W243" s="1265"/>
      <c r="X243" s="3"/>
      <c r="Y243" s="3"/>
      <c r="Z243" s="1569"/>
      <c r="AA243" s="96"/>
    </row>
    <row r="244" spans="1:27" ht="15">
      <c r="A244" s="3"/>
      <c r="B244" s="3"/>
      <c r="C244" s="1536"/>
      <c r="D244" s="96"/>
      <c r="E244" s="3"/>
      <c r="F244" s="96"/>
      <c r="G244" s="3"/>
      <c r="H244" s="96"/>
      <c r="I244" s="3"/>
      <c r="J244" s="96"/>
      <c r="K244" s="3"/>
      <c r="L244" s="96"/>
      <c r="M244" s="3"/>
      <c r="N244" s="96"/>
      <c r="O244" s="3"/>
      <c r="P244" s="96"/>
      <c r="Q244" s="1265"/>
      <c r="R244" s="3"/>
      <c r="S244" s="3"/>
      <c r="T244" s="1685"/>
      <c r="U244" s="3"/>
      <c r="V244" s="96"/>
      <c r="W244" s="1265"/>
      <c r="X244" s="3"/>
      <c r="Y244" s="3"/>
      <c r="Z244" s="1569"/>
      <c r="AA244" s="96"/>
    </row>
    <row r="245" spans="1:27" ht="15">
      <c r="A245" s="3"/>
      <c r="B245" s="3"/>
      <c r="C245" s="1536"/>
      <c r="D245" s="96"/>
      <c r="E245" s="3"/>
      <c r="F245" s="96"/>
      <c r="G245" s="3"/>
      <c r="H245" s="96"/>
      <c r="I245" s="3"/>
      <c r="J245" s="96"/>
      <c r="K245" s="3"/>
      <c r="L245" s="96"/>
      <c r="M245" s="3"/>
      <c r="N245" s="96"/>
      <c r="O245" s="3"/>
      <c r="P245" s="96"/>
      <c r="Q245" s="1265"/>
      <c r="R245" s="3"/>
      <c r="S245" s="3"/>
      <c r="T245" s="1685"/>
      <c r="U245" s="3"/>
      <c r="V245" s="96"/>
      <c r="W245" s="1265"/>
      <c r="X245" s="3"/>
      <c r="Y245" s="3"/>
      <c r="Z245" s="1569"/>
      <c r="AA245" s="96"/>
    </row>
    <row r="246" spans="1:27" ht="15">
      <c r="A246" s="3"/>
      <c r="B246" s="3"/>
      <c r="C246" s="1536"/>
      <c r="D246" s="96"/>
      <c r="E246" s="3"/>
      <c r="F246" s="96"/>
      <c r="G246" s="3"/>
      <c r="H246" s="96"/>
      <c r="I246" s="3"/>
      <c r="J246" s="96"/>
      <c r="K246" s="3"/>
      <c r="L246" s="96"/>
      <c r="M246" s="3"/>
      <c r="N246" s="96"/>
      <c r="O246" s="3"/>
      <c r="P246" s="96"/>
      <c r="Q246" s="1265"/>
      <c r="R246" s="3"/>
      <c r="S246" s="3"/>
      <c r="T246" s="1685"/>
      <c r="U246" s="3"/>
      <c r="V246" s="96"/>
      <c r="W246" s="1265"/>
      <c r="X246" s="3"/>
      <c r="Y246" s="3"/>
      <c r="Z246" s="1569"/>
      <c r="AA246" s="96"/>
    </row>
    <row r="247" spans="1:27" ht="15">
      <c r="A247" s="3"/>
      <c r="B247" s="3"/>
      <c r="C247" s="1536"/>
      <c r="D247" s="96"/>
      <c r="E247" s="3"/>
      <c r="F247" s="96"/>
      <c r="G247" s="3"/>
      <c r="H247" s="96"/>
      <c r="I247" s="3"/>
      <c r="J247" s="96"/>
      <c r="K247" s="3"/>
      <c r="L247" s="96"/>
      <c r="M247" s="3"/>
      <c r="N247" s="96"/>
      <c r="O247" s="3"/>
      <c r="P247" s="96"/>
      <c r="Q247" s="1265"/>
      <c r="R247" s="3"/>
      <c r="S247" s="3"/>
      <c r="T247" s="1685"/>
      <c r="U247" s="3"/>
      <c r="V247" s="96"/>
      <c r="W247" s="1265"/>
      <c r="X247" s="3"/>
      <c r="Y247" s="3"/>
      <c r="Z247" s="1569"/>
      <c r="AA247" s="96"/>
    </row>
    <row r="248" spans="1:27" ht="15">
      <c r="A248" s="3"/>
      <c r="B248" s="3"/>
      <c r="C248" s="1536"/>
      <c r="D248" s="96"/>
      <c r="E248" s="3"/>
      <c r="F248" s="96"/>
      <c r="G248" s="3"/>
      <c r="H248" s="96"/>
      <c r="I248" s="3"/>
      <c r="J248" s="96"/>
      <c r="K248" s="3"/>
      <c r="L248" s="96"/>
      <c r="M248" s="3"/>
      <c r="N248" s="96"/>
      <c r="O248" s="3"/>
      <c r="P248" s="96"/>
      <c r="Q248" s="1265"/>
      <c r="R248" s="3"/>
      <c r="S248" s="3"/>
      <c r="T248" s="1685"/>
      <c r="U248" s="3"/>
      <c r="V248" s="96"/>
      <c r="W248" s="1265"/>
      <c r="X248" s="3"/>
      <c r="Y248" s="3"/>
      <c r="Z248" s="1569"/>
      <c r="AA248" s="96"/>
    </row>
    <row r="249" spans="1:27" ht="15">
      <c r="A249" s="3"/>
      <c r="B249" s="3"/>
      <c r="C249" s="1536"/>
      <c r="D249" s="96"/>
      <c r="E249" s="3"/>
      <c r="F249" s="96"/>
      <c r="G249" s="3"/>
      <c r="H249" s="96"/>
      <c r="I249" s="3"/>
      <c r="J249" s="96"/>
      <c r="K249" s="3"/>
      <c r="L249" s="96"/>
      <c r="M249" s="3"/>
      <c r="N249" s="96"/>
      <c r="O249" s="3"/>
      <c r="P249" s="96"/>
      <c r="Q249" s="1265"/>
      <c r="R249" s="3"/>
      <c r="S249" s="3"/>
      <c r="T249" s="1685"/>
      <c r="U249" s="3"/>
      <c r="V249" s="96"/>
      <c r="W249" s="1265"/>
      <c r="X249" s="3"/>
      <c r="Y249" s="3"/>
      <c r="Z249" s="1569"/>
      <c r="AA249" s="96"/>
    </row>
    <row r="250" spans="1:27" ht="15">
      <c r="A250" s="3"/>
      <c r="B250" s="3"/>
      <c r="C250" s="1536"/>
      <c r="D250" s="96"/>
      <c r="E250" s="3"/>
      <c r="F250" s="96"/>
      <c r="G250" s="3"/>
      <c r="H250" s="96"/>
      <c r="I250" s="3"/>
      <c r="J250" s="96"/>
      <c r="K250" s="3"/>
      <c r="L250" s="96"/>
      <c r="M250" s="3"/>
      <c r="N250" s="96"/>
      <c r="O250" s="3"/>
      <c r="P250" s="96"/>
      <c r="Q250" s="1265"/>
      <c r="R250" s="3"/>
      <c r="S250" s="3"/>
      <c r="T250" s="1685"/>
      <c r="U250" s="3"/>
      <c r="V250" s="96"/>
      <c r="W250" s="1265"/>
      <c r="X250" s="3"/>
      <c r="Y250" s="3"/>
      <c r="Z250" s="1569"/>
      <c r="AA250" s="96"/>
    </row>
    <row r="251" spans="1:27" ht="15">
      <c r="A251" s="3"/>
      <c r="B251" s="3"/>
      <c r="C251" s="1536"/>
      <c r="D251" s="96"/>
      <c r="E251" s="3"/>
      <c r="F251" s="96"/>
      <c r="G251" s="3"/>
      <c r="H251" s="96"/>
      <c r="I251" s="3"/>
      <c r="J251" s="96"/>
      <c r="K251" s="3"/>
      <c r="L251" s="96"/>
      <c r="M251" s="3"/>
      <c r="N251" s="96"/>
      <c r="O251" s="3"/>
      <c r="P251" s="96"/>
      <c r="Q251" s="1265"/>
      <c r="R251" s="3"/>
      <c r="S251" s="3"/>
      <c r="T251" s="1685"/>
      <c r="U251" s="3"/>
      <c r="V251" s="96"/>
      <c r="W251" s="1265"/>
      <c r="X251" s="3"/>
      <c r="Y251" s="3"/>
      <c r="Z251" s="1569"/>
      <c r="AA251" s="96"/>
    </row>
    <row r="252" spans="1:27" ht="15">
      <c r="A252" s="3"/>
      <c r="B252" s="3"/>
      <c r="C252" s="1536"/>
      <c r="D252" s="96"/>
      <c r="E252" s="3"/>
      <c r="F252" s="96"/>
      <c r="G252" s="3"/>
      <c r="H252" s="96"/>
      <c r="I252" s="3"/>
      <c r="J252" s="96"/>
      <c r="K252" s="3"/>
      <c r="L252" s="96"/>
      <c r="M252" s="3"/>
      <c r="N252" s="96"/>
      <c r="O252" s="3"/>
      <c r="P252" s="96"/>
      <c r="Q252" s="1265"/>
      <c r="R252" s="3"/>
      <c r="S252" s="3"/>
      <c r="T252" s="1685"/>
      <c r="U252" s="3"/>
      <c r="V252" s="96"/>
      <c r="W252" s="1265"/>
      <c r="X252" s="3"/>
      <c r="Y252" s="3"/>
      <c r="Z252" s="1569"/>
      <c r="AA252" s="96"/>
    </row>
    <row r="253" spans="1:27" ht="15">
      <c r="A253" s="3"/>
      <c r="B253" s="3"/>
      <c r="C253" s="1536"/>
      <c r="D253" s="96"/>
      <c r="E253" s="3"/>
      <c r="F253" s="96"/>
      <c r="G253" s="3"/>
      <c r="H253" s="96"/>
      <c r="I253" s="3"/>
      <c r="J253" s="96"/>
      <c r="K253" s="3"/>
      <c r="L253" s="96"/>
      <c r="M253" s="3"/>
      <c r="N253" s="96"/>
      <c r="O253" s="3"/>
      <c r="P253" s="96"/>
      <c r="Q253" s="1265"/>
      <c r="R253" s="3"/>
      <c r="S253" s="3"/>
      <c r="T253" s="1685"/>
      <c r="U253" s="3"/>
      <c r="V253" s="96"/>
      <c r="W253" s="1265"/>
      <c r="X253" s="3"/>
      <c r="Y253" s="3"/>
      <c r="Z253" s="1569"/>
      <c r="AA253" s="96"/>
    </row>
    <row r="254" spans="1:27" ht="15">
      <c r="A254" s="3"/>
      <c r="B254" s="3"/>
      <c r="C254" s="1536"/>
      <c r="D254" s="96"/>
      <c r="E254" s="3"/>
      <c r="F254" s="96"/>
      <c r="G254" s="3"/>
      <c r="H254" s="96"/>
      <c r="I254" s="3"/>
      <c r="J254" s="96"/>
      <c r="K254" s="3"/>
      <c r="L254" s="96"/>
      <c r="M254" s="3"/>
      <c r="N254" s="96"/>
      <c r="O254" s="3"/>
      <c r="P254" s="96"/>
      <c r="Q254" s="1265"/>
      <c r="R254" s="3"/>
      <c r="S254" s="3"/>
      <c r="T254" s="1685"/>
      <c r="U254" s="3"/>
      <c r="V254" s="96"/>
      <c r="W254" s="1265"/>
      <c r="X254" s="3"/>
      <c r="Y254" s="3"/>
      <c r="Z254" s="1569"/>
      <c r="AA254" s="96"/>
    </row>
    <row r="255" spans="1:27" ht="15">
      <c r="A255" s="3"/>
      <c r="B255" s="3"/>
      <c r="C255" s="1536"/>
      <c r="D255" s="96"/>
      <c r="E255" s="3"/>
      <c r="F255" s="96"/>
      <c r="G255" s="3"/>
      <c r="H255" s="96"/>
      <c r="I255" s="3"/>
      <c r="J255" s="96"/>
      <c r="K255" s="3"/>
      <c r="L255" s="96"/>
      <c r="M255" s="3"/>
      <c r="N255" s="96"/>
      <c r="O255" s="3"/>
      <c r="P255" s="96"/>
      <c r="Q255" s="1265"/>
      <c r="R255" s="3"/>
      <c r="S255" s="3"/>
      <c r="T255" s="1685"/>
      <c r="U255" s="3"/>
      <c r="V255" s="96"/>
      <c r="W255" s="1265"/>
      <c r="X255" s="3"/>
      <c r="Y255" s="3"/>
      <c r="Z255" s="1569"/>
      <c r="AA255" s="96"/>
    </row>
    <row r="256" spans="1:27" ht="15">
      <c r="A256" s="3"/>
      <c r="B256" s="3"/>
      <c r="C256" s="1536"/>
      <c r="D256" s="96"/>
      <c r="E256" s="3"/>
      <c r="F256" s="96"/>
      <c r="G256" s="3"/>
      <c r="H256" s="96"/>
      <c r="I256" s="3"/>
      <c r="J256" s="96"/>
      <c r="K256" s="3"/>
      <c r="L256" s="96"/>
      <c r="M256" s="3"/>
      <c r="N256" s="96"/>
      <c r="O256" s="3"/>
      <c r="P256" s="96"/>
      <c r="Q256" s="1265"/>
      <c r="R256" s="3"/>
      <c r="S256" s="3"/>
      <c r="T256" s="1685"/>
      <c r="U256" s="3"/>
      <c r="V256" s="96"/>
      <c r="W256" s="1265"/>
      <c r="X256" s="3"/>
      <c r="Y256" s="3"/>
      <c r="Z256" s="1569"/>
      <c r="AA256" s="96"/>
    </row>
    <row r="257" spans="1:27" ht="15">
      <c r="A257" s="3"/>
      <c r="B257" s="3"/>
      <c r="C257" s="1536"/>
      <c r="D257" s="96"/>
      <c r="E257" s="3"/>
      <c r="F257" s="96"/>
      <c r="G257" s="3"/>
      <c r="H257" s="96"/>
      <c r="I257" s="3"/>
      <c r="J257" s="96"/>
      <c r="K257" s="3"/>
      <c r="L257" s="96"/>
      <c r="M257" s="3"/>
      <c r="N257" s="96"/>
      <c r="O257" s="3"/>
      <c r="P257" s="96"/>
      <c r="Q257" s="1265"/>
      <c r="R257" s="3"/>
      <c r="S257" s="3"/>
      <c r="T257" s="1685"/>
      <c r="U257" s="3"/>
      <c r="V257" s="96"/>
      <c r="W257" s="1265"/>
      <c r="X257" s="3"/>
      <c r="Y257" s="3"/>
      <c r="Z257" s="1569"/>
      <c r="AA257" s="96"/>
    </row>
    <row r="258" spans="1:27" ht="15">
      <c r="A258" s="3"/>
      <c r="B258" s="3"/>
      <c r="C258" s="1536"/>
      <c r="D258" s="96"/>
      <c r="E258" s="3"/>
      <c r="F258" s="96"/>
      <c r="G258" s="3"/>
      <c r="H258" s="96"/>
      <c r="I258" s="3"/>
      <c r="J258" s="96"/>
      <c r="K258" s="3"/>
      <c r="L258" s="96"/>
      <c r="M258" s="3"/>
      <c r="N258" s="96"/>
      <c r="O258" s="3"/>
      <c r="P258" s="96"/>
      <c r="Q258" s="1265"/>
      <c r="R258" s="3"/>
      <c r="S258" s="3"/>
      <c r="T258" s="1685"/>
      <c r="U258" s="3"/>
      <c r="V258" s="96"/>
      <c r="W258" s="1265"/>
      <c r="X258" s="3"/>
      <c r="Y258" s="3"/>
      <c r="Z258" s="1569"/>
      <c r="AA258" s="96"/>
    </row>
    <row r="259" spans="1:27" ht="15">
      <c r="A259" s="3"/>
      <c r="B259" s="3"/>
      <c r="C259" s="1536"/>
      <c r="D259" s="96"/>
      <c r="E259" s="3"/>
      <c r="F259" s="96"/>
      <c r="G259" s="3"/>
      <c r="H259" s="96"/>
      <c r="I259" s="3"/>
      <c r="J259" s="96"/>
      <c r="K259" s="3"/>
      <c r="L259" s="96"/>
      <c r="M259" s="3"/>
      <c r="N259" s="96"/>
      <c r="O259" s="3"/>
      <c r="P259" s="96"/>
      <c r="Q259" s="1265"/>
      <c r="R259" s="3"/>
      <c r="S259" s="3"/>
      <c r="T259" s="1685"/>
      <c r="U259" s="3"/>
      <c r="V259" s="96"/>
      <c r="W259" s="1265"/>
      <c r="X259" s="3"/>
      <c r="Y259" s="3"/>
      <c r="Z259" s="1569"/>
      <c r="AA259" s="96"/>
    </row>
    <row r="260" spans="1:27" ht="15">
      <c r="A260" s="3"/>
      <c r="B260" s="3"/>
      <c r="C260" s="1536"/>
      <c r="D260" s="96"/>
      <c r="E260" s="3"/>
      <c r="F260" s="96"/>
      <c r="G260" s="3"/>
      <c r="H260" s="96"/>
      <c r="I260" s="3"/>
      <c r="J260" s="96"/>
      <c r="K260" s="3"/>
      <c r="L260" s="96"/>
      <c r="M260" s="3"/>
      <c r="N260" s="96"/>
      <c r="O260" s="3"/>
      <c r="P260" s="96"/>
      <c r="Q260" s="1265"/>
      <c r="R260" s="3"/>
      <c r="S260" s="3"/>
      <c r="T260" s="1685"/>
      <c r="U260" s="3"/>
      <c r="V260" s="96"/>
      <c r="W260" s="1265"/>
      <c r="X260" s="3"/>
      <c r="Y260" s="3"/>
      <c r="Z260" s="1569"/>
      <c r="AA260" s="96"/>
    </row>
    <row r="261" spans="1:27" ht="15">
      <c r="A261" s="3"/>
      <c r="B261" s="3"/>
      <c r="C261" s="1536"/>
      <c r="D261" s="96"/>
      <c r="E261" s="3"/>
      <c r="F261" s="96"/>
      <c r="G261" s="3"/>
      <c r="H261" s="96"/>
      <c r="I261" s="3"/>
      <c r="J261" s="96"/>
      <c r="K261" s="3"/>
      <c r="L261" s="96"/>
      <c r="M261" s="3"/>
      <c r="N261" s="96"/>
      <c r="O261" s="3"/>
      <c r="P261" s="96"/>
      <c r="Q261" s="1265"/>
      <c r="R261" s="3"/>
      <c r="S261" s="3"/>
      <c r="T261" s="1685"/>
      <c r="U261" s="3"/>
      <c r="V261" s="96"/>
      <c r="W261" s="1265"/>
      <c r="X261" s="3"/>
      <c r="Y261" s="3"/>
      <c r="Z261" s="1569"/>
      <c r="AA261" s="96"/>
    </row>
    <row r="262" spans="1:27" ht="15">
      <c r="A262" s="3"/>
      <c r="B262" s="3"/>
      <c r="C262" s="1536"/>
      <c r="D262" s="96"/>
      <c r="E262" s="3"/>
      <c r="F262" s="96"/>
      <c r="G262" s="3"/>
      <c r="H262" s="96"/>
      <c r="I262" s="3"/>
      <c r="J262" s="96"/>
      <c r="K262" s="3"/>
      <c r="L262" s="96"/>
      <c r="M262" s="3"/>
      <c r="N262" s="96"/>
      <c r="O262" s="3"/>
      <c r="P262" s="96"/>
      <c r="Q262" s="1265"/>
      <c r="R262" s="3"/>
      <c r="S262" s="3"/>
      <c r="T262" s="1685"/>
      <c r="U262" s="3"/>
      <c r="V262" s="96"/>
      <c r="W262" s="1265"/>
      <c r="X262" s="3"/>
      <c r="Y262" s="3"/>
      <c r="Z262" s="1569"/>
      <c r="AA262" s="96"/>
    </row>
    <row r="263" spans="1:27" ht="15">
      <c r="A263" s="3"/>
      <c r="B263" s="3"/>
      <c r="C263" s="1536"/>
      <c r="D263" s="96"/>
      <c r="E263" s="3"/>
      <c r="F263" s="96"/>
      <c r="G263" s="3"/>
      <c r="H263" s="96"/>
      <c r="I263" s="3"/>
      <c r="J263" s="96"/>
      <c r="K263" s="3"/>
      <c r="L263" s="96"/>
      <c r="M263" s="3"/>
      <c r="N263" s="96"/>
      <c r="O263" s="3"/>
      <c r="P263" s="96"/>
      <c r="Q263" s="1265"/>
      <c r="R263" s="3"/>
      <c r="S263" s="3"/>
      <c r="T263" s="1685"/>
      <c r="U263" s="3"/>
      <c r="V263" s="96"/>
      <c r="W263" s="1265"/>
      <c r="X263" s="3"/>
      <c r="Y263" s="3"/>
      <c r="Z263" s="1569"/>
      <c r="AA263" s="96"/>
    </row>
    <row r="264" spans="1:27" ht="15">
      <c r="A264" s="3"/>
      <c r="B264" s="3"/>
      <c r="C264" s="1536"/>
      <c r="D264" s="96"/>
      <c r="E264" s="3"/>
      <c r="F264" s="96"/>
      <c r="G264" s="3"/>
      <c r="H264" s="96"/>
      <c r="I264" s="3"/>
      <c r="J264" s="96"/>
      <c r="K264" s="3"/>
      <c r="L264" s="96"/>
      <c r="M264" s="3"/>
      <c r="N264" s="96"/>
      <c r="O264" s="3"/>
      <c r="P264" s="96"/>
      <c r="Q264" s="1265"/>
      <c r="R264" s="3"/>
      <c r="S264" s="3"/>
      <c r="T264" s="1685"/>
      <c r="U264" s="3"/>
      <c r="V264" s="96"/>
      <c r="W264" s="1265"/>
      <c r="X264" s="3"/>
      <c r="Y264" s="3"/>
      <c r="Z264" s="1569"/>
      <c r="AA264" s="96"/>
    </row>
    <row r="265" spans="1:27" ht="15">
      <c r="A265" s="3"/>
      <c r="B265" s="3"/>
      <c r="C265" s="1536"/>
      <c r="D265" s="96"/>
      <c r="E265" s="3"/>
      <c r="F265" s="96"/>
      <c r="G265" s="3"/>
      <c r="H265" s="96"/>
      <c r="I265" s="3"/>
      <c r="J265" s="96"/>
      <c r="K265" s="3"/>
      <c r="L265" s="96"/>
      <c r="M265" s="3"/>
      <c r="N265" s="96"/>
      <c r="O265" s="3"/>
      <c r="P265" s="96"/>
      <c r="Q265" s="1265"/>
      <c r="R265" s="3"/>
      <c r="S265" s="3"/>
      <c r="T265" s="1685"/>
      <c r="U265" s="3"/>
      <c r="V265" s="96"/>
      <c r="W265" s="1265"/>
      <c r="X265" s="3"/>
      <c r="Y265" s="3"/>
      <c r="Z265" s="1569"/>
      <c r="AA265" s="96"/>
    </row>
    <row r="266" spans="1:27" ht="15">
      <c r="A266" s="3"/>
      <c r="B266" s="3"/>
      <c r="C266" s="1536"/>
      <c r="D266" s="96"/>
      <c r="E266" s="3"/>
      <c r="F266" s="96"/>
      <c r="G266" s="3"/>
      <c r="H266" s="96"/>
      <c r="I266" s="3"/>
      <c r="J266" s="96"/>
      <c r="K266" s="3"/>
      <c r="L266" s="96"/>
      <c r="M266" s="3"/>
      <c r="N266" s="96"/>
      <c r="O266" s="3"/>
      <c r="P266" s="96"/>
      <c r="Q266" s="1265"/>
      <c r="R266" s="3"/>
      <c r="S266" s="3"/>
      <c r="T266" s="1685"/>
      <c r="U266" s="3"/>
      <c r="V266" s="96"/>
      <c r="W266" s="1265"/>
      <c r="X266" s="3"/>
      <c r="Y266" s="3"/>
      <c r="Z266" s="1569"/>
      <c r="AA266" s="96"/>
    </row>
    <row r="267" spans="1:27" ht="15">
      <c r="A267" s="3"/>
      <c r="B267" s="3"/>
      <c r="C267" s="1536"/>
      <c r="D267" s="96"/>
      <c r="E267" s="3"/>
      <c r="F267" s="96"/>
      <c r="G267" s="3"/>
      <c r="H267" s="96"/>
      <c r="I267" s="3"/>
      <c r="J267" s="96"/>
      <c r="K267" s="3"/>
      <c r="L267" s="96"/>
      <c r="M267" s="3"/>
      <c r="N267" s="96"/>
      <c r="O267" s="3"/>
      <c r="P267" s="96"/>
      <c r="Q267" s="1265"/>
      <c r="R267" s="3"/>
      <c r="S267" s="3"/>
      <c r="T267" s="1685"/>
      <c r="U267" s="3"/>
      <c r="V267" s="96"/>
      <c r="W267" s="1265"/>
      <c r="X267" s="3"/>
      <c r="Y267" s="3"/>
      <c r="Z267" s="1569"/>
      <c r="AA267" s="96"/>
    </row>
    <row r="268" spans="1:27" ht="15">
      <c r="A268" s="3"/>
      <c r="B268" s="3"/>
      <c r="C268" s="1536"/>
      <c r="D268" s="96"/>
      <c r="E268" s="3"/>
      <c r="F268" s="96"/>
      <c r="G268" s="3"/>
      <c r="H268" s="96"/>
      <c r="I268" s="3"/>
      <c r="J268" s="96"/>
      <c r="K268" s="3"/>
      <c r="L268" s="96"/>
      <c r="M268" s="3"/>
      <c r="N268" s="96"/>
      <c r="O268" s="3"/>
      <c r="P268" s="96"/>
      <c r="Q268" s="1265"/>
      <c r="R268" s="3"/>
      <c r="S268" s="3"/>
      <c r="T268" s="1685"/>
      <c r="U268" s="3"/>
      <c r="V268" s="96"/>
      <c r="W268" s="1265"/>
      <c r="X268" s="3"/>
      <c r="Y268" s="3"/>
      <c r="Z268" s="1569"/>
      <c r="AA268" s="96"/>
    </row>
    <row r="269" spans="1:27" ht="15">
      <c r="A269" s="3"/>
      <c r="B269" s="3"/>
      <c r="C269" s="1536"/>
      <c r="D269" s="96"/>
      <c r="E269" s="3"/>
      <c r="F269" s="96"/>
      <c r="G269" s="3"/>
      <c r="H269" s="96"/>
      <c r="I269" s="3"/>
      <c r="J269" s="96"/>
      <c r="K269" s="3"/>
      <c r="L269" s="96"/>
      <c r="M269" s="3"/>
      <c r="N269" s="96"/>
      <c r="O269" s="3"/>
      <c r="P269" s="96"/>
      <c r="Q269" s="1265"/>
      <c r="R269" s="3"/>
      <c r="S269" s="3"/>
      <c r="T269" s="1685"/>
      <c r="U269" s="3"/>
      <c r="V269" s="96"/>
      <c r="W269" s="1265"/>
      <c r="X269" s="3"/>
      <c r="Y269" s="3"/>
      <c r="Z269" s="1569"/>
      <c r="AA269" s="96"/>
    </row>
    <row r="270" spans="1:27" ht="15">
      <c r="A270" s="3"/>
      <c r="B270" s="3"/>
      <c r="C270" s="1536"/>
      <c r="D270" s="96"/>
      <c r="E270" s="3"/>
      <c r="F270" s="96"/>
      <c r="G270" s="3"/>
      <c r="H270" s="96"/>
      <c r="I270" s="3"/>
      <c r="J270" s="96"/>
      <c r="K270" s="3"/>
      <c r="L270" s="96"/>
      <c r="M270" s="3"/>
      <c r="N270" s="96"/>
      <c r="O270" s="3"/>
      <c r="P270" s="96"/>
      <c r="Q270" s="1265"/>
      <c r="R270" s="3"/>
      <c r="S270" s="3"/>
      <c r="T270" s="1685"/>
      <c r="U270" s="3"/>
      <c r="V270" s="96"/>
      <c r="W270" s="1265"/>
      <c r="X270" s="3"/>
      <c r="Y270" s="3"/>
      <c r="Z270" s="1569"/>
      <c r="AA270" s="96"/>
    </row>
    <row r="271" spans="1:27" ht="15">
      <c r="A271" s="3"/>
      <c r="B271" s="3"/>
      <c r="C271" s="1536"/>
      <c r="D271" s="96"/>
      <c r="E271" s="3"/>
      <c r="F271" s="96"/>
      <c r="G271" s="3"/>
      <c r="H271" s="96"/>
      <c r="I271" s="3"/>
      <c r="J271" s="96"/>
      <c r="K271" s="3"/>
      <c r="L271" s="96"/>
      <c r="M271" s="3"/>
      <c r="N271" s="96"/>
      <c r="O271" s="3"/>
      <c r="P271" s="96"/>
      <c r="Q271" s="1265"/>
      <c r="R271" s="3"/>
      <c r="S271" s="3"/>
      <c r="T271" s="1685"/>
      <c r="U271" s="3"/>
      <c r="V271" s="96"/>
      <c r="W271" s="1265"/>
      <c r="X271" s="3"/>
      <c r="Y271" s="3"/>
      <c r="Z271" s="1569"/>
      <c r="AA271" s="96"/>
    </row>
    <row r="272" spans="1:27" ht="15">
      <c r="A272" s="3"/>
      <c r="B272" s="3"/>
      <c r="C272" s="1536"/>
      <c r="D272" s="96"/>
      <c r="E272" s="3"/>
      <c r="F272" s="96"/>
      <c r="G272" s="3"/>
      <c r="H272" s="96"/>
      <c r="I272" s="3"/>
      <c r="J272" s="96"/>
      <c r="K272" s="3"/>
      <c r="L272" s="96"/>
      <c r="M272" s="3"/>
      <c r="N272" s="96"/>
      <c r="O272" s="3"/>
      <c r="P272" s="96"/>
      <c r="Q272" s="1265"/>
      <c r="R272" s="3"/>
      <c r="S272" s="3"/>
      <c r="T272" s="1685"/>
      <c r="U272" s="3"/>
      <c r="V272" s="96"/>
      <c r="W272" s="1265"/>
      <c r="X272" s="3"/>
      <c r="Y272" s="3"/>
      <c r="Z272" s="1569"/>
      <c r="AA272" s="96"/>
    </row>
    <row r="273" spans="1:27" ht="15">
      <c r="A273" s="3"/>
      <c r="B273" s="3"/>
      <c r="C273" s="1536"/>
      <c r="D273" s="96"/>
      <c r="E273" s="3"/>
      <c r="F273" s="96"/>
      <c r="G273" s="3"/>
      <c r="H273" s="96"/>
      <c r="I273" s="3"/>
      <c r="J273" s="96"/>
      <c r="K273" s="3"/>
      <c r="L273" s="96"/>
      <c r="M273" s="3"/>
      <c r="N273" s="96"/>
      <c r="O273" s="3"/>
      <c r="P273" s="96"/>
      <c r="Q273" s="1265"/>
      <c r="R273" s="3"/>
      <c r="S273" s="3"/>
      <c r="T273" s="1685"/>
      <c r="U273" s="3"/>
      <c r="V273" s="96"/>
      <c r="W273" s="1265"/>
      <c r="X273" s="3"/>
      <c r="Y273" s="3"/>
      <c r="Z273" s="1569"/>
      <c r="AA273" s="96"/>
    </row>
    <row r="274" spans="1:27" ht="15">
      <c r="A274" s="3"/>
      <c r="B274" s="3"/>
      <c r="C274" s="1536"/>
      <c r="D274" s="96"/>
      <c r="E274" s="3"/>
      <c r="F274" s="96"/>
      <c r="G274" s="3"/>
      <c r="H274" s="96"/>
      <c r="I274" s="3"/>
      <c r="J274" s="96"/>
      <c r="K274" s="3"/>
      <c r="L274" s="96"/>
      <c r="M274" s="3"/>
      <c r="N274" s="96"/>
      <c r="O274" s="3"/>
      <c r="P274" s="96"/>
      <c r="Q274" s="1265"/>
      <c r="R274" s="3"/>
      <c r="S274" s="3"/>
      <c r="T274" s="1685"/>
      <c r="U274" s="3"/>
      <c r="V274" s="96"/>
      <c r="W274" s="1265"/>
      <c r="X274" s="3"/>
      <c r="Y274" s="3"/>
      <c r="Z274" s="1569"/>
      <c r="AA274" s="96"/>
    </row>
    <row r="275" spans="1:27" ht="15">
      <c r="A275" s="3"/>
      <c r="B275" s="3"/>
      <c r="C275" s="1536"/>
      <c r="D275" s="96"/>
      <c r="E275" s="3"/>
      <c r="F275" s="96"/>
      <c r="G275" s="3"/>
      <c r="H275" s="96"/>
      <c r="I275" s="3"/>
      <c r="J275" s="96"/>
      <c r="K275" s="3"/>
      <c r="L275" s="96"/>
      <c r="M275" s="3"/>
      <c r="N275" s="96"/>
      <c r="O275" s="3"/>
      <c r="P275" s="96"/>
      <c r="Q275" s="1265"/>
      <c r="R275" s="3"/>
      <c r="S275" s="3"/>
      <c r="T275" s="1685"/>
      <c r="U275" s="3"/>
      <c r="V275" s="96"/>
      <c r="W275" s="1265"/>
      <c r="X275" s="3"/>
      <c r="Y275" s="3"/>
      <c r="Z275" s="1569"/>
      <c r="AA275" s="96"/>
    </row>
    <row r="276" spans="1:27" ht="15">
      <c r="A276" s="3"/>
      <c r="B276" s="3"/>
      <c r="C276" s="1536"/>
      <c r="D276" s="96"/>
      <c r="E276" s="3"/>
      <c r="F276" s="96"/>
      <c r="G276" s="3"/>
      <c r="H276" s="96"/>
      <c r="I276" s="3"/>
      <c r="J276" s="96"/>
      <c r="K276" s="3"/>
      <c r="L276" s="96"/>
      <c r="M276" s="3"/>
      <c r="N276" s="96"/>
      <c r="O276" s="3"/>
      <c r="P276" s="96"/>
      <c r="Q276" s="1265"/>
      <c r="R276" s="3"/>
      <c r="S276" s="3"/>
      <c r="T276" s="1685"/>
      <c r="U276" s="3"/>
      <c r="V276" s="96"/>
      <c r="W276" s="1265"/>
      <c r="X276" s="3"/>
      <c r="Y276" s="3"/>
      <c r="Z276" s="1569"/>
      <c r="AA276" s="96"/>
    </row>
    <row r="277" spans="1:27" ht="15">
      <c r="A277" s="3"/>
      <c r="B277" s="3"/>
      <c r="C277" s="1536"/>
      <c r="D277" s="96"/>
      <c r="E277" s="3"/>
      <c r="F277" s="96"/>
      <c r="G277" s="3"/>
      <c r="H277" s="96"/>
      <c r="I277" s="3"/>
      <c r="J277" s="96"/>
      <c r="K277" s="3"/>
      <c r="L277" s="96"/>
      <c r="M277" s="3"/>
      <c r="N277" s="96"/>
      <c r="O277" s="3"/>
      <c r="P277" s="96"/>
      <c r="Q277" s="1265"/>
      <c r="R277" s="3"/>
      <c r="S277" s="3"/>
      <c r="T277" s="1685"/>
      <c r="U277" s="3"/>
      <c r="V277" s="96"/>
      <c r="W277" s="1265"/>
      <c r="X277" s="3"/>
      <c r="Y277" s="3"/>
      <c r="Z277" s="1569"/>
      <c r="AA277" s="96"/>
    </row>
    <row r="278" spans="1:27" ht="15">
      <c r="A278" s="3"/>
      <c r="B278" s="3"/>
      <c r="C278" s="1536"/>
      <c r="D278" s="96"/>
      <c r="E278" s="3"/>
      <c r="F278" s="96"/>
      <c r="G278" s="3"/>
      <c r="H278" s="96"/>
      <c r="I278" s="3"/>
      <c r="J278" s="96"/>
      <c r="K278" s="3"/>
      <c r="L278" s="96"/>
      <c r="M278" s="3"/>
      <c r="N278" s="96"/>
      <c r="O278" s="3"/>
      <c r="P278" s="96"/>
      <c r="Q278" s="1265"/>
      <c r="R278" s="3"/>
      <c r="S278" s="3"/>
      <c r="T278" s="1685"/>
      <c r="U278" s="3"/>
      <c r="V278" s="96"/>
      <c r="W278" s="1265"/>
      <c r="X278" s="3"/>
      <c r="Y278" s="3"/>
      <c r="Z278" s="1569"/>
      <c r="AA278" s="96"/>
    </row>
    <row r="279" spans="1:27" ht="15">
      <c r="A279" s="3"/>
      <c r="B279" s="3"/>
      <c r="C279" s="1536"/>
      <c r="D279" s="96"/>
      <c r="E279" s="3"/>
      <c r="F279" s="96"/>
      <c r="G279" s="3"/>
      <c r="H279" s="96"/>
      <c r="I279" s="3"/>
      <c r="J279" s="96"/>
      <c r="K279" s="3"/>
      <c r="L279" s="96"/>
      <c r="M279" s="3"/>
      <c r="N279" s="96"/>
      <c r="O279" s="3"/>
      <c r="P279" s="96"/>
      <c r="Q279" s="1265"/>
      <c r="R279" s="3"/>
      <c r="S279" s="3"/>
      <c r="T279" s="1685"/>
      <c r="U279" s="3"/>
      <c r="V279" s="96"/>
      <c r="W279" s="1265"/>
      <c r="X279" s="3"/>
      <c r="Y279" s="3"/>
      <c r="Z279" s="1569"/>
      <c r="AA279" s="96"/>
    </row>
    <row r="280" spans="1:27" ht="15">
      <c r="A280" s="3"/>
      <c r="B280" s="3"/>
      <c r="C280" s="1536"/>
      <c r="D280" s="96"/>
      <c r="E280" s="3"/>
      <c r="F280" s="96"/>
      <c r="G280" s="3"/>
      <c r="H280" s="96"/>
      <c r="I280" s="3"/>
      <c r="J280" s="96"/>
      <c r="K280" s="3"/>
      <c r="L280" s="96"/>
      <c r="M280" s="3"/>
      <c r="N280" s="96"/>
      <c r="O280" s="3"/>
      <c r="P280" s="96"/>
      <c r="Q280" s="1265"/>
      <c r="R280" s="3"/>
      <c r="S280" s="3"/>
      <c r="T280" s="1685"/>
      <c r="U280" s="3"/>
      <c r="V280" s="96"/>
      <c r="W280" s="1265"/>
      <c r="X280" s="3"/>
      <c r="Y280" s="3"/>
      <c r="Z280" s="1569"/>
      <c r="AA280" s="96"/>
    </row>
    <row r="281" spans="1:27" ht="15">
      <c r="A281" s="3"/>
      <c r="B281" s="3"/>
      <c r="C281" s="1536"/>
      <c r="D281" s="96"/>
      <c r="E281" s="3"/>
      <c r="F281" s="96"/>
      <c r="G281" s="3"/>
      <c r="H281" s="96"/>
      <c r="I281" s="3"/>
      <c r="J281" s="96"/>
      <c r="K281" s="3"/>
      <c r="L281" s="96"/>
      <c r="M281" s="3"/>
      <c r="N281" s="96"/>
      <c r="O281" s="3"/>
      <c r="P281" s="96"/>
      <c r="Q281" s="1265"/>
      <c r="R281" s="3"/>
      <c r="S281" s="3"/>
      <c r="T281" s="1685"/>
      <c r="U281" s="3"/>
      <c r="V281" s="96"/>
      <c r="W281" s="1265"/>
      <c r="X281" s="3"/>
      <c r="Y281" s="3"/>
      <c r="Z281" s="1569"/>
      <c r="AA281" s="96"/>
    </row>
    <row r="282" spans="1:27" ht="15">
      <c r="A282" s="3"/>
      <c r="B282" s="3"/>
      <c r="C282" s="1536"/>
      <c r="D282" s="96"/>
      <c r="E282" s="3"/>
      <c r="F282" s="96"/>
      <c r="G282" s="3"/>
      <c r="H282" s="96"/>
      <c r="I282" s="3"/>
      <c r="J282" s="96"/>
      <c r="K282" s="3"/>
      <c r="L282" s="96"/>
      <c r="M282" s="3"/>
      <c r="N282" s="96"/>
      <c r="O282" s="3"/>
      <c r="P282" s="96"/>
      <c r="Q282" s="1265"/>
      <c r="R282" s="3"/>
      <c r="S282" s="3"/>
      <c r="T282" s="1685"/>
      <c r="U282" s="3"/>
      <c r="V282" s="96"/>
      <c r="W282" s="1265"/>
      <c r="X282" s="3"/>
      <c r="Y282" s="3"/>
      <c r="Z282" s="1569"/>
      <c r="AA282" s="96"/>
    </row>
    <row r="283" spans="1:27" ht="15">
      <c r="A283" s="3"/>
      <c r="B283" s="3"/>
      <c r="C283" s="1536"/>
      <c r="D283" s="96"/>
      <c r="E283" s="3"/>
      <c r="F283" s="96"/>
      <c r="G283" s="3"/>
      <c r="H283" s="96"/>
      <c r="I283" s="3"/>
      <c r="J283" s="96"/>
      <c r="K283" s="3"/>
      <c r="L283" s="96"/>
      <c r="M283" s="3"/>
      <c r="N283" s="96"/>
      <c r="O283" s="3"/>
      <c r="P283" s="96"/>
      <c r="Q283" s="1265"/>
      <c r="R283" s="3"/>
      <c r="S283" s="3"/>
      <c r="T283" s="1685"/>
      <c r="U283" s="3"/>
      <c r="V283" s="96"/>
      <c r="W283" s="1265"/>
      <c r="X283" s="3"/>
      <c r="Y283" s="3"/>
      <c r="Z283" s="1569"/>
      <c r="AA283" s="96"/>
    </row>
    <row r="284" spans="1:27" ht="15">
      <c r="A284" s="3"/>
      <c r="B284" s="3"/>
      <c r="C284" s="1536"/>
      <c r="D284" s="96"/>
      <c r="E284" s="3"/>
      <c r="F284" s="96"/>
      <c r="G284" s="3"/>
      <c r="H284" s="96"/>
      <c r="I284" s="3"/>
      <c r="J284" s="96"/>
      <c r="K284" s="3"/>
      <c r="L284" s="96"/>
      <c r="M284" s="3"/>
      <c r="N284" s="96"/>
      <c r="O284" s="3"/>
      <c r="P284" s="96"/>
      <c r="Q284" s="1265"/>
      <c r="R284" s="3"/>
      <c r="S284" s="3"/>
      <c r="T284" s="1685"/>
      <c r="U284" s="3"/>
      <c r="V284" s="96"/>
      <c r="W284" s="1265"/>
      <c r="X284" s="3"/>
      <c r="Y284" s="3"/>
      <c r="Z284" s="1569"/>
      <c r="AA284" s="96"/>
    </row>
    <row r="285" spans="1:27" ht="15">
      <c r="A285" s="3"/>
      <c r="B285" s="3"/>
      <c r="C285" s="1536"/>
      <c r="D285" s="96"/>
      <c r="E285" s="3"/>
      <c r="F285" s="96"/>
      <c r="G285" s="3"/>
      <c r="H285" s="96"/>
      <c r="I285" s="3"/>
      <c r="J285" s="96"/>
      <c r="K285" s="3"/>
      <c r="L285" s="96"/>
      <c r="M285" s="3"/>
      <c r="N285" s="96"/>
      <c r="O285" s="3"/>
      <c r="P285" s="96"/>
      <c r="Q285" s="1265"/>
      <c r="R285" s="3"/>
      <c r="S285" s="3"/>
      <c r="T285" s="1685"/>
      <c r="U285" s="3"/>
      <c r="V285" s="96"/>
      <c r="W285" s="1265"/>
      <c r="X285" s="3"/>
      <c r="Y285" s="3"/>
      <c r="Z285" s="1569"/>
      <c r="AA285" s="96"/>
    </row>
    <row r="286" spans="1:27" ht="15">
      <c r="A286" s="3"/>
      <c r="B286" s="3"/>
      <c r="C286" s="1536"/>
      <c r="D286" s="96"/>
      <c r="E286" s="3"/>
      <c r="F286" s="96"/>
      <c r="G286" s="3"/>
      <c r="H286" s="96"/>
      <c r="I286" s="3"/>
      <c r="J286" s="96"/>
      <c r="K286" s="3"/>
      <c r="L286" s="96"/>
      <c r="M286" s="3"/>
      <c r="N286" s="96"/>
      <c r="O286" s="3"/>
      <c r="P286" s="96"/>
      <c r="Q286" s="1265"/>
      <c r="R286" s="3"/>
      <c r="S286" s="3"/>
      <c r="T286" s="1685"/>
      <c r="U286" s="3"/>
      <c r="V286" s="96"/>
      <c r="W286" s="1265"/>
      <c r="X286" s="3"/>
      <c r="Y286" s="3"/>
      <c r="Z286" s="1569"/>
      <c r="AA286" s="96"/>
    </row>
    <row r="287" spans="1:27" ht="15">
      <c r="A287" s="3"/>
      <c r="B287" s="3"/>
      <c r="C287" s="1536"/>
      <c r="D287" s="96"/>
      <c r="E287" s="3"/>
      <c r="F287" s="96"/>
      <c r="G287" s="3"/>
      <c r="H287" s="96"/>
      <c r="I287" s="3"/>
      <c r="J287" s="96"/>
      <c r="K287" s="3"/>
      <c r="L287" s="96"/>
      <c r="M287" s="3"/>
      <c r="N287" s="96"/>
      <c r="O287" s="3"/>
      <c r="P287" s="96"/>
      <c r="Q287" s="1265"/>
      <c r="R287" s="3"/>
      <c r="S287" s="3"/>
      <c r="T287" s="1685"/>
      <c r="U287" s="3"/>
      <c r="V287" s="96"/>
      <c r="W287" s="1265"/>
      <c r="X287" s="3"/>
      <c r="Y287" s="3"/>
      <c r="Z287" s="1569"/>
      <c r="AA287" s="96"/>
    </row>
    <row r="288" spans="1:27" ht="15">
      <c r="A288" s="3"/>
      <c r="B288" s="3"/>
      <c r="C288" s="1536"/>
      <c r="D288" s="96"/>
      <c r="E288" s="3"/>
      <c r="F288" s="96"/>
      <c r="G288" s="3"/>
      <c r="H288" s="96"/>
      <c r="I288" s="3"/>
      <c r="J288" s="96"/>
      <c r="K288" s="3"/>
      <c r="L288" s="96"/>
      <c r="M288" s="3"/>
      <c r="N288" s="96"/>
      <c r="O288" s="3"/>
      <c r="P288" s="96"/>
      <c r="Q288" s="1265"/>
      <c r="R288" s="3"/>
      <c r="S288" s="3"/>
      <c r="T288" s="1685"/>
      <c r="U288" s="3"/>
      <c r="V288" s="96"/>
      <c r="W288" s="1265"/>
      <c r="X288" s="3"/>
      <c r="Y288" s="3"/>
      <c r="Z288" s="1569"/>
      <c r="AA288" s="96"/>
    </row>
    <row r="289" spans="1:27" ht="15">
      <c r="A289" s="3"/>
      <c r="B289" s="3"/>
      <c r="C289" s="1536"/>
      <c r="D289" s="96"/>
      <c r="E289" s="3"/>
      <c r="F289" s="96"/>
      <c r="G289" s="3"/>
      <c r="H289" s="96"/>
      <c r="I289" s="3"/>
      <c r="J289" s="96"/>
      <c r="K289" s="3"/>
      <c r="L289" s="96"/>
      <c r="M289" s="3"/>
      <c r="N289" s="96"/>
      <c r="O289" s="3"/>
      <c r="P289" s="96"/>
      <c r="Q289" s="1265"/>
      <c r="R289" s="3"/>
      <c r="S289" s="3"/>
      <c r="T289" s="1685"/>
      <c r="U289" s="3"/>
      <c r="V289" s="96"/>
      <c r="W289" s="1265"/>
      <c r="X289" s="3"/>
      <c r="Y289" s="3"/>
      <c r="Z289" s="1569"/>
      <c r="AA289" s="96"/>
    </row>
    <row r="290" spans="1:27" ht="15">
      <c r="A290" s="3"/>
      <c r="B290" s="3"/>
      <c r="C290" s="1536"/>
      <c r="D290" s="96"/>
      <c r="E290" s="3"/>
      <c r="F290" s="96"/>
      <c r="G290" s="3"/>
      <c r="H290" s="96"/>
      <c r="I290" s="3"/>
      <c r="J290" s="96"/>
      <c r="K290" s="3"/>
      <c r="L290" s="96"/>
      <c r="M290" s="3"/>
      <c r="N290" s="96"/>
      <c r="O290" s="3"/>
      <c r="P290" s="96"/>
      <c r="Q290" s="1265"/>
      <c r="R290" s="3"/>
      <c r="S290" s="3"/>
      <c r="T290" s="1685"/>
      <c r="U290" s="3"/>
      <c r="V290" s="96"/>
      <c r="W290" s="1265"/>
      <c r="X290" s="3"/>
      <c r="Y290" s="3"/>
      <c r="Z290" s="1569"/>
      <c r="AA290" s="96"/>
    </row>
    <row r="291" spans="1:27" ht="15">
      <c r="A291" s="3"/>
      <c r="B291" s="3"/>
      <c r="C291" s="1536"/>
      <c r="D291" s="96"/>
      <c r="E291" s="3"/>
      <c r="F291" s="96"/>
      <c r="G291" s="3"/>
      <c r="H291" s="96"/>
      <c r="I291" s="3"/>
      <c r="J291" s="96"/>
      <c r="K291" s="3"/>
      <c r="L291" s="96"/>
      <c r="M291" s="3"/>
      <c r="N291" s="96"/>
      <c r="O291" s="3"/>
      <c r="P291" s="96"/>
      <c r="Q291" s="1265"/>
      <c r="R291" s="3"/>
      <c r="S291" s="3"/>
      <c r="T291" s="1685"/>
      <c r="U291" s="3"/>
      <c r="V291" s="96"/>
      <c r="W291" s="1265"/>
      <c r="X291" s="3"/>
      <c r="Y291" s="3"/>
      <c r="Z291" s="1569"/>
      <c r="AA291" s="96"/>
    </row>
    <row r="292" spans="1:27" ht="15">
      <c r="A292" s="3"/>
      <c r="B292" s="3"/>
      <c r="C292" s="1536"/>
      <c r="D292" s="96"/>
      <c r="E292" s="3"/>
      <c r="F292" s="96"/>
      <c r="G292" s="3"/>
      <c r="H292" s="96"/>
      <c r="I292" s="3"/>
      <c r="J292" s="96"/>
      <c r="K292" s="3"/>
      <c r="L292" s="96"/>
      <c r="M292" s="3"/>
      <c r="N292" s="96"/>
      <c r="O292" s="3"/>
      <c r="P292" s="96"/>
      <c r="Q292" s="1265"/>
      <c r="R292" s="3"/>
      <c r="S292" s="3"/>
      <c r="T292" s="1685"/>
      <c r="U292" s="3"/>
      <c r="V292" s="96"/>
      <c r="W292" s="1265"/>
      <c r="X292" s="3"/>
      <c r="Y292" s="3"/>
      <c r="Z292" s="1569"/>
      <c r="AA292" s="96"/>
    </row>
    <row r="293" spans="1:27" ht="15">
      <c r="A293" s="3"/>
      <c r="B293" s="3"/>
      <c r="C293" s="1536"/>
      <c r="D293" s="96"/>
      <c r="E293" s="3"/>
      <c r="F293" s="96"/>
      <c r="G293" s="3"/>
      <c r="H293" s="96"/>
      <c r="I293" s="3"/>
      <c r="J293" s="96"/>
      <c r="K293" s="3"/>
      <c r="L293" s="96"/>
      <c r="M293" s="3"/>
      <c r="N293" s="96"/>
      <c r="O293" s="3"/>
      <c r="P293" s="96"/>
      <c r="Q293" s="1265"/>
      <c r="R293" s="3"/>
      <c r="S293" s="3"/>
      <c r="T293" s="1685"/>
      <c r="U293" s="3"/>
      <c r="V293" s="96"/>
      <c r="W293" s="1265"/>
      <c r="X293" s="3"/>
      <c r="Y293" s="3"/>
      <c r="Z293" s="1569"/>
      <c r="AA293" s="96"/>
    </row>
    <row r="294" spans="1:27" ht="15">
      <c r="A294" s="3"/>
      <c r="B294" s="3"/>
      <c r="C294" s="1536"/>
      <c r="D294" s="96"/>
      <c r="E294" s="3"/>
      <c r="F294" s="96"/>
      <c r="G294" s="3"/>
      <c r="H294" s="96"/>
      <c r="I294" s="3"/>
      <c r="J294" s="96"/>
      <c r="K294" s="3"/>
      <c r="L294" s="96"/>
      <c r="M294" s="3"/>
      <c r="N294" s="96"/>
      <c r="O294" s="3"/>
      <c r="P294" s="96"/>
      <c r="Q294" s="1265"/>
      <c r="R294" s="3"/>
      <c r="S294" s="3"/>
      <c r="T294" s="1685"/>
      <c r="U294" s="3"/>
      <c r="V294" s="96"/>
      <c r="W294" s="1265"/>
      <c r="X294" s="3"/>
      <c r="Y294" s="3"/>
      <c r="Z294" s="1569"/>
      <c r="AA294" s="96"/>
    </row>
    <row r="295" spans="1:27" ht="15">
      <c r="A295" s="3"/>
      <c r="B295" s="3"/>
      <c r="C295" s="1536"/>
      <c r="D295" s="96"/>
      <c r="E295" s="3"/>
      <c r="F295" s="96"/>
      <c r="G295" s="3"/>
      <c r="H295" s="96"/>
      <c r="I295" s="3"/>
      <c r="J295" s="96"/>
      <c r="K295" s="3"/>
      <c r="L295" s="96"/>
      <c r="M295" s="3"/>
      <c r="N295" s="96"/>
      <c r="O295" s="3"/>
      <c r="P295" s="96"/>
      <c r="Q295" s="1265"/>
      <c r="R295" s="3"/>
      <c r="S295" s="3"/>
      <c r="T295" s="1685"/>
      <c r="U295" s="3"/>
      <c r="V295" s="96"/>
      <c r="W295" s="1265"/>
      <c r="X295" s="3"/>
      <c r="Y295" s="3"/>
      <c r="Z295" s="1569"/>
      <c r="AA295" s="96"/>
    </row>
    <row r="296" spans="1:27" ht="15">
      <c r="A296" s="3"/>
      <c r="B296" s="3"/>
      <c r="C296" s="1536"/>
      <c r="D296" s="96"/>
      <c r="E296" s="3"/>
      <c r="F296" s="96"/>
      <c r="G296" s="3"/>
      <c r="H296" s="96"/>
      <c r="I296" s="3"/>
      <c r="J296" s="96"/>
      <c r="K296" s="3"/>
      <c r="L296" s="96"/>
      <c r="M296" s="3"/>
      <c r="N296" s="96"/>
      <c r="O296" s="3"/>
      <c r="P296" s="96"/>
      <c r="Q296" s="1265"/>
      <c r="R296" s="3"/>
      <c r="S296" s="3"/>
      <c r="T296" s="1685"/>
      <c r="U296" s="3"/>
      <c r="V296" s="96"/>
      <c r="W296" s="1265"/>
      <c r="X296" s="3"/>
      <c r="Y296" s="3"/>
      <c r="Z296" s="1569"/>
      <c r="AA296" s="96"/>
    </row>
    <row r="297" spans="1:27" ht="15">
      <c r="A297" s="3"/>
      <c r="B297" s="3"/>
      <c r="C297" s="1536"/>
      <c r="D297" s="96"/>
      <c r="E297" s="3"/>
      <c r="F297" s="96"/>
      <c r="G297" s="3"/>
      <c r="H297" s="96"/>
      <c r="I297" s="3"/>
      <c r="J297" s="96"/>
      <c r="K297" s="3"/>
      <c r="L297" s="96"/>
      <c r="M297" s="3"/>
      <c r="N297" s="96"/>
      <c r="O297" s="3"/>
      <c r="P297" s="96"/>
      <c r="Q297" s="1265"/>
      <c r="R297" s="3"/>
      <c r="S297" s="3"/>
      <c r="T297" s="1685"/>
      <c r="U297" s="3"/>
      <c r="V297" s="96"/>
      <c r="W297" s="1265"/>
      <c r="X297" s="3"/>
      <c r="Y297" s="3"/>
      <c r="Z297" s="1569"/>
      <c r="AA297" s="96"/>
    </row>
    <row r="298" spans="1:27" ht="15">
      <c r="A298" s="3"/>
      <c r="B298" s="3"/>
      <c r="C298" s="1536"/>
      <c r="D298" s="96"/>
      <c r="E298" s="3"/>
      <c r="F298" s="96"/>
      <c r="G298" s="3"/>
      <c r="H298" s="96"/>
      <c r="I298" s="3"/>
      <c r="J298" s="96"/>
      <c r="K298" s="3"/>
      <c r="L298" s="96"/>
      <c r="M298" s="3"/>
      <c r="N298" s="96"/>
      <c r="O298" s="3"/>
      <c r="P298" s="96"/>
      <c r="Q298" s="1265"/>
      <c r="R298" s="3"/>
      <c r="S298" s="3"/>
      <c r="T298" s="1685"/>
      <c r="U298" s="3"/>
      <c r="V298" s="96"/>
      <c r="W298" s="1265"/>
      <c r="X298" s="3"/>
      <c r="Y298" s="3"/>
      <c r="Z298" s="1569"/>
      <c r="AA298" s="96"/>
    </row>
    <row r="299" spans="1:27" ht="15">
      <c r="A299" s="3"/>
      <c r="B299" s="3"/>
      <c r="C299" s="1536"/>
      <c r="D299" s="96"/>
      <c r="E299" s="3"/>
      <c r="F299" s="96"/>
      <c r="G299" s="3"/>
      <c r="H299" s="96"/>
      <c r="I299" s="3"/>
      <c r="J299" s="96"/>
      <c r="K299" s="3"/>
      <c r="L299" s="96"/>
      <c r="M299" s="3"/>
      <c r="N299" s="96"/>
      <c r="O299" s="3"/>
      <c r="P299" s="96"/>
      <c r="Q299" s="1265"/>
      <c r="R299" s="3"/>
      <c r="S299" s="3"/>
      <c r="T299" s="1685"/>
      <c r="U299" s="3"/>
      <c r="V299" s="96"/>
      <c r="W299" s="1265"/>
      <c r="X299" s="3"/>
      <c r="Y299" s="3"/>
      <c r="Z299" s="1569"/>
      <c r="AA299" s="96"/>
    </row>
    <row r="300" spans="1:27" ht="15">
      <c r="A300" s="3"/>
      <c r="B300" s="3"/>
      <c r="C300" s="1536"/>
      <c r="D300" s="96"/>
      <c r="E300" s="3"/>
      <c r="F300" s="96"/>
      <c r="G300" s="3"/>
      <c r="H300" s="96"/>
      <c r="I300" s="3"/>
      <c r="J300" s="96"/>
      <c r="K300" s="3"/>
      <c r="L300" s="96"/>
      <c r="M300" s="3"/>
      <c r="N300" s="96"/>
      <c r="O300" s="3"/>
      <c r="P300" s="96"/>
      <c r="Q300" s="1265"/>
      <c r="R300" s="3"/>
      <c r="S300" s="3"/>
      <c r="T300" s="1685"/>
      <c r="U300" s="3"/>
      <c r="V300" s="96"/>
      <c r="W300" s="1265"/>
      <c r="X300" s="3"/>
      <c r="Y300" s="3"/>
      <c r="Z300" s="1569"/>
      <c r="AA300" s="96"/>
    </row>
    <row r="301" spans="1:27" ht="15">
      <c r="A301" s="3"/>
      <c r="B301" s="3"/>
      <c r="C301" s="1536"/>
      <c r="D301" s="96"/>
      <c r="E301" s="3"/>
      <c r="F301" s="96"/>
      <c r="G301" s="3"/>
      <c r="H301" s="96"/>
      <c r="I301" s="3"/>
      <c r="J301" s="96"/>
      <c r="K301" s="3"/>
      <c r="L301" s="96"/>
      <c r="M301" s="3"/>
      <c r="N301" s="96"/>
      <c r="O301" s="3"/>
      <c r="P301" s="96"/>
      <c r="Q301" s="1265"/>
      <c r="R301" s="3"/>
      <c r="S301" s="3"/>
      <c r="T301" s="1685"/>
      <c r="U301" s="3"/>
      <c r="V301" s="96"/>
      <c r="W301" s="1265"/>
      <c r="X301" s="3"/>
      <c r="Y301" s="3"/>
      <c r="Z301" s="1569"/>
      <c r="AA301" s="96"/>
    </row>
    <row r="302" spans="1:27" ht="15">
      <c r="A302" s="3"/>
      <c r="B302" s="3"/>
      <c r="C302" s="1536"/>
      <c r="D302" s="96"/>
      <c r="E302" s="3"/>
      <c r="F302" s="96"/>
      <c r="G302" s="3"/>
      <c r="H302" s="96"/>
      <c r="I302" s="3"/>
      <c r="J302" s="96"/>
      <c r="K302" s="3"/>
      <c r="L302" s="96"/>
      <c r="M302" s="3"/>
      <c r="N302" s="96"/>
      <c r="O302" s="3"/>
      <c r="P302" s="96"/>
      <c r="Q302" s="1265"/>
      <c r="R302" s="3"/>
      <c r="S302" s="3"/>
      <c r="T302" s="1685"/>
      <c r="U302" s="3"/>
      <c r="V302" s="96"/>
      <c r="W302" s="1265"/>
      <c r="X302" s="3"/>
      <c r="Y302" s="3"/>
      <c r="Z302" s="1569"/>
      <c r="AA302" s="96"/>
    </row>
    <row r="303" spans="1:27" ht="15">
      <c r="A303" s="3"/>
      <c r="B303" s="3"/>
      <c r="C303" s="1536"/>
      <c r="D303" s="96"/>
      <c r="E303" s="3"/>
      <c r="F303" s="96"/>
      <c r="G303" s="3"/>
      <c r="H303" s="96"/>
      <c r="I303" s="3"/>
      <c r="J303" s="96"/>
      <c r="K303" s="3"/>
      <c r="L303" s="96"/>
      <c r="M303" s="3"/>
      <c r="N303" s="96"/>
      <c r="O303" s="3"/>
      <c r="P303" s="96"/>
      <c r="Q303" s="1265"/>
      <c r="R303" s="3"/>
      <c r="S303" s="3"/>
      <c r="T303" s="1685"/>
      <c r="U303" s="3"/>
      <c r="V303" s="96"/>
      <c r="W303" s="1265"/>
      <c r="X303" s="3"/>
      <c r="Y303" s="3"/>
      <c r="Z303" s="1569"/>
      <c r="AA303" s="96"/>
    </row>
    <row r="304" spans="1:27" ht="15">
      <c r="A304" s="3"/>
      <c r="B304" s="3"/>
      <c r="C304" s="1536"/>
      <c r="D304" s="96"/>
      <c r="E304" s="3"/>
      <c r="F304" s="96"/>
      <c r="G304" s="3"/>
      <c r="H304" s="96"/>
      <c r="I304" s="3"/>
      <c r="J304" s="96"/>
      <c r="K304" s="3"/>
      <c r="L304" s="96"/>
      <c r="M304" s="3"/>
      <c r="N304" s="96"/>
      <c r="O304" s="3"/>
      <c r="P304" s="96"/>
      <c r="Q304" s="1265"/>
      <c r="R304" s="3"/>
      <c r="S304" s="3"/>
      <c r="T304" s="1685"/>
      <c r="U304" s="3"/>
      <c r="V304" s="96"/>
      <c r="W304" s="1265"/>
      <c r="X304" s="3"/>
      <c r="Y304" s="3"/>
      <c r="Z304" s="1569"/>
      <c r="AA304" s="96"/>
    </row>
    <row r="305" spans="1:27" ht="15">
      <c r="A305" s="3"/>
      <c r="B305" s="3"/>
      <c r="C305" s="1536"/>
      <c r="D305" s="96"/>
      <c r="E305" s="3"/>
      <c r="F305" s="96"/>
      <c r="G305" s="3"/>
      <c r="H305" s="96"/>
      <c r="I305" s="3"/>
      <c r="J305" s="96"/>
      <c r="K305" s="3"/>
      <c r="L305" s="96"/>
      <c r="M305" s="3"/>
      <c r="N305" s="96"/>
      <c r="O305" s="3"/>
      <c r="P305" s="96"/>
      <c r="Q305" s="1265"/>
      <c r="R305" s="3"/>
      <c r="S305" s="3"/>
      <c r="T305" s="1685"/>
      <c r="U305" s="3"/>
      <c r="V305" s="96"/>
      <c r="W305" s="1265"/>
      <c r="X305" s="3"/>
      <c r="Y305" s="3"/>
      <c r="Z305" s="1569"/>
      <c r="AA305" s="96"/>
    </row>
    <row r="306" spans="1:27" ht="15">
      <c r="A306" s="3"/>
      <c r="B306" s="3"/>
      <c r="C306" s="1536"/>
      <c r="D306" s="96"/>
      <c r="E306" s="3"/>
      <c r="F306" s="96"/>
      <c r="G306" s="3"/>
      <c r="H306" s="96"/>
      <c r="I306" s="3"/>
      <c r="J306" s="96"/>
      <c r="K306" s="3"/>
      <c r="L306" s="96"/>
      <c r="M306" s="3"/>
      <c r="N306" s="96"/>
      <c r="O306" s="3"/>
      <c r="P306" s="96"/>
      <c r="Q306" s="1265"/>
      <c r="R306" s="3"/>
      <c r="S306" s="3"/>
      <c r="T306" s="1685"/>
      <c r="U306" s="3"/>
      <c r="V306" s="96"/>
      <c r="W306" s="1265"/>
      <c r="X306" s="3"/>
      <c r="Y306" s="3"/>
      <c r="Z306" s="1569"/>
      <c r="AA306" s="96"/>
    </row>
    <row r="307" spans="1:27" ht="15">
      <c r="A307" s="3"/>
      <c r="B307" s="3"/>
      <c r="C307" s="1536"/>
      <c r="D307" s="96"/>
      <c r="E307" s="3"/>
      <c r="F307" s="96"/>
      <c r="G307" s="3"/>
      <c r="H307" s="96"/>
      <c r="I307" s="3"/>
      <c r="J307" s="96"/>
      <c r="K307" s="3"/>
      <c r="L307" s="96"/>
      <c r="M307" s="3"/>
      <c r="N307" s="96"/>
      <c r="O307" s="3"/>
      <c r="P307" s="96"/>
      <c r="Q307" s="1265"/>
      <c r="R307" s="3"/>
      <c r="S307" s="3"/>
      <c r="T307" s="1685"/>
      <c r="U307" s="3"/>
      <c r="V307" s="96"/>
      <c r="W307" s="1265"/>
      <c r="X307" s="3"/>
      <c r="Y307" s="3"/>
      <c r="Z307" s="1569"/>
      <c r="AA307" s="96"/>
    </row>
    <row r="308" spans="1:27" ht="15">
      <c r="A308" s="3"/>
      <c r="B308" s="3"/>
      <c r="C308" s="1536"/>
      <c r="D308" s="96"/>
      <c r="E308" s="3"/>
      <c r="F308" s="96"/>
      <c r="G308" s="3"/>
      <c r="H308" s="96"/>
      <c r="I308" s="3"/>
      <c r="J308" s="96"/>
      <c r="K308" s="3"/>
      <c r="L308" s="96"/>
      <c r="M308" s="3"/>
      <c r="N308" s="96"/>
      <c r="O308" s="3"/>
      <c r="P308" s="96"/>
      <c r="Q308" s="1265"/>
      <c r="R308" s="3"/>
      <c r="S308" s="3"/>
      <c r="T308" s="1685"/>
      <c r="U308" s="3"/>
      <c r="V308" s="96"/>
      <c r="W308" s="1265"/>
      <c r="X308" s="3"/>
      <c r="Y308" s="3"/>
      <c r="Z308" s="1569"/>
      <c r="AA308" s="96"/>
    </row>
    <row r="309" spans="1:27" ht="15">
      <c r="A309" s="3"/>
      <c r="B309" s="3"/>
      <c r="C309" s="1536"/>
      <c r="D309" s="96"/>
      <c r="E309" s="3"/>
      <c r="F309" s="96"/>
      <c r="G309" s="3"/>
      <c r="H309" s="96"/>
      <c r="I309" s="3"/>
      <c r="J309" s="96"/>
      <c r="K309" s="3"/>
      <c r="L309" s="96"/>
      <c r="M309" s="3"/>
      <c r="N309" s="96"/>
      <c r="O309" s="3"/>
      <c r="P309" s="96"/>
      <c r="Q309" s="1265"/>
      <c r="R309" s="3"/>
      <c r="S309" s="3"/>
      <c r="T309" s="1685"/>
      <c r="U309" s="3"/>
      <c r="V309" s="96"/>
      <c r="W309" s="1265"/>
      <c r="X309" s="3"/>
      <c r="Y309" s="3"/>
      <c r="Z309" s="1569"/>
      <c r="AA309" s="96"/>
    </row>
    <row r="310" spans="1:27" ht="15">
      <c r="A310" s="3"/>
      <c r="B310" s="3"/>
      <c r="C310" s="1536"/>
      <c r="D310" s="96"/>
      <c r="E310" s="3"/>
      <c r="F310" s="96"/>
      <c r="G310" s="3"/>
      <c r="H310" s="96"/>
      <c r="I310" s="3"/>
      <c r="J310" s="96"/>
      <c r="K310" s="3"/>
      <c r="L310" s="96"/>
      <c r="M310" s="3"/>
      <c r="N310" s="96"/>
      <c r="O310" s="3"/>
      <c r="P310" s="96"/>
      <c r="Q310" s="1265"/>
      <c r="R310" s="3"/>
      <c r="S310" s="3"/>
      <c r="T310" s="1685"/>
      <c r="U310" s="3"/>
      <c r="V310" s="96"/>
      <c r="W310" s="1265"/>
      <c r="X310" s="3"/>
      <c r="Y310" s="3"/>
      <c r="Z310" s="1569"/>
      <c r="AA310" s="96"/>
    </row>
    <row r="311" spans="1:27" ht="15">
      <c r="A311" s="3"/>
      <c r="B311" s="3"/>
      <c r="C311" s="1536"/>
      <c r="D311" s="96"/>
      <c r="E311" s="3"/>
      <c r="F311" s="96"/>
      <c r="G311" s="3"/>
      <c r="H311" s="96"/>
      <c r="I311" s="3"/>
      <c r="J311" s="96"/>
      <c r="K311" s="3"/>
      <c r="L311" s="96"/>
      <c r="M311" s="3"/>
      <c r="N311" s="96"/>
      <c r="O311" s="3"/>
      <c r="P311" s="96"/>
      <c r="Q311" s="1265"/>
      <c r="R311" s="3"/>
      <c r="S311" s="3"/>
      <c r="T311" s="1685"/>
      <c r="U311" s="3"/>
      <c r="V311" s="96"/>
      <c r="W311" s="1265"/>
      <c r="X311" s="3"/>
      <c r="Y311" s="3"/>
      <c r="Z311" s="1569"/>
      <c r="AA311" s="96"/>
    </row>
    <row r="312" spans="1:27" ht="15">
      <c r="A312" s="3"/>
      <c r="B312" s="3"/>
      <c r="C312" s="1536"/>
      <c r="D312" s="96"/>
      <c r="E312" s="3"/>
      <c r="F312" s="96"/>
      <c r="G312" s="3"/>
      <c r="H312" s="96"/>
      <c r="I312" s="3"/>
      <c r="J312" s="96"/>
      <c r="K312" s="3"/>
      <c r="L312" s="96"/>
      <c r="M312" s="3"/>
      <c r="N312" s="96"/>
      <c r="O312" s="3"/>
      <c r="P312" s="96"/>
      <c r="Q312" s="1265"/>
      <c r="R312" s="3"/>
      <c r="S312" s="3"/>
      <c r="T312" s="1685"/>
      <c r="U312" s="3"/>
      <c r="V312" s="96"/>
      <c r="W312" s="1265"/>
      <c r="X312" s="3"/>
      <c r="Y312" s="3"/>
      <c r="Z312" s="1569"/>
      <c r="AA312" s="96"/>
    </row>
    <row r="313" spans="1:27" ht="15">
      <c r="A313" s="3"/>
      <c r="B313" s="3"/>
      <c r="C313" s="1536"/>
      <c r="D313" s="96"/>
      <c r="E313" s="3"/>
      <c r="F313" s="96"/>
      <c r="G313" s="3"/>
      <c r="H313" s="96"/>
      <c r="I313" s="3"/>
      <c r="J313" s="96"/>
      <c r="K313" s="3"/>
      <c r="L313" s="96"/>
      <c r="M313" s="3"/>
      <c r="N313" s="96"/>
      <c r="O313" s="3"/>
      <c r="P313" s="96"/>
      <c r="Q313" s="1265"/>
      <c r="R313" s="3"/>
      <c r="S313" s="3"/>
      <c r="T313" s="1685"/>
      <c r="U313" s="3"/>
      <c r="V313" s="96"/>
      <c r="W313" s="1265"/>
      <c r="X313" s="3"/>
      <c r="Y313" s="3"/>
      <c r="Z313" s="1569"/>
      <c r="AA313" s="96"/>
    </row>
    <row r="314" spans="1:27" ht="15">
      <c r="A314" s="3"/>
      <c r="B314" s="3"/>
      <c r="C314" s="1536"/>
      <c r="D314" s="96"/>
      <c r="E314" s="3"/>
      <c r="F314" s="96"/>
      <c r="G314" s="3"/>
      <c r="H314" s="96"/>
      <c r="I314" s="3"/>
      <c r="J314" s="96"/>
      <c r="K314" s="3"/>
      <c r="L314" s="96"/>
      <c r="M314" s="3"/>
      <c r="N314" s="96"/>
      <c r="O314" s="3"/>
      <c r="P314" s="96"/>
      <c r="Q314" s="1265"/>
      <c r="R314" s="3"/>
      <c r="S314" s="3"/>
      <c r="T314" s="1685"/>
      <c r="U314" s="3"/>
      <c r="V314" s="96"/>
      <c r="W314" s="1265"/>
      <c r="X314" s="3"/>
      <c r="Y314" s="3"/>
      <c r="Z314" s="1569"/>
      <c r="AA314" s="96"/>
    </row>
    <row r="315" spans="1:27" ht="15">
      <c r="A315" s="3"/>
      <c r="B315" s="3"/>
      <c r="C315" s="1536"/>
      <c r="D315" s="96"/>
      <c r="E315" s="3"/>
      <c r="F315" s="96"/>
      <c r="G315" s="3"/>
      <c r="H315" s="96"/>
      <c r="I315" s="3"/>
      <c r="J315" s="96"/>
      <c r="K315" s="3"/>
      <c r="L315" s="96"/>
      <c r="M315" s="3"/>
      <c r="N315" s="96"/>
      <c r="O315" s="3"/>
      <c r="P315" s="96"/>
      <c r="Q315" s="1265"/>
      <c r="R315" s="3"/>
      <c r="S315" s="3"/>
      <c r="T315" s="1685"/>
      <c r="U315" s="3"/>
      <c r="V315" s="96"/>
      <c r="W315" s="1265"/>
      <c r="X315" s="3"/>
      <c r="Y315" s="3"/>
      <c r="Z315" s="1569"/>
      <c r="AA315" s="96"/>
    </row>
    <row r="316" spans="1:27" ht="15">
      <c r="A316" s="3"/>
      <c r="B316" s="3"/>
      <c r="C316" s="1536"/>
      <c r="D316" s="96"/>
      <c r="E316" s="3"/>
      <c r="F316" s="96"/>
      <c r="G316" s="3"/>
      <c r="H316" s="96"/>
      <c r="I316" s="3"/>
      <c r="J316" s="96"/>
      <c r="K316" s="3"/>
      <c r="L316" s="96"/>
      <c r="M316" s="3"/>
      <c r="N316" s="96"/>
      <c r="O316" s="3"/>
      <c r="P316" s="96"/>
      <c r="Q316" s="1265"/>
      <c r="R316" s="3"/>
      <c r="S316" s="3"/>
      <c r="T316" s="1685"/>
      <c r="U316" s="3"/>
      <c r="V316" s="96"/>
      <c r="W316" s="1265"/>
      <c r="X316" s="3"/>
      <c r="Y316" s="3"/>
      <c r="Z316" s="1569"/>
      <c r="AA316" s="96"/>
    </row>
    <row r="317" spans="1:27" ht="15">
      <c r="A317" s="3"/>
      <c r="B317" s="3"/>
      <c r="C317" s="1536"/>
      <c r="D317" s="96"/>
      <c r="E317" s="3"/>
      <c r="F317" s="96"/>
      <c r="G317" s="3"/>
      <c r="H317" s="96"/>
      <c r="I317" s="3"/>
      <c r="J317" s="96"/>
      <c r="K317" s="3"/>
      <c r="L317" s="96"/>
      <c r="M317" s="3"/>
      <c r="N317" s="96"/>
      <c r="O317" s="3"/>
      <c r="P317" s="96"/>
      <c r="Q317" s="1265"/>
      <c r="R317" s="3"/>
      <c r="S317" s="3"/>
      <c r="T317" s="1685"/>
      <c r="U317" s="3"/>
      <c r="V317" s="96"/>
      <c r="W317" s="1265"/>
      <c r="X317" s="3"/>
      <c r="Y317" s="3"/>
      <c r="Z317" s="1569"/>
      <c r="AA317" s="96"/>
    </row>
    <row r="318" spans="1:27" ht="15">
      <c r="A318" s="3"/>
      <c r="B318" s="3"/>
      <c r="C318" s="1536"/>
      <c r="D318" s="96"/>
      <c r="E318" s="3"/>
      <c r="F318" s="96"/>
      <c r="G318" s="3"/>
      <c r="H318" s="96"/>
      <c r="I318" s="3"/>
      <c r="J318" s="96"/>
      <c r="K318" s="3"/>
      <c r="L318" s="96"/>
      <c r="M318" s="3"/>
      <c r="N318" s="96"/>
      <c r="O318" s="3"/>
      <c r="P318" s="96"/>
      <c r="Q318" s="1265"/>
      <c r="R318" s="3"/>
      <c r="S318" s="3"/>
      <c r="T318" s="1685"/>
      <c r="U318" s="3"/>
      <c r="V318" s="96"/>
      <c r="W318" s="1265"/>
      <c r="X318" s="3"/>
      <c r="Y318" s="3"/>
      <c r="Z318" s="1569"/>
      <c r="AA318" s="96"/>
    </row>
    <row r="319" spans="1:27" ht="15">
      <c r="A319" s="3"/>
      <c r="B319" s="3"/>
      <c r="C319" s="1536"/>
      <c r="D319" s="96"/>
      <c r="E319" s="3"/>
      <c r="F319" s="96"/>
      <c r="G319" s="3"/>
      <c r="H319" s="96"/>
      <c r="I319" s="3"/>
      <c r="J319" s="96"/>
      <c r="K319" s="3"/>
      <c r="L319" s="96"/>
      <c r="M319" s="3"/>
      <c r="N319" s="96"/>
      <c r="O319" s="3"/>
      <c r="P319" s="96"/>
      <c r="Q319" s="1265"/>
      <c r="R319" s="3"/>
      <c r="S319" s="3"/>
      <c r="T319" s="1685"/>
      <c r="U319" s="3"/>
      <c r="V319" s="96"/>
      <c r="W319" s="1265"/>
      <c r="X319" s="3"/>
      <c r="Y319" s="3"/>
      <c r="Z319" s="1569"/>
      <c r="AA319" s="96"/>
    </row>
    <row r="320" spans="1:27" ht="15">
      <c r="A320" s="3"/>
      <c r="B320" s="3"/>
      <c r="C320" s="1536"/>
      <c r="D320" s="96"/>
      <c r="E320" s="3"/>
      <c r="F320" s="96"/>
      <c r="G320" s="3"/>
      <c r="H320" s="96"/>
      <c r="I320" s="3"/>
      <c r="J320" s="96"/>
      <c r="K320" s="3"/>
      <c r="L320" s="96"/>
      <c r="M320" s="3"/>
      <c r="N320" s="96"/>
      <c r="O320" s="3"/>
      <c r="P320" s="96"/>
      <c r="Q320" s="1265"/>
      <c r="R320" s="3"/>
      <c r="S320" s="3"/>
      <c r="T320" s="1685"/>
      <c r="U320" s="3"/>
      <c r="V320" s="96"/>
      <c r="W320" s="1265"/>
      <c r="X320" s="3"/>
      <c r="Y320" s="3"/>
      <c r="Z320" s="1569"/>
      <c r="AA320" s="96"/>
    </row>
    <row r="321" spans="1:27" ht="15">
      <c r="A321" s="3"/>
      <c r="B321" s="3"/>
      <c r="C321" s="1536"/>
      <c r="D321" s="96"/>
      <c r="E321" s="3"/>
      <c r="F321" s="96"/>
      <c r="G321" s="3"/>
      <c r="H321" s="96"/>
      <c r="I321" s="3"/>
      <c r="J321" s="96"/>
      <c r="K321" s="3"/>
      <c r="L321" s="96"/>
      <c r="M321" s="3"/>
      <c r="N321" s="96"/>
      <c r="O321" s="3"/>
      <c r="P321" s="96"/>
      <c r="Q321" s="1265"/>
      <c r="R321" s="3"/>
      <c r="S321" s="3"/>
      <c r="T321" s="1685"/>
      <c r="U321" s="3"/>
      <c r="V321" s="96"/>
      <c r="W321" s="1265"/>
      <c r="X321" s="3"/>
      <c r="Y321" s="3"/>
      <c r="Z321" s="1569"/>
      <c r="AA321" s="96"/>
    </row>
    <row r="322" spans="1:27" ht="15">
      <c r="A322" s="3"/>
      <c r="B322" s="3"/>
      <c r="C322" s="1536"/>
      <c r="D322" s="96"/>
      <c r="E322" s="3"/>
      <c r="F322" s="96"/>
      <c r="G322" s="3"/>
      <c r="H322" s="96"/>
      <c r="I322" s="3"/>
      <c r="J322" s="96"/>
      <c r="K322" s="3"/>
      <c r="L322" s="96"/>
      <c r="M322" s="3"/>
      <c r="N322" s="96"/>
      <c r="O322" s="3"/>
      <c r="P322" s="96"/>
      <c r="Q322" s="1265"/>
      <c r="R322" s="3"/>
      <c r="S322" s="3"/>
      <c r="T322" s="1685"/>
      <c r="U322" s="3"/>
      <c r="V322" s="96"/>
      <c r="W322" s="1265"/>
      <c r="X322" s="3"/>
      <c r="Y322" s="3"/>
      <c r="Z322" s="1569"/>
      <c r="AA322" s="96"/>
    </row>
    <row r="323" spans="1:27" ht="15">
      <c r="A323" s="3"/>
      <c r="B323" s="3"/>
      <c r="C323" s="1536"/>
      <c r="D323" s="96"/>
      <c r="E323" s="3"/>
      <c r="F323" s="96"/>
      <c r="G323" s="3"/>
      <c r="H323" s="96"/>
      <c r="I323" s="3"/>
      <c r="J323" s="96"/>
      <c r="K323" s="3"/>
      <c r="L323" s="96"/>
      <c r="M323" s="3"/>
      <c r="N323" s="96"/>
      <c r="O323" s="3"/>
      <c r="P323" s="96"/>
      <c r="Q323" s="1265"/>
      <c r="R323" s="3"/>
      <c r="S323" s="3"/>
      <c r="T323" s="1685"/>
      <c r="U323" s="3"/>
      <c r="V323" s="96"/>
      <c r="W323" s="1265"/>
      <c r="X323" s="3"/>
      <c r="Y323" s="3"/>
      <c r="Z323" s="1569"/>
      <c r="AA323" s="96"/>
    </row>
    <row r="324" spans="1:27" ht="15">
      <c r="A324" s="3"/>
      <c r="B324" s="3"/>
      <c r="C324" s="1536"/>
      <c r="D324" s="96"/>
      <c r="E324" s="3"/>
      <c r="F324" s="96"/>
      <c r="G324" s="3"/>
      <c r="H324" s="96"/>
      <c r="I324" s="3"/>
      <c r="J324" s="96"/>
      <c r="K324" s="3"/>
      <c r="L324" s="96"/>
      <c r="M324" s="3"/>
      <c r="N324" s="96"/>
      <c r="O324" s="3"/>
      <c r="P324" s="96"/>
      <c r="Q324" s="1265"/>
      <c r="R324" s="3"/>
      <c r="S324" s="3"/>
      <c r="T324" s="1685"/>
      <c r="U324" s="3"/>
      <c r="V324" s="96"/>
      <c r="W324" s="1265"/>
      <c r="X324" s="3"/>
      <c r="Y324" s="3"/>
      <c r="Z324" s="1569"/>
      <c r="AA324" s="96"/>
    </row>
    <row r="325" spans="1:27" ht="15">
      <c r="A325" s="3"/>
      <c r="B325" s="3"/>
      <c r="C325" s="1536"/>
      <c r="D325" s="96"/>
      <c r="E325" s="3"/>
      <c r="F325" s="96"/>
      <c r="G325" s="3"/>
      <c r="H325" s="96"/>
      <c r="I325" s="3"/>
      <c r="J325" s="96"/>
      <c r="K325" s="3"/>
      <c r="L325" s="96"/>
      <c r="M325" s="3"/>
      <c r="N325" s="96"/>
      <c r="O325" s="3"/>
      <c r="P325" s="96"/>
      <c r="Q325" s="1265"/>
      <c r="R325" s="3"/>
      <c r="S325" s="3"/>
      <c r="T325" s="1685"/>
      <c r="U325" s="3"/>
      <c r="V325" s="96"/>
      <c r="W325" s="1265"/>
      <c r="X325" s="3"/>
      <c r="Y325" s="3"/>
      <c r="Z325" s="1569"/>
      <c r="AA325" s="96"/>
    </row>
    <row r="326" spans="1:27" ht="15">
      <c r="A326" s="3"/>
      <c r="B326" s="3"/>
      <c r="C326" s="1536"/>
      <c r="D326" s="96"/>
      <c r="E326" s="3"/>
      <c r="F326" s="96"/>
      <c r="G326" s="3"/>
      <c r="H326" s="96"/>
      <c r="I326" s="3"/>
      <c r="J326" s="96"/>
      <c r="K326" s="3"/>
      <c r="L326" s="96"/>
      <c r="M326" s="3"/>
      <c r="N326" s="96"/>
      <c r="O326" s="3"/>
      <c r="P326" s="96"/>
      <c r="Q326" s="1265"/>
      <c r="R326" s="3"/>
      <c r="S326" s="3"/>
      <c r="T326" s="1685"/>
      <c r="U326" s="3"/>
      <c r="V326" s="96"/>
      <c r="W326" s="1265"/>
      <c r="X326" s="3"/>
      <c r="Y326" s="3"/>
      <c r="Z326" s="1569"/>
      <c r="AA326" s="96"/>
    </row>
    <row r="327" spans="1:27" ht="15">
      <c r="A327" s="3"/>
      <c r="B327" s="3"/>
      <c r="C327" s="1536"/>
      <c r="D327" s="96"/>
      <c r="E327" s="3"/>
      <c r="F327" s="96"/>
      <c r="G327" s="3"/>
      <c r="H327" s="96"/>
      <c r="I327" s="3"/>
      <c r="J327" s="96"/>
      <c r="K327" s="3"/>
      <c r="L327" s="96"/>
      <c r="M327" s="3"/>
      <c r="N327" s="96"/>
      <c r="O327" s="3"/>
      <c r="P327" s="96"/>
      <c r="Q327" s="1265"/>
      <c r="R327" s="3"/>
      <c r="S327" s="3"/>
      <c r="T327" s="1685"/>
      <c r="U327" s="3"/>
      <c r="V327" s="96"/>
      <c r="W327" s="1265"/>
      <c r="X327" s="3"/>
      <c r="Y327" s="3"/>
      <c r="Z327" s="1569"/>
      <c r="AA327" s="96"/>
    </row>
    <row r="328" spans="1:27" ht="15">
      <c r="A328" s="3"/>
      <c r="B328" s="3"/>
      <c r="C328" s="1536"/>
      <c r="D328" s="96"/>
      <c r="E328" s="3"/>
      <c r="F328" s="96"/>
      <c r="G328" s="3"/>
      <c r="H328" s="96"/>
      <c r="I328" s="3"/>
      <c r="J328" s="96"/>
      <c r="K328" s="3"/>
      <c r="L328" s="96"/>
      <c r="M328" s="3"/>
      <c r="N328" s="96"/>
      <c r="O328" s="3"/>
      <c r="P328" s="96"/>
      <c r="Q328" s="1265"/>
      <c r="R328" s="3"/>
      <c r="S328" s="3"/>
      <c r="T328" s="1685"/>
      <c r="U328" s="3"/>
      <c r="V328" s="96"/>
      <c r="W328" s="1265"/>
      <c r="X328" s="3"/>
      <c r="Y328" s="3"/>
      <c r="Z328" s="1569"/>
      <c r="AA328" s="96"/>
    </row>
    <row r="329" spans="1:27" ht="15">
      <c r="A329" s="3"/>
      <c r="B329" s="3"/>
      <c r="C329" s="1536"/>
      <c r="D329" s="96"/>
      <c r="E329" s="3"/>
      <c r="F329" s="96"/>
      <c r="G329" s="3"/>
      <c r="H329" s="96"/>
      <c r="I329" s="3"/>
      <c r="J329" s="96"/>
      <c r="K329" s="3"/>
      <c r="L329" s="96"/>
      <c r="M329" s="3"/>
      <c r="N329" s="96"/>
      <c r="O329" s="3"/>
      <c r="P329" s="96"/>
      <c r="Q329" s="1265"/>
      <c r="R329" s="3"/>
      <c r="S329" s="3"/>
      <c r="T329" s="1685"/>
      <c r="U329" s="3"/>
      <c r="V329" s="96"/>
      <c r="W329" s="1265"/>
      <c r="X329" s="3"/>
      <c r="Y329" s="3"/>
      <c r="Z329" s="1569"/>
      <c r="AA329" s="96"/>
    </row>
    <row r="330" spans="1:27" ht="15">
      <c r="A330" s="3"/>
      <c r="B330" s="3"/>
      <c r="C330" s="1536"/>
      <c r="D330" s="96"/>
      <c r="E330" s="3"/>
      <c r="F330" s="96"/>
      <c r="G330" s="3"/>
      <c r="H330" s="96"/>
      <c r="I330" s="3"/>
      <c r="J330" s="96"/>
      <c r="K330" s="3"/>
      <c r="L330" s="96"/>
      <c r="M330" s="3"/>
      <c r="N330" s="96"/>
      <c r="O330" s="3"/>
      <c r="P330" s="96"/>
      <c r="Q330" s="1265"/>
      <c r="R330" s="3"/>
      <c r="S330" s="3"/>
      <c r="T330" s="1685"/>
      <c r="U330" s="3"/>
      <c r="V330" s="96"/>
      <c r="W330" s="1265"/>
      <c r="X330" s="3"/>
      <c r="Y330" s="3"/>
      <c r="Z330" s="1569"/>
      <c r="AA330" s="96"/>
    </row>
    <row r="331" spans="1:27" ht="15">
      <c r="A331" s="3"/>
      <c r="B331" s="3"/>
      <c r="C331" s="1536"/>
      <c r="D331" s="96"/>
      <c r="E331" s="3"/>
      <c r="F331" s="96"/>
      <c r="G331" s="3"/>
      <c r="H331" s="96"/>
      <c r="I331" s="3"/>
      <c r="J331" s="96"/>
      <c r="K331" s="3"/>
      <c r="L331" s="96"/>
      <c r="M331" s="3"/>
      <c r="N331" s="96"/>
      <c r="O331" s="3"/>
      <c r="P331" s="96"/>
      <c r="Q331" s="1265"/>
      <c r="R331" s="3"/>
      <c r="S331" s="3"/>
      <c r="T331" s="1685"/>
      <c r="U331" s="3"/>
      <c r="V331" s="96"/>
      <c r="W331" s="1265"/>
      <c r="X331" s="3"/>
      <c r="Y331" s="3"/>
      <c r="Z331" s="1569"/>
      <c r="AA331" s="96"/>
    </row>
    <row r="332" spans="1:27" ht="15">
      <c r="A332" s="3"/>
      <c r="B332" s="3"/>
      <c r="C332" s="1536"/>
      <c r="D332" s="96"/>
      <c r="E332" s="3"/>
      <c r="F332" s="96"/>
      <c r="G332" s="3"/>
      <c r="H332" s="96"/>
      <c r="I332" s="3"/>
      <c r="J332" s="96"/>
      <c r="K332" s="3"/>
      <c r="L332" s="96"/>
      <c r="M332" s="3"/>
      <c r="N332" s="96"/>
      <c r="O332" s="3"/>
      <c r="P332" s="96"/>
      <c r="Q332" s="1265"/>
      <c r="R332" s="3"/>
      <c r="S332" s="3"/>
      <c r="T332" s="1685"/>
      <c r="U332" s="3"/>
      <c r="V332" s="96"/>
      <c r="W332" s="1265"/>
      <c r="X332" s="3"/>
      <c r="Y332" s="3"/>
      <c r="Z332" s="1569"/>
      <c r="AA332" s="96"/>
    </row>
    <row r="333" spans="1:27" ht="15">
      <c r="A333" s="3"/>
      <c r="B333" s="3"/>
      <c r="C333" s="1536"/>
      <c r="D333" s="96"/>
      <c r="E333" s="3"/>
      <c r="F333" s="96"/>
      <c r="G333" s="3"/>
      <c r="H333" s="96"/>
      <c r="I333" s="3"/>
      <c r="J333" s="96"/>
      <c r="K333" s="3"/>
      <c r="L333" s="96"/>
      <c r="M333" s="3"/>
      <c r="N333" s="96"/>
      <c r="O333" s="3"/>
      <c r="P333" s="96"/>
      <c r="Q333" s="1265"/>
      <c r="R333" s="3"/>
      <c r="S333" s="3"/>
      <c r="T333" s="1685"/>
      <c r="U333" s="3"/>
      <c r="V333" s="96"/>
      <c r="W333" s="1265"/>
      <c r="X333" s="3"/>
      <c r="Y333" s="3"/>
      <c r="Z333" s="1569"/>
      <c r="AA333" s="96"/>
    </row>
    <row r="334" spans="1:27" ht="15">
      <c r="A334" s="3"/>
      <c r="B334" s="3"/>
      <c r="C334" s="1536"/>
      <c r="D334" s="96"/>
      <c r="E334" s="3"/>
      <c r="F334" s="96"/>
      <c r="G334" s="3"/>
      <c r="H334" s="96"/>
      <c r="I334" s="3"/>
      <c r="J334" s="96"/>
      <c r="K334" s="3"/>
      <c r="L334" s="96"/>
      <c r="M334" s="3"/>
      <c r="N334" s="96"/>
      <c r="O334" s="3"/>
      <c r="P334" s="96"/>
      <c r="Q334" s="1265"/>
      <c r="R334" s="3"/>
      <c r="S334" s="3"/>
      <c r="T334" s="1685"/>
      <c r="U334" s="3"/>
      <c r="V334" s="96"/>
      <c r="W334" s="1265"/>
      <c r="X334" s="3"/>
      <c r="Y334" s="3"/>
      <c r="Z334" s="1569"/>
      <c r="AA334" s="96"/>
    </row>
    <row r="335" spans="1:27" ht="15">
      <c r="A335" s="3"/>
      <c r="B335" s="3"/>
      <c r="C335" s="1536"/>
      <c r="D335" s="96"/>
      <c r="E335" s="3"/>
      <c r="F335" s="96"/>
      <c r="G335" s="3"/>
      <c r="H335" s="96"/>
      <c r="I335" s="3"/>
      <c r="J335" s="96"/>
      <c r="K335" s="3"/>
      <c r="L335" s="96"/>
      <c r="M335" s="3"/>
      <c r="N335" s="96"/>
      <c r="O335" s="3"/>
      <c r="P335" s="96"/>
      <c r="Q335" s="1265"/>
      <c r="R335" s="3"/>
      <c r="S335" s="3"/>
      <c r="T335" s="1685"/>
      <c r="U335" s="3"/>
      <c r="V335" s="96"/>
      <c r="W335" s="1265"/>
      <c r="X335" s="3"/>
      <c r="Y335" s="3"/>
      <c r="Z335" s="1569"/>
      <c r="AA335" s="96"/>
    </row>
    <row r="336" spans="1:27" ht="15">
      <c r="A336" s="3"/>
      <c r="B336" s="3"/>
      <c r="C336" s="1536"/>
      <c r="D336" s="96"/>
      <c r="E336" s="3"/>
      <c r="F336" s="96"/>
      <c r="G336" s="3"/>
      <c r="H336" s="96"/>
      <c r="I336" s="3"/>
      <c r="J336" s="96"/>
      <c r="K336" s="3"/>
      <c r="L336" s="96"/>
      <c r="M336" s="3"/>
      <c r="N336" s="96"/>
      <c r="O336" s="3"/>
      <c r="P336" s="96"/>
      <c r="Q336" s="1265"/>
      <c r="R336" s="3"/>
      <c r="S336" s="3"/>
      <c r="T336" s="1685"/>
      <c r="U336" s="3"/>
      <c r="V336" s="96"/>
      <c r="W336" s="1265"/>
      <c r="X336" s="3"/>
      <c r="Y336" s="3"/>
      <c r="Z336" s="1569"/>
      <c r="AA336" s="96"/>
    </row>
    <row r="337" spans="1:27" ht="15">
      <c r="A337" s="3"/>
      <c r="B337" s="3"/>
      <c r="C337" s="1536"/>
      <c r="D337" s="96"/>
      <c r="E337" s="3"/>
      <c r="F337" s="96"/>
      <c r="G337" s="3"/>
      <c r="H337" s="96"/>
      <c r="I337" s="3"/>
      <c r="J337" s="96"/>
      <c r="K337" s="3"/>
      <c r="L337" s="96"/>
      <c r="M337" s="3"/>
      <c r="N337" s="96"/>
      <c r="O337" s="3"/>
      <c r="P337" s="96"/>
      <c r="Q337" s="1265"/>
      <c r="R337" s="3"/>
      <c r="S337" s="3"/>
      <c r="T337" s="1685"/>
      <c r="U337" s="3"/>
      <c r="V337" s="96"/>
      <c r="W337" s="1265"/>
      <c r="X337" s="3"/>
      <c r="Y337" s="3"/>
      <c r="Z337" s="1569"/>
      <c r="AA337" s="96"/>
    </row>
    <row r="338" spans="1:27" ht="15">
      <c r="A338" s="3"/>
      <c r="B338" s="3"/>
      <c r="C338" s="1536"/>
      <c r="D338" s="96"/>
      <c r="E338" s="3"/>
      <c r="F338" s="96"/>
      <c r="G338" s="3"/>
      <c r="H338" s="96"/>
      <c r="I338" s="3"/>
      <c r="J338" s="96"/>
      <c r="K338" s="3"/>
      <c r="L338" s="96"/>
      <c r="M338" s="3"/>
      <c r="N338" s="96"/>
      <c r="O338" s="3"/>
      <c r="P338" s="96"/>
      <c r="Q338" s="1265"/>
      <c r="R338" s="3"/>
      <c r="S338" s="3"/>
      <c r="T338" s="1685"/>
      <c r="U338" s="3"/>
      <c r="V338" s="96"/>
      <c r="W338" s="1265"/>
      <c r="X338" s="3"/>
      <c r="Y338" s="3"/>
      <c r="Z338" s="1569"/>
      <c r="AA338" s="96"/>
    </row>
    <row r="339" spans="1:27" ht="15">
      <c r="A339" s="3"/>
      <c r="B339" s="3"/>
      <c r="C339" s="1536"/>
      <c r="D339" s="96"/>
      <c r="E339" s="3"/>
      <c r="F339" s="96"/>
      <c r="G339" s="3"/>
      <c r="H339" s="96"/>
      <c r="I339" s="3"/>
      <c r="J339" s="96"/>
      <c r="K339" s="3"/>
      <c r="L339" s="96"/>
      <c r="M339" s="3"/>
      <c r="N339" s="96"/>
      <c r="O339" s="3"/>
      <c r="P339" s="96"/>
      <c r="Q339" s="1265"/>
      <c r="R339" s="3"/>
      <c r="S339" s="3"/>
      <c r="T339" s="1685"/>
      <c r="U339" s="3"/>
      <c r="V339" s="96"/>
      <c r="W339" s="1265"/>
      <c r="X339" s="3"/>
      <c r="Y339" s="3"/>
      <c r="Z339" s="1569"/>
      <c r="AA339" s="96"/>
    </row>
    <row r="340" spans="1:27" ht="15">
      <c r="A340" s="3"/>
      <c r="B340" s="3"/>
      <c r="C340" s="1536"/>
      <c r="D340" s="96"/>
      <c r="E340" s="3"/>
      <c r="F340" s="96"/>
      <c r="G340" s="3"/>
      <c r="H340" s="96"/>
      <c r="I340" s="3"/>
      <c r="J340" s="96"/>
      <c r="K340" s="3"/>
      <c r="L340" s="96"/>
      <c r="M340" s="3"/>
      <c r="N340" s="96"/>
      <c r="O340" s="3"/>
      <c r="P340" s="96"/>
      <c r="Q340" s="1265"/>
      <c r="R340" s="3"/>
      <c r="S340" s="3"/>
      <c r="T340" s="1685"/>
      <c r="U340" s="3"/>
      <c r="V340" s="96"/>
      <c r="W340" s="1265"/>
      <c r="X340" s="3"/>
      <c r="Y340" s="3"/>
      <c r="Z340" s="1569"/>
      <c r="AA340" s="96"/>
    </row>
    <row r="341" spans="1:27" ht="15">
      <c r="A341" s="3"/>
      <c r="B341" s="3"/>
      <c r="C341" s="1536"/>
      <c r="D341" s="96"/>
      <c r="E341" s="3"/>
      <c r="F341" s="96"/>
      <c r="G341" s="3"/>
      <c r="H341" s="96"/>
      <c r="I341" s="3"/>
      <c r="J341" s="96"/>
      <c r="K341" s="3"/>
      <c r="L341" s="96"/>
      <c r="M341" s="3"/>
      <c r="N341" s="96"/>
      <c r="O341" s="3"/>
      <c r="P341" s="96"/>
      <c r="Q341" s="1265"/>
      <c r="R341" s="3"/>
      <c r="S341" s="3"/>
      <c r="T341" s="1685"/>
      <c r="U341" s="3"/>
      <c r="V341" s="96"/>
      <c r="W341" s="1265"/>
      <c r="X341" s="3"/>
      <c r="Y341" s="3"/>
      <c r="Z341" s="1569"/>
      <c r="AA341" s="96"/>
    </row>
    <row r="342" spans="1:27" ht="15">
      <c r="A342" s="3"/>
      <c r="B342" s="3"/>
      <c r="C342" s="1536"/>
      <c r="D342" s="96"/>
      <c r="E342" s="3"/>
      <c r="F342" s="96"/>
      <c r="G342" s="3"/>
      <c r="H342" s="96"/>
      <c r="I342" s="3"/>
      <c r="J342" s="96"/>
      <c r="K342" s="3"/>
      <c r="L342" s="96"/>
      <c r="M342" s="3"/>
      <c r="N342" s="96"/>
      <c r="O342" s="3"/>
      <c r="P342" s="96"/>
      <c r="Q342" s="1265"/>
      <c r="R342" s="3"/>
      <c r="S342" s="3"/>
      <c r="T342" s="1685"/>
      <c r="U342" s="3"/>
      <c r="V342" s="96"/>
      <c r="W342" s="1265"/>
      <c r="X342" s="3"/>
      <c r="Y342" s="3"/>
      <c r="Z342" s="1569"/>
      <c r="AA342" s="96"/>
    </row>
    <row r="343" spans="1:27" ht="15">
      <c r="A343" s="3"/>
      <c r="B343" s="3"/>
      <c r="C343" s="1536"/>
      <c r="D343" s="96"/>
      <c r="E343" s="3"/>
      <c r="F343" s="96"/>
      <c r="G343" s="3"/>
      <c r="H343" s="96"/>
      <c r="I343" s="3"/>
      <c r="J343" s="96"/>
      <c r="K343" s="3"/>
      <c r="L343" s="96"/>
      <c r="M343" s="3"/>
      <c r="N343" s="96"/>
      <c r="O343" s="3"/>
      <c r="P343" s="96"/>
      <c r="Q343" s="1265"/>
      <c r="R343" s="3"/>
      <c r="S343" s="3"/>
      <c r="T343" s="1685"/>
      <c r="U343" s="3"/>
      <c r="V343" s="96"/>
      <c r="W343" s="1265"/>
      <c r="X343" s="3"/>
      <c r="Y343" s="3"/>
      <c r="Z343" s="1569"/>
      <c r="AA343" s="96"/>
    </row>
    <row r="344" spans="1:27" ht="15">
      <c r="A344" s="3"/>
      <c r="B344" s="3"/>
      <c r="C344" s="1536"/>
      <c r="D344" s="96"/>
      <c r="E344" s="3"/>
      <c r="F344" s="96"/>
      <c r="G344" s="3"/>
      <c r="H344" s="96"/>
      <c r="I344" s="3"/>
      <c r="J344" s="96"/>
      <c r="K344" s="3"/>
      <c r="L344" s="96"/>
      <c r="M344" s="3"/>
      <c r="N344" s="96"/>
      <c r="O344" s="3"/>
      <c r="P344" s="96"/>
      <c r="Q344" s="1265"/>
      <c r="R344" s="3"/>
      <c r="S344" s="3"/>
      <c r="T344" s="1685"/>
      <c r="U344" s="3"/>
      <c r="V344" s="96"/>
      <c r="W344" s="1265"/>
      <c r="X344" s="3"/>
      <c r="Y344" s="3"/>
      <c r="Z344" s="1569"/>
      <c r="AA344" s="96"/>
    </row>
    <row r="345" spans="1:27" ht="15">
      <c r="A345" s="3"/>
      <c r="B345" s="3"/>
      <c r="C345" s="1536"/>
      <c r="D345" s="96"/>
      <c r="E345" s="3"/>
      <c r="F345" s="96"/>
      <c r="G345" s="3"/>
      <c r="H345" s="96"/>
      <c r="I345" s="3"/>
      <c r="J345" s="96"/>
      <c r="K345" s="3"/>
      <c r="L345" s="96"/>
      <c r="M345" s="3"/>
      <c r="N345" s="96"/>
      <c r="O345" s="3"/>
      <c r="P345" s="96"/>
      <c r="Q345" s="1265"/>
      <c r="R345" s="3"/>
      <c r="S345" s="3"/>
      <c r="T345" s="1685"/>
      <c r="U345" s="3"/>
      <c r="V345" s="96"/>
      <c r="W345" s="1265"/>
      <c r="X345" s="3"/>
      <c r="Y345" s="3"/>
      <c r="Z345" s="1569"/>
      <c r="AA345" s="96"/>
    </row>
    <row r="346" spans="1:27" ht="15">
      <c r="A346" s="3"/>
      <c r="B346" s="3"/>
      <c r="C346" s="1536"/>
      <c r="D346" s="96"/>
      <c r="E346" s="3"/>
      <c r="F346" s="96"/>
      <c r="G346" s="3"/>
      <c r="H346" s="96"/>
      <c r="I346" s="3"/>
      <c r="J346" s="96"/>
      <c r="K346" s="3"/>
      <c r="L346" s="96"/>
      <c r="M346" s="3"/>
      <c r="N346" s="96"/>
      <c r="O346" s="3"/>
      <c r="P346" s="96"/>
      <c r="Q346" s="1265"/>
      <c r="R346" s="3"/>
      <c r="S346" s="3"/>
      <c r="T346" s="1685"/>
      <c r="U346" s="3"/>
      <c r="V346" s="96"/>
      <c r="W346" s="1265"/>
      <c r="X346" s="3"/>
      <c r="Y346" s="3"/>
      <c r="Z346" s="1569"/>
      <c r="AA346" s="96"/>
    </row>
    <row r="347" spans="1:27" ht="15">
      <c r="A347" s="3"/>
      <c r="B347" s="3"/>
      <c r="C347" s="1536"/>
      <c r="D347" s="96"/>
      <c r="E347" s="3"/>
      <c r="F347" s="96"/>
      <c r="G347" s="3"/>
      <c r="H347" s="96"/>
      <c r="I347" s="3"/>
      <c r="J347" s="96"/>
      <c r="K347" s="3"/>
      <c r="L347" s="96"/>
      <c r="M347" s="3"/>
      <c r="N347" s="96"/>
      <c r="O347" s="3"/>
      <c r="P347" s="96"/>
      <c r="Q347" s="1265"/>
      <c r="R347" s="3"/>
      <c r="S347" s="3"/>
      <c r="T347" s="1685"/>
      <c r="U347" s="3"/>
      <c r="V347" s="96"/>
      <c r="W347" s="1265"/>
      <c r="X347" s="3"/>
      <c r="Y347" s="3"/>
      <c r="Z347" s="1569"/>
      <c r="AA347" s="96"/>
    </row>
    <row r="348" spans="1:27" ht="15">
      <c r="A348" s="3"/>
      <c r="B348" s="3"/>
      <c r="C348" s="1536"/>
      <c r="D348" s="96"/>
      <c r="E348" s="3"/>
      <c r="F348" s="96"/>
      <c r="G348" s="3"/>
      <c r="H348" s="96"/>
      <c r="I348" s="3"/>
      <c r="J348" s="96"/>
      <c r="K348" s="3"/>
      <c r="L348" s="96"/>
      <c r="M348" s="3"/>
      <c r="N348" s="96"/>
      <c r="O348" s="3"/>
      <c r="P348" s="96"/>
      <c r="Q348" s="1265"/>
      <c r="R348" s="3"/>
      <c r="S348" s="3"/>
      <c r="T348" s="1685"/>
      <c r="U348" s="3"/>
      <c r="V348" s="96"/>
      <c r="W348" s="1265"/>
      <c r="X348" s="3"/>
      <c r="Y348" s="3"/>
      <c r="Z348" s="1569"/>
      <c r="AA348" s="96"/>
    </row>
    <row r="349" spans="1:27" ht="15">
      <c r="A349" s="3"/>
      <c r="B349" s="3"/>
      <c r="C349" s="1536"/>
      <c r="D349" s="96"/>
      <c r="E349" s="3"/>
      <c r="F349" s="96"/>
      <c r="G349" s="3"/>
      <c r="H349" s="96"/>
      <c r="I349" s="3"/>
      <c r="J349" s="96"/>
      <c r="K349" s="3"/>
      <c r="L349" s="96"/>
      <c r="M349" s="3"/>
      <c r="N349" s="96"/>
      <c r="O349" s="3"/>
      <c r="P349" s="96"/>
      <c r="Q349" s="1265"/>
      <c r="R349" s="3"/>
      <c r="S349" s="3"/>
      <c r="T349" s="1685"/>
      <c r="U349" s="3"/>
      <c r="V349" s="96"/>
      <c r="W349" s="1265"/>
      <c r="X349" s="3"/>
      <c r="Y349" s="3"/>
      <c r="Z349" s="1569"/>
      <c r="AA349" s="96"/>
    </row>
    <row r="350" spans="1:27" ht="15">
      <c r="A350" s="3"/>
      <c r="B350" s="3"/>
      <c r="C350" s="1536"/>
      <c r="D350" s="96"/>
      <c r="E350" s="3"/>
      <c r="F350" s="96"/>
      <c r="G350" s="3"/>
      <c r="H350" s="96"/>
      <c r="I350" s="3"/>
      <c r="J350" s="96"/>
      <c r="K350" s="3"/>
      <c r="L350" s="96"/>
      <c r="M350" s="3"/>
      <c r="N350" s="96"/>
      <c r="O350" s="3"/>
      <c r="P350" s="96"/>
      <c r="Q350" s="1265"/>
      <c r="R350" s="3"/>
      <c r="S350" s="3"/>
      <c r="T350" s="1685"/>
      <c r="U350" s="3"/>
      <c r="V350" s="96"/>
      <c r="W350" s="1265"/>
      <c r="X350" s="3"/>
      <c r="Y350" s="3"/>
      <c r="Z350" s="1569"/>
      <c r="AA350" s="96"/>
    </row>
    <row r="351" spans="1:27" ht="15">
      <c r="A351" s="3"/>
      <c r="B351" s="3"/>
      <c r="C351" s="1536"/>
      <c r="D351" s="96"/>
      <c r="E351" s="3"/>
      <c r="F351" s="96"/>
      <c r="G351" s="3"/>
      <c r="H351" s="96"/>
      <c r="I351" s="3"/>
      <c r="J351" s="96"/>
      <c r="K351" s="3"/>
      <c r="L351" s="96"/>
      <c r="M351" s="3"/>
      <c r="N351" s="96"/>
      <c r="O351" s="3"/>
      <c r="P351" s="96"/>
      <c r="Q351" s="1265"/>
      <c r="R351" s="3"/>
      <c r="S351" s="3"/>
      <c r="T351" s="1685"/>
      <c r="U351" s="3"/>
      <c r="V351" s="96"/>
      <c r="W351" s="1265"/>
      <c r="X351" s="3"/>
      <c r="Y351" s="3"/>
      <c r="Z351" s="1569"/>
      <c r="AA351" s="96"/>
    </row>
    <row r="352" spans="1:27" ht="15">
      <c r="A352" s="3"/>
      <c r="B352" s="3"/>
      <c r="C352" s="1536"/>
      <c r="D352" s="96"/>
      <c r="E352" s="3"/>
      <c r="F352" s="96"/>
      <c r="G352" s="3"/>
      <c r="H352" s="96"/>
      <c r="I352" s="3"/>
      <c r="J352" s="96"/>
      <c r="K352" s="3"/>
      <c r="L352" s="96"/>
      <c r="M352" s="3"/>
      <c r="N352" s="96"/>
      <c r="O352" s="3"/>
      <c r="P352" s="96"/>
      <c r="Q352" s="1265"/>
      <c r="R352" s="3"/>
      <c r="S352" s="3"/>
      <c r="T352" s="1685"/>
      <c r="U352" s="3"/>
      <c r="V352" s="96"/>
      <c r="W352" s="1265"/>
      <c r="X352" s="3"/>
      <c r="Y352" s="3"/>
      <c r="Z352" s="1569"/>
      <c r="AA352" s="96"/>
    </row>
    <row r="353" spans="1:27" ht="15">
      <c r="A353" s="3"/>
      <c r="B353" s="3"/>
      <c r="C353" s="1536"/>
      <c r="D353" s="96"/>
      <c r="E353" s="3"/>
      <c r="F353" s="96"/>
      <c r="G353" s="3"/>
      <c r="H353" s="96"/>
      <c r="I353" s="3"/>
      <c r="J353" s="96"/>
      <c r="K353" s="3"/>
      <c r="L353" s="96"/>
      <c r="M353" s="3"/>
      <c r="N353" s="96"/>
      <c r="O353" s="3"/>
      <c r="P353" s="96"/>
      <c r="Q353" s="1265"/>
      <c r="R353" s="3"/>
      <c r="S353" s="3"/>
      <c r="T353" s="1685"/>
      <c r="U353" s="3"/>
      <c r="V353" s="96"/>
      <c r="W353" s="1265"/>
      <c r="X353" s="3"/>
      <c r="Y353" s="3"/>
      <c r="Z353" s="1569"/>
      <c r="AA353" s="96"/>
    </row>
    <row r="354" spans="1:27" ht="15">
      <c r="A354" s="3"/>
      <c r="B354" s="3"/>
      <c r="C354" s="1536"/>
      <c r="D354" s="96"/>
      <c r="E354" s="3"/>
      <c r="F354" s="96"/>
      <c r="G354" s="3"/>
      <c r="H354" s="96"/>
      <c r="I354" s="3"/>
      <c r="J354" s="96"/>
      <c r="K354" s="3"/>
      <c r="L354" s="96"/>
      <c r="M354" s="3"/>
      <c r="N354" s="96"/>
      <c r="O354" s="3"/>
      <c r="P354" s="96"/>
      <c r="Q354" s="1265"/>
      <c r="R354" s="3"/>
      <c r="S354" s="3"/>
      <c r="T354" s="1685"/>
      <c r="U354" s="3"/>
      <c r="V354" s="96"/>
      <c r="W354" s="1265"/>
      <c r="X354" s="3"/>
      <c r="Y354" s="3"/>
      <c r="Z354" s="1569"/>
      <c r="AA354" s="96"/>
    </row>
    <row r="355" spans="1:27" ht="15">
      <c r="A355" s="3"/>
      <c r="B355" s="3"/>
      <c r="C355" s="1536"/>
      <c r="D355" s="96"/>
      <c r="E355" s="3"/>
      <c r="F355" s="96"/>
      <c r="G355" s="3"/>
      <c r="H355" s="96"/>
      <c r="I355" s="3"/>
      <c r="J355" s="96"/>
      <c r="K355" s="3"/>
      <c r="L355" s="96"/>
      <c r="M355" s="3"/>
      <c r="N355" s="96"/>
      <c r="O355" s="3"/>
      <c r="P355" s="96"/>
      <c r="Q355" s="1265"/>
      <c r="R355" s="3"/>
      <c r="S355" s="3"/>
      <c r="T355" s="1685"/>
      <c r="U355" s="3"/>
      <c r="V355" s="96"/>
      <c r="W355" s="1265"/>
      <c r="X355" s="3"/>
      <c r="Y355" s="3"/>
      <c r="Z355" s="1569"/>
      <c r="AA355" s="96"/>
    </row>
    <row r="356" spans="1:27" ht="15">
      <c r="A356" s="3"/>
      <c r="B356" s="3"/>
      <c r="C356" s="1536"/>
      <c r="D356" s="96"/>
      <c r="E356" s="3"/>
      <c r="F356" s="96"/>
      <c r="G356" s="3"/>
      <c r="H356" s="96"/>
      <c r="I356" s="3"/>
      <c r="J356" s="96"/>
      <c r="K356" s="3"/>
      <c r="L356" s="96"/>
      <c r="M356" s="3"/>
      <c r="N356" s="96"/>
      <c r="O356" s="3"/>
      <c r="P356" s="96"/>
      <c r="Q356" s="1265"/>
      <c r="R356" s="3"/>
      <c r="S356" s="3"/>
      <c r="T356" s="1685"/>
      <c r="U356" s="3"/>
      <c r="V356" s="96"/>
      <c r="W356" s="1265"/>
      <c r="X356" s="3"/>
      <c r="Y356" s="3"/>
      <c r="Z356" s="1569"/>
      <c r="AA356" s="96"/>
    </row>
    <row r="357" spans="1:27" ht="15">
      <c r="A357" s="3"/>
      <c r="B357" s="3"/>
      <c r="C357" s="1536"/>
      <c r="D357" s="96"/>
      <c r="E357" s="3"/>
      <c r="F357" s="96"/>
      <c r="G357" s="3"/>
      <c r="H357" s="96"/>
      <c r="I357" s="3"/>
      <c r="J357" s="96"/>
      <c r="K357" s="3"/>
      <c r="L357" s="96"/>
      <c r="M357" s="3"/>
      <c r="N357" s="96"/>
      <c r="O357" s="3"/>
      <c r="P357" s="96"/>
      <c r="Q357" s="1265"/>
      <c r="R357" s="3"/>
      <c r="S357" s="3"/>
      <c r="T357" s="1685"/>
      <c r="U357" s="3"/>
      <c r="V357" s="96"/>
      <c r="W357" s="1265"/>
      <c r="X357" s="3"/>
      <c r="Y357" s="3"/>
      <c r="Z357" s="1569"/>
      <c r="AA357" s="96"/>
    </row>
    <row r="358" spans="1:27" ht="15">
      <c r="A358" s="3"/>
      <c r="B358" s="3"/>
      <c r="C358" s="1536"/>
      <c r="D358" s="96"/>
      <c r="E358" s="3"/>
      <c r="F358" s="96"/>
      <c r="G358" s="3"/>
      <c r="H358" s="96"/>
      <c r="I358" s="3"/>
      <c r="J358" s="96"/>
      <c r="K358" s="3"/>
      <c r="L358" s="96"/>
      <c r="M358" s="3"/>
      <c r="N358" s="96"/>
      <c r="O358" s="3"/>
      <c r="P358" s="96"/>
      <c r="Q358" s="1265"/>
      <c r="R358" s="3"/>
      <c r="S358" s="3"/>
      <c r="T358" s="1685"/>
      <c r="U358" s="3"/>
      <c r="V358" s="96"/>
      <c r="W358" s="1265"/>
      <c r="X358" s="3"/>
      <c r="Y358" s="3"/>
      <c r="Z358" s="1569"/>
      <c r="AA358" s="96"/>
    </row>
    <row r="359" spans="1:27" ht="15">
      <c r="A359" s="3"/>
      <c r="B359" s="3"/>
      <c r="C359" s="1536"/>
      <c r="D359" s="96"/>
      <c r="E359" s="3"/>
      <c r="F359" s="96"/>
      <c r="G359" s="3"/>
      <c r="H359" s="96"/>
      <c r="I359" s="3"/>
      <c r="J359" s="96"/>
      <c r="K359" s="3"/>
      <c r="L359" s="96"/>
      <c r="M359" s="3"/>
      <c r="N359" s="96"/>
      <c r="O359" s="3"/>
      <c r="P359" s="96"/>
      <c r="Q359" s="1265"/>
      <c r="R359" s="3"/>
      <c r="S359" s="3"/>
      <c r="T359" s="1685"/>
      <c r="U359" s="3"/>
      <c r="V359" s="96"/>
      <c r="W359" s="1265"/>
      <c r="X359" s="3"/>
      <c r="Y359" s="3"/>
      <c r="Z359" s="1569"/>
      <c r="AA359" s="96"/>
    </row>
    <row r="360" spans="1:27" ht="15">
      <c r="A360" s="3"/>
      <c r="B360" s="3"/>
      <c r="C360" s="1536"/>
      <c r="D360" s="96"/>
      <c r="E360" s="3"/>
      <c r="F360" s="96"/>
      <c r="G360" s="3"/>
      <c r="H360" s="96"/>
      <c r="I360" s="3"/>
      <c r="J360" s="96"/>
      <c r="K360" s="3"/>
      <c r="L360" s="96"/>
      <c r="M360" s="3"/>
      <c r="N360" s="96"/>
      <c r="O360" s="3"/>
      <c r="P360" s="96"/>
      <c r="Q360" s="1265"/>
      <c r="R360" s="3"/>
      <c r="S360" s="3"/>
      <c r="T360" s="1685"/>
      <c r="U360" s="3"/>
      <c r="V360" s="96"/>
      <c r="W360" s="1265"/>
      <c r="X360" s="3"/>
      <c r="Y360" s="3"/>
      <c r="Z360" s="1569"/>
      <c r="AA360" s="96"/>
    </row>
    <row r="361" spans="1:27" ht="15">
      <c r="A361" s="3"/>
      <c r="B361" s="3"/>
      <c r="C361" s="1536"/>
      <c r="D361" s="96"/>
      <c r="E361" s="3"/>
      <c r="F361" s="96"/>
      <c r="G361" s="3"/>
      <c r="H361" s="96"/>
      <c r="I361" s="3"/>
      <c r="J361" s="96"/>
      <c r="K361" s="3"/>
      <c r="L361" s="96"/>
      <c r="M361" s="3"/>
      <c r="N361" s="96"/>
      <c r="O361" s="3"/>
      <c r="P361" s="96"/>
      <c r="Q361" s="1265"/>
      <c r="R361" s="3"/>
      <c r="S361" s="3"/>
      <c r="T361" s="1685"/>
      <c r="U361" s="3"/>
      <c r="V361" s="96"/>
      <c r="W361" s="1265"/>
      <c r="X361" s="3"/>
      <c r="Y361" s="3"/>
      <c r="Z361" s="1569"/>
      <c r="AA361" s="96"/>
    </row>
    <row r="362" spans="1:27" ht="15">
      <c r="A362" s="3"/>
      <c r="B362" s="3"/>
      <c r="C362" s="1536"/>
      <c r="D362" s="96"/>
      <c r="E362" s="3"/>
      <c r="F362" s="96"/>
      <c r="G362" s="3"/>
      <c r="H362" s="96"/>
      <c r="I362" s="3"/>
      <c r="J362" s="96"/>
      <c r="K362" s="3"/>
      <c r="L362" s="96"/>
      <c r="M362" s="3"/>
      <c r="N362" s="96"/>
      <c r="O362" s="3"/>
      <c r="P362" s="96"/>
      <c r="Q362" s="1265"/>
      <c r="R362" s="3"/>
      <c r="S362" s="3"/>
      <c r="T362" s="1685"/>
      <c r="U362" s="3"/>
      <c r="V362" s="96"/>
      <c r="W362" s="1265"/>
      <c r="X362" s="3"/>
      <c r="Y362" s="3"/>
      <c r="Z362" s="1569"/>
      <c r="AA362" s="96"/>
    </row>
    <row r="363" spans="1:27" ht="15">
      <c r="A363" s="3"/>
      <c r="B363" s="3"/>
      <c r="C363" s="1536"/>
      <c r="D363" s="96"/>
      <c r="E363" s="3"/>
      <c r="F363" s="96"/>
      <c r="G363" s="3"/>
      <c r="H363" s="96"/>
      <c r="I363" s="3"/>
      <c r="J363" s="96"/>
      <c r="K363" s="3"/>
      <c r="L363" s="96"/>
      <c r="M363" s="3"/>
      <c r="N363" s="96"/>
      <c r="O363" s="3"/>
      <c r="P363" s="96"/>
      <c r="Q363" s="1265"/>
      <c r="R363" s="3"/>
      <c r="S363" s="3"/>
      <c r="T363" s="1685"/>
      <c r="U363" s="3"/>
      <c r="V363" s="96"/>
      <c r="W363" s="1265"/>
      <c r="X363" s="3"/>
      <c r="Y363" s="3"/>
      <c r="Z363" s="1569"/>
      <c r="AA363" s="96"/>
    </row>
    <row r="364" spans="1:27" ht="15">
      <c r="A364" s="3"/>
      <c r="B364" s="3"/>
      <c r="C364" s="1536"/>
      <c r="D364" s="96"/>
      <c r="E364" s="3"/>
      <c r="F364" s="96"/>
      <c r="G364" s="3"/>
      <c r="H364" s="96"/>
      <c r="I364" s="3"/>
      <c r="J364" s="96"/>
      <c r="K364" s="3"/>
      <c r="L364" s="96"/>
      <c r="M364" s="3"/>
      <c r="N364" s="96"/>
      <c r="O364" s="3"/>
      <c r="P364" s="96"/>
      <c r="Q364" s="1265"/>
      <c r="R364" s="3"/>
      <c r="S364" s="3"/>
      <c r="T364" s="1685"/>
      <c r="U364" s="3"/>
      <c r="V364" s="96"/>
      <c r="W364" s="1265"/>
      <c r="X364" s="3"/>
      <c r="Y364" s="3"/>
      <c r="Z364" s="1569"/>
      <c r="AA364" s="96"/>
    </row>
    <row r="365" spans="1:27" ht="15">
      <c r="A365" s="3"/>
      <c r="B365" s="3"/>
      <c r="C365" s="1536"/>
      <c r="D365" s="96"/>
      <c r="E365" s="3"/>
      <c r="F365" s="96"/>
      <c r="G365" s="3"/>
      <c r="H365" s="96"/>
      <c r="I365" s="3"/>
      <c r="J365" s="96"/>
      <c r="K365" s="3"/>
      <c r="L365" s="96"/>
      <c r="M365" s="3"/>
      <c r="N365" s="96"/>
      <c r="O365" s="3"/>
      <c r="P365" s="96"/>
      <c r="Q365" s="1265"/>
      <c r="R365" s="3"/>
      <c r="S365" s="3"/>
      <c r="T365" s="1685"/>
      <c r="U365" s="3"/>
      <c r="V365" s="96"/>
      <c r="W365" s="1265"/>
      <c r="X365" s="3"/>
      <c r="Y365" s="3"/>
      <c r="Z365" s="1569"/>
      <c r="AA365" s="96"/>
    </row>
    <row r="366" spans="1:27" ht="15">
      <c r="A366" s="3"/>
      <c r="B366" s="3"/>
      <c r="C366" s="1536"/>
      <c r="D366" s="96"/>
      <c r="E366" s="3"/>
      <c r="F366" s="96"/>
      <c r="G366" s="3"/>
      <c r="H366" s="96"/>
      <c r="I366" s="3"/>
      <c r="J366" s="96"/>
      <c r="K366" s="3"/>
      <c r="L366" s="96"/>
      <c r="M366" s="3"/>
      <c r="N366" s="96"/>
      <c r="O366" s="3"/>
      <c r="P366" s="96"/>
      <c r="Q366" s="1265"/>
      <c r="R366" s="3"/>
      <c r="S366" s="3"/>
      <c r="T366" s="1685"/>
      <c r="U366" s="3"/>
      <c r="V366" s="96"/>
      <c r="W366" s="1265"/>
      <c r="X366" s="3"/>
      <c r="Y366" s="3"/>
      <c r="Z366" s="1569"/>
      <c r="AA366" s="96"/>
    </row>
    <row r="367" spans="1:27" ht="15">
      <c r="A367" s="3"/>
      <c r="B367" s="3"/>
      <c r="C367" s="1536"/>
      <c r="D367" s="96"/>
      <c r="E367" s="3"/>
      <c r="F367" s="96"/>
      <c r="G367" s="3"/>
      <c r="H367" s="96"/>
      <c r="I367" s="3"/>
      <c r="J367" s="96"/>
      <c r="K367" s="3"/>
      <c r="L367" s="96"/>
      <c r="M367" s="3"/>
      <c r="N367" s="96"/>
      <c r="O367" s="3"/>
      <c r="P367" s="96"/>
      <c r="Q367" s="1265"/>
      <c r="R367" s="3"/>
      <c r="S367" s="3"/>
      <c r="T367" s="1685"/>
      <c r="U367" s="3"/>
      <c r="V367" s="96"/>
      <c r="W367" s="1265"/>
      <c r="X367" s="3"/>
      <c r="Y367" s="3"/>
      <c r="Z367" s="1569"/>
      <c r="AA367" s="96"/>
    </row>
    <row r="368" spans="1:27" ht="15">
      <c r="A368" s="3"/>
      <c r="B368" s="3"/>
      <c r="C368" s="1536"/>
      <c r="D368" s="96"/>
      <c r="E368" s="3"/>
      <c r="F368" s="96"/>
      <c r="G368" s="3"/>
      <c r="H368" s="96"/>
      <c r="I368" s="3"/>
      <c r="J368" s="96"/>
      <c r="K368" s="3"/>
      <c r="L368" s="96"/>
      <c r="M368" s="3"/>
      <c r="N368" s="96"/>
      <c r="O368" s="3"/>
      <c r="P368" s="96"/>
      <c r="Q368" s="1265"/>
      <c r="R368" s="3"/>
      <c r="S368" s="3"/>
      <c r="T368" s="1685"/>
      <c r="U368" s="3"/>
      <c r="V368" s="96"/>
      <c r="W368" s="1265"/>
      <c r="X368" s="3"/>
      <c r="Y368" s="3"/>
      <c r="Z368" s="1569"/>
      <c r="AA368" s="96"/>
    </row>
    <row r="369" spans="1:27" ht="15">
      <c r="A369" s="3"/>
      <c r="B369" s="3"/>
      <c r="C369" s="1536"/>
      <c r="D369" s="96"/>
      <c r="E369" s="3"/>
      <c r="F369" s="96"/>
      <c r="G369" s="3"/>
      <c r="H369" s="96"/>
      <c r="I369" s="3"/>
      <c r="J369" s="96"/>
      <c r="K369" s="3"/>
      <c r="L369" s="96"/>
      <c r="M369" s="3"/>
      <c r="N369" s="96"/>
      <c r="O369" s="3"/>
      <c r="P369" s="96"/>
      <c r="Q369" s="1265"/>
      <c r="R369" s="3"/>
      <c r="S369" s="3"/>
      <c r="T369" s="1685"/>
      <c r="U369" s="3"/>
      <c r="V369" s="96"/>
      <c r="W369" s="1265"/>
      <c r="X369" s="3"/>
      <c r="Y369" s="3"/>
      <c r="Z369" s="1569"/>
      <c r="AA369" s="96"/>
    </row>
    <row r="370" spans="1:27" ht="15">
      <c r="A370" s="3"/>
      <c r="B370" s="3"/>
      <c r="C370" s="1536"/>
      <c r="D370" s="96"/>
      <c r="E370" s="3"/>
      <c r="F370" s="96"/>
      <c r="G370" s="3"/>
      <c r="H370" s="96"/>
      <c r="I370" s="3"/>
      <c r="J370" s="96"/>
      <c r="K370" s="3"/>
      <c r="L370" s="96"/>
      <c r="M370" s="3"/>
      <c r="N370" s="96"/>
      <c r="O370" s="3"/>
      <c r="P370" s="96"/>
      <c r="Q370" s="1265"/>
      <c r="R370" s="3"/>
      <c r="S370" s="3"/>
      <c r="T370" s="1685"/>
      <c r="U370" s="3"/>
      <c r="V370" s="96"/>
      <c r="W370" s="1265"/>
      <c r="X370" s="3"/>
      <c r="Y370" s="3"/>
      <c r="Z370" s="1569"/>
      <c r="AA370" s="96"/>
    </row>
    <row r="371" spans="1:27" ht="15">
      <c r="A371" s="3"/>
      <c r="B371" s="3"/>
      <c r="C371" s="1536"/>
      <c r="D371" s="96"/>
      <c r="E371" s="3"/>
      <c r="F371" s="96"/>
      <c r="G371" s="3"/>
      <c r="H371" s="96"/>
      <c r="I371" s="3"/>
      <c r="J371" s="96"/>
      <c r="K371" s="3"/>
      <c r="L371" s="96"/>
      <c r="M371" s="3"/>
      <c r="N371" s="96"/>
      <c r="O371" s="3"/>
      <c r="P371" s="96"/>
      <c r="Q371" s="1265"/>
      <c r="R371" s="3"/>
      <c r="S371" s="3"/>
      <c r="T371" s="1685"/>
      <c r="U371" s="3"/>
      <c r="V371" s="96"/>
      <c r="W371" s="1265"/>
      <c r="X371" s="3"/>
      <c r="Y371" s="3"/>
      <c r="Z371" s="1569"/>
      <c r="AA371" s="96"/>
    </row>
    <row r="372" spans="1:27" ht="15">
      <c r="A372" s="3"/>
      <c r="B372" s="3"/>
      <c r="C372" s="1536"/>
      <c r="D372" s="96"/>
      <c r="E372" s="3"/>
      <c r="F372" s="96"/>
      <c r="G372" s="3"/>
      <c r="H372" s="96"/>
      <c r="I372" s="3"/>
      <c r="J372" s="96"/>
      <c r="K372" s="3"/>
      <c r="L372" s="96"/>
      <c r="M372" s="3"/>
      <c r="N372" s="96"/>
      <c r="O372" s="3"/>
      <c r="P372" s="96"/>
      <c r="Q372" s="1265"/>
      <c r="R372" s="3"/>
      <c r="S372" s="3"/>
      <c r="T372" s="1685"/>
      <c r="U372" s="3"/>
      <c r="V372" s="96"/>
      <c r="W372" s="1265"/>
      <c r="X372" s="3"/>
      <c r="Y372" s="3"/>
      <c r="Z372" s="1569"/>
      <c r="AA372" s="96"/>
    </row>
    <row r="373" spans="1:27" ht="15">
      <c r="A373" s="3"/>
      <c r="B373" s="3"/>
      <c r="C373" s="1536"/>
      <c r="D373" s="96"/>
      <c r="E373" s="3"/>
      <c r="F373" s="96"/>
      <c r="G373" s="3"/>
      <c r="H373" s="96"/>
      <c r="I373" s="3"/>
      <c r="J373" s="96"/>
      <c r="K373" s="3"/>
      <c r="L373" s="96"/>
      <c r="M373" s="3"/>
      <c r="N373" s="96"/>
      <c r="O373" s="3"/>
      <c r="P373" s="96"/>
      <c r="Q373" s="1265"/>
      <c r="R373" s="3"/>
      <c r="S373" s="3"/>
      <c r="T373" s="1685"/>
      <c r="U373" s="3"/>
      <c r="V373" s="96"/>
      <c r="W373" s="1265"/>
      <c r="X373" s="3"/>
      <c r="Y373" s="3"/>
      <c r="Z373" s="1569"/>
      <c r="AA373" s="96"/>
    </row>
    <row r="374" spans="1:27" ht="15">
      <c r="A374" s="3"/>
      <c r="B374" s="3"/>
      <c r="C374" s="1536"/>
      <c r="D374" s="96"/>
      <c r="E374" s="3"/>
      <c r="F374" s="96"/>
      <c r="G374" s="3"/>
      <c r="H374" s="96"/>
      <c r="I374" s="3"/>
      <c r="J374" s="96"/>
      <c r="K374" s="3"/>
      <c r="L374" s="96"/>
      <c r="M374" s="3"/>
      <c r="N374" s="96"/>
      <c r="O374" s="3"/>
      <c r="P374" s="96"/>
      <c r="Q374" s="1265"/>
      <c r="R374" s="3"/>
      <c r="S374" s="3"/>
      <c r="T374" s="1685"/>
      <c r="U374" s="3"/>
      <c r="V374" s="96"/>
      <c r="W374" s="1265"/>
      <c r="X374" s="3"/>
      <c r="Y374" s="3"/>
      <c r="Z374" s="1569"/>
      <c r="AA374" s="96"/>
    </row>
    <row r="375" spans="1:27" ht="15">
      <c r="A375" s="3"/>
      <c r="B375" s="3"/>
      <c r="C375" s="1536"/>
      <c r="D375" s="96"/>
      <c r="E375" s="3"/>
      <c r="F375" s="96"/>
      <c r="G375" s="3"/>
      <c r="H375" s="96"/>
      <c r="I375" s="3"/>
      <c r="J375" s="96"/>
      <c r="K375" s="3"/>
      <c r="L375" s="96"/>
      <c r="M375" s="3"/>
      <c r="N375" s="96"/>
      <c r="O375" s="3"/>
      <c r="P375" s="96"/>
      <c r="Q375" s="1265"/>
      <c r="R375" s="3"/>
      <c r="S375" s="3"/>
      <c r="T375" s="1685"/>
      <c r="U375" s="3"/>
      <c r="V375" s="96"/>
      <c r="W375" s="1265"/>
      <c r="X375" s="3"/>
      <c r="Y375" s="3"/>
      <c r="Z375" s="1569"/>
      <c r="AA375" s="96"/>
    </row>
    <row r="376" spans="1:27" ht="15">
      <c r="A376" s="3"/>
      <c r="B376" s="3"/>
      <c r="C376" s="1536"/>
      <c r="D376" s="96"/>
      <c r="E376" s="3"/>
      <c r="F376" s="96"/>
      <c r="G376" s="3"/>
      <c r="H376" s="96"/>
      <c r="I376" s="3"/>
      <c r="J376" s="96"/>
      <c r="K376" s="3"/>
      <c r="L376" s="96"/>
      <c r="M376" s="3"/>
      <c r="N376" s="96"/>
      <c r="O376" s="3"/>
      <c r="P376" s="96"/>
      <c r="Q376" s="1265"/>
      <c r="R376" s="3"/>
      <c r="S376" s="3"/>
      <c r="T376" s="1685"/>
      <c r="U376" s="3"/>
      <c r="V376" s="96"/>
      <c r="W376" s="1265"/>
      <c r="X376" s="3"/>
      <c r="Y376" s="3"/>
      <c r="Z376" s="1569"/>
      <c r="AA376" s="96"/>
    </row>
    <row r="377" spans="1:27" ht="15">
      <c r="A377" s="3"/>
      <c r="B377" s="3"/>
      <c r="C377" s="1536"/>
      <c r="D377" s="96"/>
      <c r="E377" s="3"/>
      <c r="F377" s="96"/>
      <c r="G377" s="3"/>
      <c r="H377" s="96"/>
      <c r="I377" s="3"/>
      <c r="J377" s="96"/>
      <c r="K377" s="3"/>
      <c r="L377" s="96"/>
      <c r="M377" s="3"/>
      <c r="N377" s="96"/>
      <c r="O377" s="3"/>
      <c r="P377" s="96"/>
      <c r="Q377" s="1265"/>
      <c r="R377" s="3"/>
      <c r="S377" s="3"/>
      <c r="T377" s="1685"/>
      <c r="U377" s="3"/>
      <c r="V377" s="96"/>
      <c r="W377" s="1265"/>
      <c r="X377" s="3"/>
      <c r="Y377" s="3"/>
      <c r="Z377" s="1569"/>
      <c r="AA377" s="96"/>
    </row>
    <row r="378" spans="1:27" ht="15">
      <c r="A378" s="3"/>
      <c r="B378" s="3"/>
      <c r="C378" s="1536"/>
      <c r="D378" s="96"/>
      <c r="E378" s="3"/>
      <c r="F378" s="96"/>
      <c r="G378" s="3"/>
      <c r="H378" s="96"/>
      <c r="I378" s="3"/>
      <c r="J378" s="96"/>
      <c r="K378" s="3"/>
      <c r="L378" s="96"/>
      <c r="M378" s="3"/>
      <c r="N378" s="96"/>
      <c r="O378" s="3"/>
      <c r="P378" s="96"/>
      <c r="Q378" s="1265"/>
      <c r="R378" s="3"/>
      <c r="S378" s="3"/>
      <c r="T378" s="1685"/>
      <c r="U378" s="3"/>
      <c r="V378" s="96"/>
      <c r="W378" s="1265"/>
      <c r="X378" s="3"/>
      <c r="Y378" s="3"/>
      <c r="Z378" s="1569"/>
      <c r="AA378" s="96"/>
    </row>
    <row r="379" spans="1:27" ht="15">
      <c r="A379" s="3"/>
      <c r="B379" s="3"/>
      <c r="C379" s="1536"/>
      <c r="D379" s="96"/>
      <c r="E379" s="3"/>
      <c r="F379" s="96"/>
      <c r="G379" s="3"/>
      <c r="H379" s="96"/>
      <c r="I379" s="3"/>
      <c r="J379" s="96"/>
      <c r="K379" s="3"/>
      <c r="L379" s="96"/>
      <c r="M379" s="3"/>
      <c r="N379" s="96"/>
      <c r="O379" s="3"/>
      <c r="P379" s="96"/>
      <c r="Q379" s="1265"/>
      <c r="R379" s="3"/>
      <c r="S379" s="3"/>
      <c r="T379" s="1685"/>
      <c r="U379" s="3"/>
      <c r="V379" s="96"/>
      <c r="W379" s="1265"/>
      <c r="X379" s="3"/>
      <c r="Y379" s="3"/>
      <c r="Z379" s="1569"/>
      <c r="AA379" s="96"/>
    </row>
    <row r="380" spans="1:27" ht="15">
      <c r="A380" s="3"/>
      <c r="B380" s="3"/>
      <c r="C380" s="1536"/>
      <c r="D380" s="96"/>
      <c r="E380" s="3"/>
      <c r="F380" s="96"/>
      <c r="G380" s="3"/>
      <c r="H380" s="96"/>
      <c r="I380" s="3"/>
      <c r="J380" s="96"/>
      <c r="K380" s="3"/>
      <c r="L380" s="96"/>
      <c r="M380" s="3"/>
      <c r="N380" s="96"/>
      <c r="O380" s="3"/>
      <c r="P380" s="96"/>
      <c r="Q380" s="1265"/>
      <c r="R380" s="3"/>
      <c r="S380" s="3"/>
      <c r="T380" s="1685"/>
      <c r="U380" s="3"/>
      <c r="V380" s="96"/>
      <c r="W380" s="1265"/>
      <c r="X380" s="3"/>
      <c r="Y380" s="3"/>
      <c r="Z380" s="1569"/>
      <c r="AA380" s="96"/>
    </row>
    <row r="381" spans="1:27" ht="15">
      <c r="A381" s="3"/>
      <c r="B381" s="3"/>
      <c r="C381" s="1536"/>
      <c r="D381" s="96"/>
      <c r="E381" s="3"/>
      <c r="F381" s="96"/>
      <c r="G381" s="3"/>
      <c r="H381" s="96"/>
      <c r="I381" s="3"/>
      <c r="J381" s="96"/>
      <c r="K381" s="3"/>
      <c r="L381" s="96"/>
      <c r="M381" s="3"/>
      <c r="N381" s="96"/>
      <c r="O381" s="3"/>
      <c r="P381" s="96"/>
      <c r="Q381" s="1265"/>
      <c r="R381" s="3"/>
      <c r="S381" s="3"/>
      <c r="T381" s="1685"/>
      <c r="U381" s="3"/>
      <c r="V381" s="96"/>
      <c r="W381" s="1265"/>
      <c r="X381" s="3"/>
      <c r="Y381" s="3"/>
      <c r="Z381" s="1569"/>
      <c r="AA381" s="96"/>
    </row>
    <row r="382" spans="1:27" ht="15">
      <c r="A382" s="3"/>
      <c r="B382" s="3"/>
      <c r="C382" s="1536"/>
      <c r="D382" s="96"/>
      <c r="E382" s="3"/>
      <c r="F382" s="96"/>
      <c r="G382" s="3"/>
      <c r="H382" s="96"/>
      <c r="I382" s="3"/>
      <c r="J382" s="96"/>
      <c r="K382" s="3"/>
      <c r="L382" s="96"/>
      <c r="M382" s="3"/>
      <c r="N382" s="96"/>
      <c r="O382" s="3"/>
      <c r="P382" s="96"/>
      <c r="Q382" s="1265"/>
      <c r="R382" s="3"/>
      <c r="S382" s="3"/>
      <c r="T382" s="1685"/>
      <c r="U382" s="3"/>
      <c r="V382" s="96"/>
      <c r="W382" s="1265"/>
      <c r="X382" s="3"/>
      <c r="Y382" s="3"/>
      <c r="Z382" s="1569"/>
      <c r="AA382" s="96"/>
    </row>
    <row r="383" spans="1:27" ht="15">
      <c r="A383" s="3"/>
      <c r="B383" s="3"/>
      <c r="C383" s="1536"/>
      <c r="D383" s="96"/>
      <c r="E383" s="3"/>
      <c r="F383" s="96"/>
      <c r="G383" s="3"/>
      <c r="H383" s="96"/>
      <c r="I383" s="3"/>
      <c r="J383" s="96"/>
      <c r="K383" s="3"/>
      <c r="L383" s="96"/>
      <c r="M383" s="3"/>
      <c r="N383" s="96"/>
      <c r="O383" s="3"/>
      <c r="P383" s="96"/>
      <c r="Q383" s="1265"/>
      <c r="R383" s="3"/>
      <c r="S383" s="3"/>
      <c r="T383" s="1685"/>
      <c r="U383" s="3"/>
      <c r="V383" s="96"/>
      <c r="W383" s="1265"/>
      <c r="X383" s="3"/>
      <c r="Y383" s="3"/>
      <c r="Z383" s="1569"/>
      <c r="AA383" s="96"/>
    </row>
    <row r="384" spans="1:27" ht="15">
      <c r="A384" s="3"/>
      <c r="B384" s="3"/>
      <c r="C384" s="1536"/>
      <c r="D384" s="96"/>
      <c r="E384" s="3"/>
      <c r="F384" s="96"/>
      <c r="G384" s="3"/>
      <c r="H384" s="96"/>
      <c r="I384" s="3"/>
      <c r="J384" s="96"/>
      <c r="K384" s="3"/>
      <c r="L384" s="96"/>
      <c r="M384" s="3"/>
      <c r="N384" s="96"/>
      <c r="O384" s="3"/>
      <c r="P384" s="96"/>
      <c r="Q384" s="1265"/>
      <c r="R384" s="3"/>
      <c r="S384" s="3"/>
      <c r="T384" s="1685"/>
      <c r="U384" s="3"/>
      <c r="V384" s="96"/>
      <c r="W384" s="1265"/>
      <c r="X384" s="3"/>
      <c r="Y384" s="3"/>
      <c r="Z384" s="1569"/>
      <c r="AA384" s="96"/>
    </row>
    <row r="385" spans="1:27" ht="15">
      <c r="A385" s="3"/>
      <c r="B385" s="3"/>
      <c r="C385" s="1536"/>
      <c r="D385" s="96"/>
      <c r="E385" s="3"/>
      <c r="F385" s="96"/>
      <c r="G385" s="3"/>
      <c r="H385" s="96"/>
      <c r="I385" s="3"/>
      <c r="J385" s="96"/>
      <c r="K385" s="3"/>
      <c r="L385" s="96"/>
      <c r="M385" s="3"/>
      <c r="N385" s="96"/>
      <c r="O385" s="3"/>
      <c r="P385" s="96"/>
      <c r="Q385" s="1265"/>
      <c r="R385" s="3"/>
      <c r="S385" s="3"/>
      <c r="T385" s="1685"/>
      <c r="U385" s="3"/>
      <c r="V385" s="96"/>
      <c r="W385" s="1265"/>
      <c r="X385" s="3"/>
      <c r="Y385" s="3"/>
      <c r="Z385" s="1569"/>
      <c r="AA385" s="96"/>
    </row>
    <row r="386" spans="1:27" ht="15">
      <c r="A386" s="3"/>
      <c r="B386" s="3"/>
      <c r="C386" s="1536"/>
      <c r="D386" s="96"/>
      <c r="E386" s="3"/>
      <c r="F386" s="96"/>
      <c r="G386" s="3"/>
      <c r="H386" s="96"/>
      <c r="I386" s="3"/>
      <c r="J386" s="96"/>
      <c r="K386" s="3"/>
      <c r="L386" s="96"/>
      <c r="M386" s="3"/>
      <c r="N386" s="96"/>
      <c r="O386" s="3"/>
      <c r="P386" s="96"/>
      <c r="Q386" s="1265"/>
      <c r="R386" s="3"/>
      <c r="S386" s="3"/>
      <c r="T386" s="1685"/>
      <c r="U386" s="3"/>
      <c r="V386" s="96"/>
      <c r="W386" s="1265"/>
      <c r="X386" s="3"/>
      <c r="Y386" s="3"/>
      <c r="Z386" s="1569"/>
      <c r="AA386" s="96"/>
    </row>
    <row r="387" spans="1:27" ht="15">
      <c r="A387" s="3"/>
      <c r="B387" s="3"/>
      <c r="C387" s="1536"/>
      <c r="D387" s="96"/>
      <c r="E387" s="3"/>
      <c r="F387" s="96"/>
      <c r="G387" s="3"/>
      <c r="H387" s="96"/>
      <c r="I387" s="3"/>
      <c r="J387" s="96"/>
      <c r="K387" s="3"/>
      <c r="L387" s="96"/>
      <c r="M387" s="3"/>
      <c r="N387" s="96"/>
      <c r="O387" s="3"/>
      <c r="P387" s="96"/>
      <c r="Q387" s="1265"/>
      <c r="R387" s="3"/>
      <c r="S387" s="3"/>
      <c r="T387" s="1685"/>
      <c r="U387" s="3"/>
      <c r="V387" s="96"/>
      <c r="W387" s="1265"/>
      <c r="X387" s="3"/>
      <c r="Y387" s="3"/>
      <c r="Z387" s="1569"/>
      <c r="AA387" s="96"/>
    </row>
    <row r="388" spans="1:27" ht="15">
      <c r="A388" s="3"/>
      <c r="B388" s="3"/>
      <c r="C388" s="1536"/>
      <c r="D388" s="96"/>
      <c r="E388" s="3"/>
      <c r="F388" s="96"/>
      <c r="G388" s="3"/>
      <c r="H388" s="96"/>
      <c r="I388" s="3"/>
      <c r="J388" s="96"/>
      <c r="K388" s="3"/>
      <c r="L388" s="96"/>
      <c r="M388" s="3"/>
      <c r="N388" s="96"/>
      <c r="O388" s="3"/>
      <c r="P388" s="96"/>
      <c r="Q388" s="1265"/>
      <c r="R388" s="3"/>
      <c r="S388" s="3"/>
      <c r="T388" s="1685"/>
      <c r="U388" s="3"/>
      <c r="V388" s="96"/>
      <c r="W388" s="1265"/>
      <c r="X388" s="3"/>
      <c r="Y388" s="3"/>
      <c r="Z388" s="1569"/>
      <c r="AA388" s="96"/>
    </row>
    <row r="389" spans="1:27" ht="15">
      <c r="A389" s="3"/>
      <c r="B389" s="3"/>
      <c r="C389" s="1536"/>
      <c r="D389" s="96"/>
      <c r="E389" s="3"/>
      <c r="F389" s="96"/>
      <c r="G389" s="3"/>
      <c r="H389" s="96"/>
      <c r="I389" s="3"/>
      <c r="J389" s="96"/>
      <c r="K389" s="3"/>
      <c r="L389" s="96"/>
      <c r="M389" s="3"/>
      <c r="N389" s="96"/>
      <c r="O389" s="3"/>
      <c r="P389" s="96"/>
      <c r="Q389" s="1265"/>
      <c r="R389" s="3"/>
      <c r="S389" s="3"/>
      <c r="T389" s="1685"/>
      <c r="U389" s="3"/>
      <c r="V389" s="96"/>
      <c r="W389" s="1265"/>
      <c r="X389" s="3"/>
      <c r="Y389" s="3"/>
      <c r="Z389" s="1569"/>
      <c r="AA389" s="96"/>
    </row>
    <row r="390" spans="1:27" ht="15">
      <c r="A390" s="3"/>
      <c r="B390" s="3"/>
      <c r="C390" s="1536"/>
      <c r="D390" s="96"/>
      <c r="E390" s="3"/>
      <c r="F390" s="96"/>
      <c r="G390" s="3"/>
      <c r="H390" s="96"/>
      <c r="I390" s="3"/>
      <c r="J390" s="96"/>
      <c r="K390" s="3"/>
      <c r="L390" s="96"/>
      <c r="M390" s="3"/>
      <c r="N390" s="96"/>
      <c r="O390" s="3"/>
      <c r="P390" s="96"/>
      <c r="Q390" s="1265"/>
      <c r="R390" s="3"/>
      <c r="S390" s="3"/>
      <c r="T390" s="1685"/>
      <c r="U390" s="3"/>
      <c r="V390" s="96"/>
      <c r="W390" s="1265"/>
      <c r="X390" s="3"/>
      <c r="Y390" s="3"/>
      <c r="Z390" s="1569"/>
      <c r="AA390" s="96"/>
    </row>
    <row r="391" spans="1:27" ht="15">
      <c r="A391" s="3"/>
      <c r="B391" s="3"/>
      <c r="C391" s="1536"/>
      <c r="D391" s="96"/>
      <c r="E391" s="3"/>
      <c r="F391" s="96"/>
      <c r="G391" s="3"/>
      <c r="H391" s="96"/>
      <c r="I391" s="3"/>
      <c r="J391" s="96"/>
      <c r="K391" s="3"/>
      <c r="L391" s="96"/>
      <c r="M391" s="3"/>
      <c r="N391" s="96"/>
      <c r="O391" s="3"/>
      <c r="P391" s="96"/>
      <c r="Q391" s="1265"/>
      <c r="R391" s="3"/>
      <c r="S391" s="3"/>
      <c r="T391" s="1685"/>
      <c r="U391" s="3"/>
      <c r="V391" s="96"/>
      <c r="W391" s="1265"/>
      <c r="X391" s="3"/>
      <c r="Y391" s="3"/>
      <c r="Z391" s="1569"/>
      <c r="AA391" s="96"/>
    </row>
    <row r="392" spans="1:27" ht="15">
      <c r="A392" s="3"/>
      <c r="B392" s="3"/>
      <c r="C392" s="1536"/>
      <c r="D392" s="96"/>
      <c r="E392" s="3"/>
      <c r="F392" s="96"/>
      <c r="G392" s="3"/>
      <c r="H392" s="96"/>
      <c r="I392" s="3"/>
      <c r="J392" s="96"/>
      <c r="K392" s="3"/>
      <c r="L392" s="96"/>
      <c r="M392" s="3"/>
      <c r="N392" s="96"/>
      <c r="O392" s="3"/>
      <c r="P392" s="96"/>
      <c r="Q392" s="1265"/>
      <c r="R392" s="3"/>
      <c r="S392" s="3"/>
      <c r="T392" s="1685"/>
      <c r="U392" s="3"/>
      <c r="V392" s="96"/>
      <c r="W392" s="1265"/>
      <c r="X392" s="3"/>
      <c r="Y392" s="3"/>
      <c r="Z392" s="1569"/>
      <c r="AA392" s="96"/>
    </row>
    <row r="393" spans="1:27" ht="15">
      <c r="A393" s="3"/>
      <c r="B393" s="3"/>
      <c r="C393" s="1536"/>
      <c r="D393" s="96"/>
      <c r="E393" s="3"/>
      <c r="F393" s="96"/>
      <c r="G393" s="3"/>
      <c r="H393" s="96"/>
      <c r="I393" s="3"/>
      <c r="J393" s="96"/>
      <c r="K393" s="3"/>
      <c r="L393" s="96"/>
      <c r="M393" s="3"/>
      <c r="N393" s="96"/>
      <c r="O393" s="3"/>
      <c r="P393" s="96"/>
      <c r="Q393" s="1265"/>
      <c r="R393" s="3"/>
      <c r="S393" s="3"/>
      <c r="T393" s="1685"/>
      <c r="U393" s="3"/>
      <c r="V393" s="96"/>
      <c r="W393" s="1265"/>
      <c r="X393" s="3"/>
      <c r="Y393" s="3"/>
      <c r="Z393" s="1569"/>
      <c r="AA393" s="96"/>
    </row>
    <row r="394" spans="1:27" ht="15">
      <c r="A394" s="3"/>
      <c r="B394" s="3"/>
      <c r="C394" s="1536"/>
      <c r="D394" s="96"/>
      <c r="E394" s="3"/>
      <c r="F394" s="96"/>
      <c r="G394" s="3"/>
      <c r="H394" s="96"/>
      <c r="I394" s="3"/>
      <c r="J394" s="96"/>
      <c r="K394" s="3"/>
      <c r="L394" s="96"/>
      <c r="M394" s="3"/>
      <c r="N394" s="96"/>
      <c r="O394" s="3"/>
      <c r="P394" s="96"/>
      <c r="Q394" s="1265"/>
      <c r="R394" s="3"/>
      <c r="S394" s="3"/>
      <c r="T394" s="1685"/>
      <c r="U394" s="3"/>
      <c r="V394" s="96"/>
      <c r="W394" s="1265"/>
      <c r="X394" s="3"/>
      <c r="Y394" s="3"/>
      <c r="Z394" s="1569"/>
      <c r="AA394" s="96"/>
    </row>
    <row r="395" spans="1:27" ht="15">
      <c r="A395" s="3"/>
      <c r="B395" s="3"/>
      <c r="C395" s="1536"/>
      <c r="D395" s="96"/>
      <c r="E395" s="3"/>
      <c r="F395" s="96"/>
      <c r="G395" s="3"/>
      <c r="H395" s="96"/>
      <c r="I395" s="3"/>
      <c r="J395" s="96"/>
      <c r="K395" s="3"/>
      <c r="L395" s="96"/>
      <c r="M395" s="3"/>
      <c r="N395" s="96"/>
      <c r="O395" s="3"/>
      <c r="P395" s="96"/>
      <c r="Q395" s="1265"/>
      <c r="R395" s="3"/>
      <c r="S395" s="3"/>
      <c r="T395" s="1685"/>
      <c r="U395" s="3"/>
      <c r="V395" s="96"/>
      <c r="W395" s="1265"/>
      <c r="X395" s="3"/>
      <c r="Y395" s="3"/>
      <c r="Z395" s="1569"/>
      <c r="AA395" s="96"/>
    </row>
    <row r="396" spans="1:27" ht="15">
      <c r="A396" s="3"/>
      <c r="B396" s="3"/>
      <c r="C396" s="1536"/>
      <c r="D396" s="96"/>
      <c r="E396" s="3"/>
      <c r="F396" s="96"/>
      <c r="G396" s="3"/>
      <c r="H396" s="96"/>
      <c r="I396" s="3"/>
      <c r="J396" s="96"/>
      <c r="K396" s="3"/>
      <c r="L396" s="96"/>
      <c r="M396" s="3"/>
      <c r="N396" s="96"/>
      <c r="O396" s="3"/>
      <c r="P396" s="96"/>
      <c r="Q396" s="1265"/>
      <c r="R396" s="3"/>
      <c r="S396" s="3"/>
      <c r="T396" s="1685"/>
      <c r="U396" s="3"/>
      <c r="V396" s="96"/>
      <c r="W396" s="1265"/>
      <c r="X396" s="3"/>
      <c r="Y396" s="3"/>
      <c r="Z396" s="1569"/>
      <c r="AA396" s="96"/>
    </row>
    <row r="397" spans="1:27" ht="15">
      <c r="A397" s="3"/>
      <c r="B397" s="3"/>
      <c r="C397" s="1536"/>
      <c r="D397" s="96"/>
      <c r="E397" s="3"/>
      <c r="F397" s="96"/>
      <c r="G397" s="3"/>
      <c r="H397" s="96"/>
      <c r="I397" s="3"/>
      <c r="J397" s="96"/>
      <c r="K397" s="3"/>
      <c r="L397" s="96"/>
      <c r="M397" s="3"/>
      <c r="N397" s="96"/>
      <c r="O397" s="3"/>
      <c r="P397" s="96"/>
      <c r="Q397" s="1265"/>
      <c r="R397" s="3"/>
      <c r="S397" s="3"/>
      <c r="T397" s="1685"/>
      <c r="U397" s="3"/>
      <c r="V397" s="96"/>
      <c r="W397" s="1265"/>
      <c r="X397" s="3"/>
      <c r="Y397" s="3"/>
      <c r="Z397" s="1569"/>
      <c r="AA397" s="96"/>
    </row>
    <row r="398" spans="1:27" ht="15">
      <c r="A398" s="3"/>
      <c r="B398" s="3"/>
      <c r="C398" s="1536"/>
      <c r="D398" s="96"/>
      <c r="E398" s="3"/>
      <c r="F398" s="96"/>
      <c r="G398" s="3"/>
      <c r="H398" s="96"/>
      <c r="I398" s="3"/>
      <c r="J398" s="96"/>
      <c r="K398" s="3"/>
      <c r="L398" s="96"/>
      <c r="M398" s="3"/>
      <c r="N398" s="96"/>
      <c r="O398" s="3"/>
      <c r="P398" s="96"/>
      <c r="Q398" s="1265"/>
      <c r="R398" s="3"/>
      <c r="S398" s="3"/>
      <c r="T398" s="1685"/>
      <c r="U398" s="3"/>
      <c r="V398" s="96"/>
      <c r="W398" s="1265"/>
      <c r="X398" s="3"/>
      <c r="Y398" s="3"/>
      <c r="Z398" s="1569"/>
      <c r="AA398" s="96"/>
    </row>
    <row r="399" spans="1:27" ht="15">
      <c r="A399" s="3"/>
      <c r="B399" s="3"/>
      <c r="C399" s="1536"/>
      <c r="D399" s="96"/>
      <c r="E399" s="3"/>
      <c r="F399" s="96"/>
      <c r="G399" s="3"/>
      <c r="H399" s="96"/>
      <c r="I399" s="3"/>
      <c r="J399" s="96"/>
      <c r="K399" s="3"/>
      <c r="L399" s="96"/>
      <c r="M399" s="3"/>
      <c r="N399" s="96"/>
      <c r="O399" s="3"/>
      <c r="P399" s="96"/>
      <c r="Q399" s="1265"/>
      <c r="R399" s="3"/>
      <c r="S399" s="3"/>
      <c r="T399" s="1685"/>
      <c r="U399" s="3"/>
      <c r="V399" s="96"/>
      <c r="W399" s="1265"/>
      <c r="X399" s="3"/>
      <c r="Y399" s="3"/>
      <c r="Z399" s="1569"/>
      <c r="AA399" s="96"/>
    </row>
    <row r="400" spans="1:27" ht="15">
      <c r="A400" s="3"/>
      <c r="B400" s="3"/>
      <c r="C400" s="1536"/>
      <c r="D400" s="96"/>
      <c r="E400" s="3"/>
      <c r="F400" s="96"/>
      <c r="G400" s="3"/>
      <c r="H400" s="96"/>
      <c r="I400" s="3"/>
      <c r="J400" s="96"/>
      <c r="K400" s="3"/>
      <c r="L400" s="96"/>
      <c r="M400" s="3"/>
      <c r="N400" s="96"/>
      <c r="O400" s="3"/>
      <c r="P400" s="96"/>
      <c r="Q400" s="1265"/>
      <c r="R400" s="3"/>
      <c r="S400" s="3"/>
      <c r="T400" s="1685"/>
      <c r="U400" s="3"/>
      <c r="V400" s="96"/>
      <c r="W400" s="1265"/>
      <c r="X400" s="3"/>
      <c r="Y400" s="3"/>
      <c r="Z400" s="1569"/>
      <c r="AA400" s="96"/>
    </row>
    <row r="401" spans="1:27" ht="15">
      <c r="A401" s="3"/>
      <c r="B401" s="3"/>
      <c r="C401" s="1536"/>
      <c r="D401" s="96"/>
      <c r="E401" s="3"/>
      <c r="F401" s="96"/>
      <c r="G401" s="3"/>
      <c r="H401" s="96"/>
      <c r="I401" s="3"/>
      <c r="J401" s="96"/>
      <c r="K401" s="3"/>
      <c r="L401" s="96"/>
      <c r="M401" s="3"/>
      <c r="N401" s="96"/>
      <c r="O401" s="3"/>
      <c r="P401" s="96"/>
      <c r="Q401" s="1265"/>
      <c r="R401" s="3"/>
      <c r="S401" s="3"/>
      <c r="T401" s="1685"/>
      <c r="U401" s="3"/>
      <c r="V401" s="96"/>
      <c r="W401" s="1265"/>
      <c r="X401" s="3"/>
      <c r="Y401" s="3"/>
      <c r="Z401" s="1569"/>
      <c r="AA401" s="96"/>
    </row>
    <row r="402" spans="1:27" ht="15">
      <c r="A402" s="3"/>
      <c r="B402" s="3"/>
      <c r="C402" s="1536"/>
      <c r="D402" s="96"/>
      <c r="E402" s="3"/>
      <c r="F402" s="96"/>
      <c r="G402" s="3"/>
      <c r="H402" s="96"/>
      <c r="I402" s="3"/>
      <c r="J402" s="96"/>
      <c r="K402" s="3"/>
      <c r="L402" s="96"/>
      <c r="M402" s="3"/>
      <c r="N402" s="96"/>
      <c r="O402" s="3"/>
      <c r="P402" s="96"/>
      <c r="Q402" s="1265"/>
      <c r="R402" s="3"/>
      <c r="S402" s="3"/>
      <c r="T402" s="1685"/>
      <c r="U402" s="3"/>
      <c r="V402" s="96"/>
      <c r="W402" s="1265"/>
      <c r="X402" s="3"/>
      <c r="Y402" s="3"/>
      <c r="Z402" s="1569"/>
      <c r="AA402" s="96"/>
    </row>
    <row r="403" spans="1:27" ht="15">
      <c r="A403" s="3"/>
      <c r="B403" s="3"/>
      <c r="C403" s="1536"/>
      <c r="D403" s="96"/>
      <c r="E403" s="3"/>
      <c r="F403" s="96"/>
      <c r="G403" s="3"/>
      <c r="H403" s="96"/>
      <c r="I403" s="3"/>
      <c r="J403" s="96"/>
      <c r="K403" s="3"/>
      <c r="L403" s="96"/>
      <c r="M403" s="3"/>
      <c r="N403" s="96"/>
      <c r="O403" s="3"/>
      <c r="P403" s="96"/>
      <c r="Q403" s="1265"/>
      <c r="R403" s="3"/>
      <c r="S403" s="3"/>
      <c r="T403" s="1685"/>
      <c r="U403" s="3"/>
      <c r="V403" s="96"/>
      <c r="W403" s="1265"/>
      <c r="X403" s="3"/>
      <c r="Y403" s="3"/>
      <c r="Z403" s="1569"/>
      <c r="AA403" s="96"/>
    </row>
    <row r="404" spans="1:27" ht="15">
      <c r="A404" s="3"/>
      <c r="B404" s="3"/>
      <c r="C404" s="1536"/>
      <c r="D404" s="96"/>
      <c r="E404" s="3"/>
      <c r="F404" s="96"/>
      <c r="G404" s="3"/>
      <c r="H404" s="96"/>
      <c r="I404" s="3"/>
      <c r="J404" s="96"/>
      <c r="K404" s="3"/>
      <c r="L404" s="96"/>
      <c r="M404" s="3"/>
      <c r="N404" s="96"/>
      <c r="O404" s="3"/>
      <c r="P404" s="96"/>
      <c r="Q404" s="1265"/>
      <c r="R404" s="3"/>
      <c r="S404" s="3"/>
      <c r="T404" s="1685"/>
      <c r="U404" s="3"/>
      <c r="V404" s="96"/>
      <c r="W404" s="1265"/>
      <c r="X404" s="3"/>
      <c r="Y404" s="3"/>
      <c r="Z404" s="1569"/>
      <c r="AA404" s="96"/>
    </row>
    <row r="405" spans="1:27" ht="15">
      <c r="A405" s="3"/>
      <c r="B405" s="3"/>
      <c r="C405" s="1536"/>
      <c r="D405" s="96"/>
      <c r="E405" s="3"/>
      <c r="F405" s="96"/>
      <c r="G405" s="3"/>
      <c r="H405" s="96"/>
      <c r="I405" s="3"/>
      <c r="J405" s="96"/>
      <c r="K405" s="3"/>
      <c r="L405" s="96"/>
      <c r="M405" s="3"/>
      <c r="N405" s="96"/>
      <c r="O405" s="3"/>
      <c r="P405" s="96"/>
      <c r="Q405" s="1265"/>
      <c r="R405" s="3"/>
      <c r="S405" s="3"/>
      <c r="T405" s="1685"/>
      <c r="U405" s="3"/>
      <c r="V405" s="96"/>
      <c r="W405" s="1265"/>
      <c r="X405" s="3"/>
      <c r="Y405" s="3"/>
      <c r="Z405" s="1569"/>
      <c r="AA405" s="96"/>
    </row>
    <row r="406" spans="1:27" ht="15">
      <c r="A406" s="3"/>
      <c r="B406" s="3"/>
      <c r="C406" s="1536"/>
      <c r="D406" s="96"/>
      <c r="E406" s="3"/>
      <c r="F406" s="96"/>
      <c r="G406" s="3"/>
      <c r="H406" s="96"/>
      <c r="I406" s="3"/>
      <c r="J406" s="96"/>
      <c r="K406" s="3"/>
      <c r="L406" s="96"/>
      <c r="M406" s="3"/>
      <c r="N406" s="96"/>
      <c r="O406" s="3"/>
      <c r="P406" s="96"/>
      <c r="Q406" s="1265"/>
      <c r="R406" s="3"/>
      <c r="S406" s="3"/>
      <c r="T406" s="1685"/>
      <c r="U406" s="3"/>
      <c r="V406" s="96"/>
      <c r="W406" s="1265"/>
      <c r="X406" s="3"/>
      <c r="Y406" s="3"/>
      <c r="Z406" s="1569"/>
      <c r="AA406" s="96"/>
    </row>
    <row r="407" spans="1:27" ht="15">
      <c r="A407" s="3"/>
      <c r="B407" s="3"/>
      <c r="C407" s="1536"/>
      <c r="D407" s="96"/>
      <c r="E407" s="3"/>
      <c r="F407" s="96"/>
      <c r="G407" s="3"/>
      <c r="H407" s="96"/>
      <c r="I407" s="3"/>
      <c r="J407" s="96"/>
      <c r="K407" s="3"/>
      <c r="L407" s="96"/>
      <c r="M407" s="3"/>
      <c r="N407" s="96"/>
      <c r="O407" s="3"/>
      <c r="P407" s="96"/>
      <c r="Q407" s="1265"/>
      <c r="R407" s="3"/>
      <c r="S407" s="3"/>
      <c r="T407" s="1685"/>
      <c r="U407" s="3"/>
      <c r="V407" s="96"/>
      <c r="W407" s="1265"/>
      <c r="X407" s="3"/>
      <c r="Y407" s="3"/>
      <c r="Z407" s="1569"/>
      <c r="AA407" s="96"/>
    </row>
    <row r="408" spans="1:27" ht="15">
      <c r="A408" s="3"/>
      <c r="B408" s="3"/>
      <c r="C408" s="1536"/>
      <c r="D408" s="96"/>
      <c r="E408" s="3"/>
      <c r="F408" s="96"/>
      <c r="G408" s="3"/>
      <c r="H408" s="96"/>
      <c r="I408" s="3"/>
      <c r="J408" s="96"/>
      <c r="K408" s="3"/>
      <c r="L408" s="96"/>
      <c r="M408" s="3"/>
      <c r="N408" s="96"/>
      <c r="O408" s="3"/>
      <c r="P408" s="96"/>
      <c r="Q408" s="1265"/>
      <c r="R408" s="3"/>
      <c r="S408" s="3"/>
      <c r="T408" s="1685"/>
      <c r="U408" s="3"/>
      <c r="V408" s="96"/>
      <c r="W408" s="1265"/>
      <c r="X408" s="3"/>
      <c r="Y408" s="3"/>
      <c r="Z408" s="1569"/>
      <c r="AA408" s="96"/>
    </row>
    <row r="409" spans="1:27" ht="15">
      <c r="A409" s="3"/>
      <c r="B409" s="3"/>
      <c r="C409" s="1536"/>
      <c r="D409" s="96"/>
      <c r="E409" s="3"/>
      <c r="F409" s="96"/>
      <c r="G409" s="3"/>
      <c r="H409" s="96"/>
      <c r="I409" s="3"/>
      <c r="J409" s="96"/>
      <c r="K409" s="3"/>
      <c r="L409" s="96"/>
      <c r="M409" s="3"/>
      <c r="N409" s="96"/>
      <c r="O409" s="3"/>
      <c r="P409" s="96"/>
      <c r="Q409" s="1265"/>
      <c r="R409" s="3"/>
      <c r="S409" s="3"/>
      <c r="T409" s="1685"/>
      <c r="U409" s="3"/>
      <c r="V409" s="96"/>
      <c r="W409" s="1265"/>
      <c r="X409" s="3"/>
      <c r="Y409" s="3"/>
      <c r="Z409" s="1569"/>
      <c r="AA409" s="96"/>
    </row>
    <row r="410" spans="1:27" ht="15">
      <c r="A410" s="3"/>
      <c r="B410" s="3"/>
      <c r="C410" s="1536"/>
      <c r="D410" s="96"/>
      <c r="E410" s="3"/>
      <c r="F410" s="96"/>
      <c r="G410" s="3"/>
      <c r="H410" s="96"/>
      <c r="I410" s="3"/>
      <c r="J410" s="96"/>
      <c r="K410" s="3"/>
      <c r="L410" s="96"/>
      <c r="M410" s="3"/>
      <c r="N410" s="96"/>
      <c r="O410" s="3"/>
      <c r="P410" s="96"/>
      <c r="Q410" s="1265"/>
      <c r="R410" s="3"/>
      <c r="S410" s="3"/>
      <c r="T410" s="1685"/>
      <c r="U410" s="3"/>
      <c r="V410" s="96"/>
      <c r="W410" s="1265"/>
      <c r="X410" s="3"/>
      <c r="Y410" s="3"/>
      <c r="Z410" s="1569"/>
      <c r="AA410" s="96"/>
    </row>
    <row r="411" spans="1:27" ht="15">
      <c r="A411" s="3"/>
      <c r="B411" s="3"/>
      <c r="C411" s="1536"/>
      <c r="D411" s="96"/>
      <c r="E411" s="3"/>
      <c r="F411" s="96"/>
      <c r="G411" s="3"/>
      <c r="H411" s="96"/>
      <c r="I411" s="3"/>
      <c r="J411" s="96"/>
      <c r="K411" s="3"/>
      <c r="L411" s="96"/>
      <c r="M411" s="3"/>
      <c r="N411" s="96"/>
      <c r="O411" s="3"/>
      <c r="P411" s="96"/>
      <c r="Q411" s="1265"/>
      <c r="R411" s="3"/>
      <c r="S411" s="3"/>
      <c r="T411" s="1685"/>
      <c r="U411" s="3"/>
      <c r="V411" s="96"/>
      <c r="W411" s="1265"/>
      <c r="X411" s="3"/>
      <c r="Y411" s="3"/>
      <c r="Z411" s="1569"/>
      <c r="AA411" s="96"/>
    </row>
    <row r="412" spans="1:27" ht="15">
      <c r="A412" s="3"/>
      <c r="B412" s="3"/>
      <c r="C412" s="1536"/>
      <c r="D412" s="96"/>
      <c r="E412" s="3"/>
      <c r="F412" s="96"/>
      <c r="G412" s="3"/>
      <c r="H412" s="96"/>
      <c r="I412" s="3"/>
      <c r="J412" s="96"/>
      <c r="K412" s="3"/>
      <c r="L412" s="96"/>
      <c r="M412" s="3"/>
      <c r="N412" s="96"/>
      <c r="O412" s="3"/>
      <c r="P412" s="96"/>
      <c r="Q412" s="1265"/>
      <c r="R412" s="3"/>
      <c r="S412" s="3"/>
      <c r="T412" s="1685"/>
      <c r="U412" s="3"/>
      <c r="V412" s="96"/>
      <c r="W412" s="1265"/>
      <c r="X412" s="3"/>
      <c r="Y412" s="3"/>
      <c r="Z412" s="1569"/>
      <c r="AA412" s="96"/>
    </row>
    <row r="413" spans="1:27" ht="15">
      <c r="A413" s="3"/>
      <c r="B413" s="3"/>
      <c r="C413" s="1536"/>
      <c r="D413" s="96"/>
      <c r="E413" s="3"/>
      <c r="F413" s="96"/>
      <c r="G413" s="3"/>
      <c r="H413" s="96"/>
      <c r="I413" s="3"/>
      <c r="J413" s="96"/>
      <c r="K413" s="3"/>
      <c r="L413" s="96"/>
      <c r="M413" s="3"/>
      <c r="N413" s="96"/>
      <c r="O413" s="3"/>
      <c r="P413" s="96"/>
      <c r="Q413" s="1265"/>
      <c r="R413" s="3"/>
      <c r="S413" s="3"/>
      <c r="T413" s="1685"/>
      <c r="U413" s="3"/>
      <c r="V413" s="96"/>
      <c r="W413" s="1265"/>
      <c r="X413" s="3"/>
      <c r="Y413" s="3"/>
      <c r="Z413" s="1569"/>
      <c r="AA413" s="96"/>
    </row>
    <row r="414" spans="1:27" ht="15">
      <c r="A414" s="3"/>
      <c r="B414" s="3"/>
      <c r="C414" s="1536"/>
      <c r="D414" s="96"/>
      <c r="E414" s="3"/>
      <c r="F414" s="96"/>
      <c r="G414" s="3"/>
      <c r="H414" s="96"/>
      <c r="I414" s="3"/>
      <c r="J414" s="96"/>
      <c r="K414" s="3"/>
      <c r="L414" s="96"/>
      <c r="M414" s="3"/>
      <c r="N414" s="96"/>
      <c r="O414" s="3"/>
      <c r="P414" s="96"/>
      <c r="Q414" s="1265"/>
      <c r="R414" s="3"/>
      <c r="S414" s="3"/>
      <c r="T414" s="1685"/>
      <c r="U414" s="3"/>
      <c r="V414" s="96"/>
      <c r="W414" s="1265"/>
      <c r="X414" s="3"/>
      <c r="Y414" s="3"/>
      <c r="Z414" s="1569"/>
      <c r="AA414" s="96"/>
    </row>
    <row r="415" spans="1:27" ht="15">
      <c r="A415" s="3"/>
      <c r="B415" s="3"/>
      <c r="C415" s="1536"/>
      <c r="D415" s="96"/>
      <c r="E415" s="3"/>
      <c r="F415" s="96"/>
      <c r="G415" s="3"/>
      <c r="H415" s="96"/>
      <c r="I415" s="3"/>
      <c r="J415" s="96"/>
      <c r="K415" s="3"/>
      <c r="L415" s="96"/>
      <c r="M415" s="3"/>
      <c r="N415" s="96"/>
      <c r="O415" s="3"/>
      <c r="P415" s="96"/>
      <c r="Q415" s="1265"/>
      <c r="R415" s="3"/>
      <c r="S415" s="3"/>
      <c r="T415" s="1685"/>
      <c r="U415" s="3"/>
      <c r="V415" s="96"/>
      <c r="W415" s="1265"/>
      <c r="X415" s="3"/>
      <c r="Y415" s="3"/>
      <c r="Z415" s="1569"/>
      <c r="AA415" s="96"/>
    </row>
    <row r="416" spans="1:27" ht="15">
      <c r="A416" s="3"/>
      <c r="B416" s="3"/>
      <c r="C416" s="1536"/>
      <c r="D416" s="96"/>
      <c r="E416" s="3"/>
      <c r="F416" s="96"/>
      <c r="G416" s="3"/>
      <c r="H416" s="96"/>
      <c r="I416" s="3"/>
      <c r="J416" s="96"/>
      <c r="K416" s="3"/>
      <c r="L416" s="96"/>
      <c r="M416" s="3"/>
      <c r="N416" s="96"/>
      <c r="O416" s="3"/>
      <c r="P416" s="96"/>
      <c r="Q416" s="1265"/>
      <c r="R416" s="3"/>
      <c r="S416" s="3"/>
      <c r="T416" s="1685"/>
      <c r="U416" s="3"/>
      <c r="V416" s="96"/>
      <c r="W416" s="1265"/>
      <c r="X416" s="3"/>
      <c r="Y416" s="3"/>
      <c r="Z416" s="1569"/>
      <c r="AA416" s="96"/>
    </row>
    <row r="417" spans="1:27" ht="15">
      <c r="A417" s="3"/>
      <c r="B417" s="3"/>
      <c r="C417" s="1536"/>
      <c r="D417" s="96"/>
      <c r="E417" s="3"/>
      <c r="F417" s="96"/>
      <c r="G417" s="3"/>
      <c r="H417" s="96"/>
      <c r="I417" s="3"/>
      <c r="J417" s="96"/>
      <c r="K417" s="3"/>
      <c r="L417" s="96"/>
      <c r="M417" s="3"/>
      <c r="N417" s="96"/>
      <c r="O417" s="3"/>
      <c r="P417" s="96"/>
      <c r="Q417" s="1265"/>
      <c r="R417" s="3"/>
      <c r="S417" s="3"/>
      <c r="T417" s="1685"/>
      <c r="U417" s="3"/>
      <c r="V417" s="96"/>
      <c r="W417" s="1265"/>
      <c r="X417" s="3"/>
      <c r="Y417" s="3"/>
      <c r="Z417" s="1569"/>
      <c r="AA417" s="96"/>
    </row>
    <row r="418" spans="1:27" ht="15">
      <c r="A418" s="3"/>
      <c r="B418" s="3"/>
      <c r="C418" s="1536"/>
      <c r="D418" s="96"/>
      <c r="E418" s="3"/>
      <c r="F418" s="96"/>
      <c r="G418" s="3"/>
      <c r="H418" s="96"/>
      <c r="I418" s="3"/>
      <c r="J418" s="96"/>
      <c r="K418" s="3"/>
      <c r="L418" s="96"/>
      <c r="M418" s="3"/>
      <c r="N418" s="96"/>
      <c r="O418" s="3"/>
      <c r="P418" s="96"/>
      <c r="Q418" s="1265"/>
      <c r="R418" s="3"/>
      <c r="S418" s="3"/>
      <c r="T418" s="1685"/>
      <c r="U418" s="3"/>
      <c r="V418" s="96"/>
      <c r="W418" s="1265"/>
      <c r="X418" s="3"/>
      <c r="Y418" s="3"/>
      <c r="Z418" s="1569"/>
      <c r="AA418" s="96"/>
    </row>
    <row r="419" spans="1:27" ht="15">
      <c r="A419" s="3"/>
      <c r="B419" s="3"/>
      <c r="C419" s="1536"/>
      <c r="D419" s="96"/>
      <c r="E419" s="3"/>
      <c r="F419" s="96"/>
      <c r="G419" s="3"/>
      <c r="H419" s="96"/>
      <c r="I419" s="3"/>
      <c r="J419" s="96"/>
      <c r="K419" s="3"/>
      <c r="L419" s="96"/>
      <c r="M419" s="3"/>
      <c r="N419" s="96"/>
      <c r="O419" s="3"/>
      <c r="P419" s="96"/>
      <c r="Q419" s="1265"/>
      <c r="R419" s="3"/>
      <c r="S419" s="3"/>
      <c r="T419" s="1685"/>
      <c r="U419" s="3"/>
      <c r="V419" s="96"/>
      <c r="W419" s="1265"/>
      <c r="X419" s="3"/>
      <c r="Y419" s="3"/>
      <c r="Z419" s="1569"/>
      <c r="AA419" s="96"/>
    </row>
    <row r="420" spans="1:27" ht="15">
      <c r="A420" s="3"/>
      <c r="B420" s="3"/>
      <c r="C420" s="1536"/>
      <c r="D420" s="96"/>
      <c r="E420" s="3"/>
      <c r="F420" s="96"/>
      <c r="G420" s="3"/>
      <c r="H420" s="96"/>
      <c r="I420" s="3"/>
      <c r="J420" s="96"/>
      <c r="K420" s="3"/>
      <c r="L420" s="96"/>
      <c r="M420" s="3"/>
      <c r="N420" s="96"/>
      <c r="O420" s="3"/>
      <c r="P420" s="96"/>
      <c r="Q420" s="1265"/>
      <c r="R420" s="3"/>
      <c r="S420" s="3"/>
      <c r="T420" s="1685"/>
      <c r="U420" s="3"/>
      <c r="V420" s="96"/>
      <c r="W420" s="1265"/>
      <c r="X420" s="3"/>
      <c r="Y420" s="3"/>
      <c r="Z420" s="1569"/>
      <c r="AA420" s="96"/>
    </row>
    <row r="421" spans="1:27" ht="15">
      <c r="A421" s="3"/>
      <c r="B421" s="3"/>
      <c r="C421" s="1536"/>
      <c r="D421" s="96"/>
      <c r="E421" s="3"/>
      <c r="F421" s="96"/>
      <c r="G421" s="3"/>
      <c r="H421" s="96"/>
      <c r="I421" s="3"/>
      <c r="J421" s="96"/>
      <c r="K421" s="3"/>
      <c r="L421" s="96"/>
      <c r="M421" s="3"/>
      <c r="N421" s="96"/>
      <c r="O421" s="3"/>
      <c r="P421" s="96"/>
      <c r="Q421" s="1265"/>
      <c r="R421" s="3"/>
      <c r="S421" s="3"/>
      <c r="T421" s="1685"/>
      <c r="U421" s="3"/>
      <c r="V421" s="96"/>
      <c r="W421" s="1265"/>
      <c r="X421" s="3"/>
      <c r="Y421" s="3"/>
      <c r="Z421" s="1569"/>
      <c r="AA421" s="96"/>
    </row>
    <row r="422" spans="1:27" ht="15">
      <c r="A422" s="3"/>
      <c r="B422" s="3"/>
      <c r="C422" s="1536"/>
      <c r="D422" s="96"/>
      <c r="E422" s="3"/>
      <c r="F422" s="96"/>
      <c r="G422" s="3"/>
      <c r="H422" s="96"/>
      <c r="I422" s="3"/>
      <c r="J422" s="96"/>
      <c r="K422" s="3"/>
      <c r="L422" s="96"/>
      <c r="M422" s="3"/>
      <c r="N422" s="96"/>
      <c r="O422" s="3"/>
      <c r="P422" s="96"/>
      <c r="Q422" s="1265"/>
      <c r="R422" s="3"/>
      <c r="S422" s="3"/>
      <c r="T422" s="1685"/>
      <c r="U422" s="3"/>
      <c r="V422" s="96"/>
      <c r="W422" s="1265"/>
      <c r="X422" s="3"/>
      <c r="Y422" s="3"/>
      <c r="Z422" s="1569"/>
      <c r="AA422" s="96"/>
    </row>
    <row r="423" spans="1:27" ht="15">
      <c r="A423" s="3"/>
      <c r="B423" s="3"/>
      <c r="C423" s="1536"/>
      <c r="D423" s="96"/>
      <c r="E423" s="3"/>
      <c r="F423" s="96"/>
      <c r="G423" s="3"/>
      <c r="H423" s="96"/>
      <c r="I423" s="3"/>
      <c r="J423" s="96"/>
      <c r="K423" s="3"/>
      <c r="L423" s="96"/>
      <c r="M423" s="3"/>
      <c r="N423" s="96"/>
      <c r="O423" s="3"/>
      <c r="P423" s="96"/>
      <c r="Q423" s="1265"/>
      <c r="R423" s="3"/>
      <c r="S423" s="3"/>
      <c r="T423" s="1685"/>
      <c r="U423" s="3"/>
      <c r="V423" s="96"/>
      <c r="W423" s="1265"/>
      <c r="X423" s="3"/>
      <c r="Y423" s="3"/>
      <c r="Z423" s="1569"/>
      <c r="AA423" s="96"/>
    </row>
    <row r="424" spans="1:27" ht="15">
      <c r="A424" s="3"/>
      <c r="B424" s="3"/>
      <c r="C424" s="1536"/>
      <c r="D424" s="96"/>
      <c r="E424" s="3"/>
      <c r="F424" s="96"/>
      <c r="G424" s="3"/>
      <c r="H424" s="96"/>
      <c r="I424" s="3"/>
      <c r="J424" s="96"/>
      <c r="K424" s="3"/>
      <c r="L424" s="96"/>
      <c r="M424" s="3"/>
      <c r="N424" s="96"/>
      <c r="O424" s="3"/>
      <c r="P424" s="96"/>
      <c r="Q424" s="1265"/>
      <c r="R424" s="3"/>
      <c r="S424" s="3"/>
      <c r="T424" s="1685"/>
      <c r="U424" s="3"/>
      <c r="V424" s="96"/>
      <c r="W424" s="1265"/>
      <c r="X424" s="3"/>
      <c r="Y424" s="3"/>
      <c r="Z424" s="1569"/>
      <c r="AA424" s="96"/>
    </row>
    <row r="425" spans="1:27" ht="15">
      <c r="A425" s="3"/>
      <c r="B425" s="3"/>
      <c r="C425" s="1536"/>
      <c r="D425" s="96"/>
      <c r="E425" s="3"/>
      <c r="F425" s="96"/>
      <c r="G425" s="3"/>
      <c r="H425" s="96"/>
      <c r="I425" s="3"/>
      <c r="J425" s="96"/>
      <c r="K425" s="3"/>
      <c r="L425" s="96"/>
      <c r="M425" s="3"/>
      <c r="N425" s="96"/>
      <c r="O425" s="3"/>
      <c r="P425" s="96"/>
      <c r="Q425" s="1265"/>
      <c r="R425" s="3"/>
      <c r="S425" s="3"/>
      <c r="T425" s="1685"/>
      <c r="U425" s="3"/>
      <c r="V425" s="96"/>
      <c r="W425" s="1265"/>
      <c r="X425" s="3"/>
      <c r="Y425" s="3"/>
      <c r="Z425" s="1569"/>
      <c r="AA425" s="96"/>
    </row>
    <row r="426" spans="1:27" ht="15">
      <c r="A426" s="3"/>
      <c r="B426" s="3"/>
      <c r="C426" s="1536"/>
      <c r="D426" s="96"/>
      <c r="E426" s="3"/>
      <c r="F426" s="96"/>
      <c r="G426" s="3"/>
      <c r="H426" s="96"/>
      <c r="I426" s="3"/>
      <c r="J426" s="96"/>
      <c r="K426" s="3"/>
      <c r="L426" s="96"/>
      <c r="M426" s="3"/>
      <c r="N426" s="96"/>
      <c r="O426" s="3"/>
      <c r="P426" s="96"/>
      <c r="Q426" s="1265"/>
      <c r="R426" s="3"/>
      <c r="S426" s="3"/>
      <c r="T426" s="1685"/>
      <c r="U426" s="3"/>
      <c r="V426" s="96"/>
      <c r="W426" s="1265"/>
      <c r="X426" s="3"/>
      <c r="Y426" s="3"/>
      <c r="Z426" s="1569"/>
      <c r="AA426" s="96"/>
    </row>
    <row r="427" spans="1:27" ht="15">
      <c r="A427" s="3"/>
      <c r="B427" s="3"/>
      <c r="C427" s="1536"/>
      <c r="D427" s="96"/>
      <c r="E427" s="3"/>
      <c r="F427" s="96"/>
      <c r="G427" s="3"/>
      <c r="H427" s="96"/>
      <c r="I427" s="3"/>
      <c r="J427" s="96"/>
      <c r="K427" s="3"/>
      <c r="L427" s="96"/>
      <c r="M427" s="3"/>
      <c r="N427" s="96"/>
      <c r="O427" s="3"/>
      <c r="P427" s="96"/>
      <c r="Q427" s="1265"/>
      <c r="R427" s="3"/>
      <c r="S427" s="3"/>
      <c r="T427" s="1685"/>
      <c r="U427" s="3"/>
      <c r="V427" s="96"/>
      <c r="W427" s="1265"/>
      <c r="X427" s="3"/>
      <c r="Y427" s="3"/>
      <c r="Z427" s="1569"/>
      <c r="AA427" s="96"/>
    </row>
    <row r="428" spans="1:27" ht="15">
      <c r="A428" s="3"/>
      <c r="B428" s="3"/>
      <c r="C428" s="1536"/>
      <c r="D428" s="96"/>
      <c r="E428" s="3"/>
      <c r="F428" s="96"/>
      <c r="G428" s="3"/>
      <c r="H428" s="96"/>
      <c r="I428" s="3"/>
      <c r="J428" s="96"/>
      <c r="K428" s="3"/>
      <c r="L428" s="96"/>
      <c r="M428" s="3"/>
      <c r="N428" s="96"/>
      <c r="O428" s="3"/>
      <c r="P428" s="96"/>
      <c r="Q428" s="1265"/>
      <c r="R428" s="3"/>
      <c r="S428" s="3"/>
      <c r="T428" s="1685"/>
      <c r="U428" s="3"/>
      <c r="V428" s="96"/>
      <c r="W428" s="1265"/>
      <c r="X428" s="3"/>
      <c r="Y428" s="3"/>
      <c r="Z428" s="1569"/>
      <c r="AA428" s="96"/>
    </row>
    <row r="429" spans="1:27" ht="15">
      <c r="A429" s="3"/>
      <c r="B429" s="3"/>
      <c r="C429" s="1536"/>
      <c r="D429" s="96"/>
      <c r="E429" s="3"/>
      <c r="F429" s="96"/>
      <c r="G429" s="3"/>
      <c r="H429" s="96"/>
      <c r="I429" s="3"/>
      <c r="J429" s="96"/>
      <c r="K429" s="3"/>
      <c r="L429" s="96"/>
      <c r="M429" s="3"/>
      <c r="N429" s="96"/>
      <c r="O429" s="3"/>
      <c r="P429" s="96"/>
      <c r="Q429" s="1265"/>
      <c r="R429" s="3"/>
      <c r="S429" s="3"/>
      <c r="T429" s="1685"/>
      <c r="U429" s="3"/>
      <c r="V429" s="96"/>
      <c r="W429" s="1265"/>
      <c r="X429" s="3"/>
      <c r="Y429" s="3"/>
      <c r="Z429" s="1569"/>
      <c r="AA429" s="96"/>
    </row>
    <row r="430" spans="1:27" ht="15">
      <c r="A430" s="3"/>
      <c r="B430" s="3"/>
      <c r="C430" s="1536"/>
      <c r="D430" s="96"/>
      <c r="E430" s="3"/>
      <c r="F430" s="96"/>
      <c r="G430" s="3"/>
      <c r="H430" s="96"/>
      <c r="I430" s="3"/>
      <c r="J430" s="96"/>
      <c r="K430" s="3"/>
      <c r="L430" s="96"/>
      <c r="M430" s="3"/>
      <c r="N430" s="96"/>
      <c r="O430" s="3"/>
      <c r="P430" s="96"/>
      <c r="Q430" s="1265"/>
      <c r="R430" s="3"/>
      <c r="S430" s="3"/>
      <c r="T430" s="1685"/>
      <c r="U430" s="3"/>
      <c r="V430" s="96"/>
      <c r="W430" s="1265"/>
      <c r="X430" s="3"/>
      <c r="Y430" s="3"/>
      <c r="Z430" s="1569"/>
      <c r="AA430" s="96"/>
    </row>
    <row r="431" spans="1:27" ht="15">
      <c r="A431" s="3"/>
      <c r="B431" s="3"/>
      <c r="C431" s="1536"/>
      <c r="D431" s="96"/>
      <c r="E431" s="3"/>
      <c r="F431" s="96"/>
      <c r="G431" s="3"/>
      <c r="H431" s="96"/>
      <c r="I431" s="3"/>
      <c r="J431" s="96"/>
      <c r="K431" s="3"/>
      <c r="L431" s="96"/>
      <c r="M431" s="3"/>
      <c r="N431" s="96"/>
      <c r="O431" s="3"/>
      <c r="P431" s="96"/>
      <c r="Q431" s="1265"/>
      <c r="R431" s="3"/>
      <c r="S431" s="3"/>
      <c r="T431" s="1685"/>
      <c r="U431" s="3"/>
      <c r="V431" s="96"/>
      <c r="W431" s="1265"/>
      <c r="X431" s="3"/>
      <c r="Y431" s="3"/>
      <c r="Z431" s="1569"/>
      <c r="AA431" s="96"/>
    </row>
    <row r="432" spans="1:27" ht="15">
      <c r="A432" s="3"/>
      <c r="B432" s="3"/>
      <c r="C432" s="1536"/>
      <c r="D432" s="96"/>
      <c r="E432" s="3"/>
      <c r="F432" s="96"/>
      <c r="G432" s="3"/>
      <c r="H432" s="96"/>
      <c r="I432" s="3"/>
      <c r="J432" s="96"/>
      <c r="K432" s="3"/>
      <c r="L432" s="96"/>
      <c r="M432" s="3"/>
      <c r="N432" s="96"/>
      <c r="O432" s="3"/>
      <c r="P432" s="96"/>
      <c r="Q432" s="1265"/>
      <c r="R432" s="3"/>
      <c r="S432" s="3"/>
      <c r="T432" s="1685"/>
      <c r="U432" s="3"/>
      <c r="V432" s="96"/>
      <c r="W432" s="1265"/>
      <c r="X432" s="3"/>
      <c r="Y432" s="3"/>
      <c r="Z432" s="1569"/>
      <c r="AA432" s="96"/>
    </row>
    <row r="433" spans="1:27" ht="15">
      <c r="A433" s="3"/>
      <c r="B433" s="3"/>
      <c r="C433" s="1536"/>
      <c r="D433" s="96"/>
      <c r="E433" s="3"/>
      <c r="F433" s="96"/>
      <c r="G433" s="3"/>
      <c r="H433" s="96"/>
      <c r="I433" s="3"/>
      <c r="J433" s="96"/>
      <c r="K433" s="3"/>
      <c r="L433" s="96"/>
      <c r="M433" s="3"/>
      <c r="N433" s="96"/>
      <c r="O433" s="3"/>
      <c r="P433" s="96"/>
      <c r="Q433" s="1265"/>
      <c r="R433" s="3"/>
      <c r="S433" s="3"/>
      <c r="T433" s="1685"/>
      <c r="U433" s="3"/>
      <c r="V433" s="96"/>
      <c r="W433" s="1265"/>
      <c r="X433" s="3"/>
      <c r="Y433" s="3"/>
      <c r="Z433" s="1569"/>
      <c r="AA433" s="96"/>
    </row>
    <row r="434" spans="1:27" ht="15">
      <c r="A434" s="3"/>
      <c r="B434" s="3"/>
      <c r="C434" s="1536"/>
      <c r="D434" s="96"/>
      <c r="E434" s="3"/>
      <c r="F434" s="96"/>
      <c r="G434" s="3"/>
      <c r="H434" s="96"/>
      <c r="I434" s="3"/>
      <c r="J434" s="96"/>
      <c r="K434" s="3"/>
      <c r="L434" s="96"/>
      <c r="M434" s="3"/>
      <c r="N434" s="96"/>
      <c r="O434" s="3"/>
      <c r="P434" s="96"/>
      <c r="Q434" s="1265"/>
      <c r="R434" s="3"/>
      <c r="S434" s="3"/>
      <c r="T434" s="1685"/>
      <c r="U434" s="3"/>
      <c r="V434" s="96"/>
      <c r="W434" s="1265"/>
      <c r="X434" s="3"/>
      <c r="Y434" s="3"/>
      <c r="Z434" s="1569"/>
      <c r="AA434" s="96"/>
    </row>
    <row r="435" spans="1:27" ht="15">
      <c r="A435" s="3"/>
      <c r="B435" s="3"/>
      <c r="C435" s="1536"/>
      <c r="D435" s="96"/>
      <c r="E435" s="3"/>
      <c r="F435" s="96"/>
      <c r="G435" s="3"/>
      <c r="H435" s="96"/>
      <c r="I435" s="3"/>
      <c r="J435" s="96"/>
      <c r="K435" s="3"/>
      <c r="L435" s="96"/>
      <c r="M435" s="3"/>
      <c r="N435" s="96"/>
      <c r="O435" s="3"/>
      <c r="P435" s="96"/>
      <c r="Q435" s="1265"/>
      <c r="R435" s="3"/>
      <c r="S435" s="3"/>
      <c r="T435" s="1685"/>
      <c r="U435" s="3"/>
      <c r="V435" s="96"/>
      <c r="W435" s="1265"/>
      <c r="X435" s="3"/>
      <c r="Y435" s="3"/>
      <c r="Z435" s="1569"/>
      <c r="AA435" s="96"/>
    </row>
    <row r="436" spans="1:27" ht="15">
      <c r="A436" s="3"/>
      <c r="B436" s="3"/>
      <c r="C436" s="1536"/>
      <c r="D436" s="96"/>
      <c r="E436" s="3"/>
      <c r="F436" s="96"/>
      <c r="G436" s="3"/>
      <c r="H436" s="96"/>
      <c r="I436" s="3"/>
      <c r="J436" s="96"/>
      <c r="K436" s="3"/>
      <c r="L436" s="96"/>
      <c r="M436" s="3"/>
      <c r="N436" s="96"/>
      <c r="O436" s="3"/>
      <c r="P436" s="96"/>
      <c r="Q436" s="1265"/>
      <c r="R436" s="3"/>
      <c r="S436" s="3"/>
      <c r="T436" s="1685"/>
      <c r="U436" s="3"/>
      <c r="V436" s="96"/>
      <c r="W436" s="1265"/>
      <c r="X436" s="3"/>
      <c r="Y436" s="3"/>
      <c r="Z436" s="1569"/>
      <c r="AA436" s="96"/>
    </row>
    <row r="437" spans="1:27" ht="15">
      <c r="A437" s="3"/>
      <c r="B437" s="3"/>
      <c r="C437" s="1536"/>
      <c r="D437" s="96"/>
      <c r="E437" s="3"/>
      <c r="F437" s="96"/>
      <c r="G437" s="3"/>
      <c r="H437" s="96"/>
      <c r="I437" s="3"/>
      <c r="J437" s="96"/>
      <c r="K437" s="3"/>
      <c r="L437" s="96"/>
      <c r="M437" s="3"/>
      <c r="N437" s="96"/>
      <c r="O437" s="3"/>
      <c r="P437" s="96"/>
      <c r="Q437" s="1265"/>
      <c r="R437" s="3"/>
      <c r="S437" s="3"/>
      <c r="T437" s="1685"/>
      <c r="U437" s="3"/>
      <c r="V437" s="96"/>
      <c r="W437" s="1265"/>
      <c r="X437" s="3"/>
      <c r="Y437" s="3"/>
      <c r="Z437" s="1569"/>
      <c r="AA437" s="96"/>
    </row>
    <row r="438" spans="1:27" ht="15">
      <c r="A438" s="3"/>
      <c r="B438" s="3"/>
      <c r="C438" s="1536"/>
      <c r="D438" s="96"/>
      <c r="E438" s="3"/>
      <c r="F438" s="96"/>
      <c r="G438" s="3"/>
      <c r="H438" s="96"/>
      <c r="I438" s="3"/>
      <c r="J438" s="96"/>
      <c r="K438" s="3"/>
      <c r="L438" s="96"/>
      <c r="M438" s="3"/>
      <c r="N438" s="96"/>
      <c r="O438" s="3"/>
      <c r="P438" s="96"/>
      <c r="Q438" s="1265"/>
      <c r="R438" s="3"/>
      <c r="S438" s="3"/>
      <c r="T438" s="1685"/>
      <c r="U438" s="3"/>
      <c r="V438" s="96"/>
      <c r="W438" s="1265"/>
      <c r="X438" s="3"/>
      <c r="Y438" s="3"/>
      <c r="Z438" s="1569"/>
      <c r="AA438" s="96"/>
    </row>
    <row r="439" spans="1:27" ht="15">
      <c r="A439" s="3"/>
      <c r="B439" s="3"/>
      <c r="C439" s="1536"/>
      <c r="D439" s="96"/>
      <c r="E439" s="3"/>
      <c r="F439" s="96"/>
      <c r="G439" s="3"/>
      <c r="H439" s="96"/>
      <c r="I439" s="3"/>
      <c r="J439" s="96"/>
      <c r="K439" s="3"/>
      <c r="L439" s="96"/>
      <c r="M439" s="3"/>
      <c r="N439" s="96"/>
      <c r="O439" s="3"/>
      <c r="P439" s="96"/>
      <c r="Q439" s="1265"/>
      <c r="R439" s="3"/>
      <c r="S439" s="3"/>
      <c r="T439" s="1685"/>
      <c r="U439" s="3"/>
      <c r="V439" s="96"/>
      <c r="W439" s="1265"/>
      <c r="X439" s="3"/>
      <c r="Y439" s="3"/>
      <c r="Z439" s="1569"/>
      <c r="AA439" s="96"/>
    </row>
    <row r="440" spans="1:27" ht="15">
      <c r="A440" s="3"/>
      <c r="B440" s="3"/>
      <c r="C440" s="1536"/>
      <c r="D440" s="96"/>
      <c r="E440" s="3"/>
      <c r="F440" s="96"/>
      <c r="G440" s="3"/>
      <c r="H440" s="96"/>
      <c r="I440" s="3"/>
      <c r="J440" s="96"/>
      <c r="K440" s="3"/>
      <c r="L440" s="96"/>
      <c r="M440" s="3"/>
      <c r="N440" s="96"/>
      <c r="O440" s="3"/>
      <c r="P440" s="96"/>
      <c r="Q440" s="1265"/>
      <c r="R440" s="3"/>
      <c r="S440" s="3"/>
      <c r="T440" s="1685"/>
      <c r="U440" s="3"/>
      <c r="V440" s="96"/>
      <c r="W440" s="1265"/>
      <c r="X440" s="3"/>
      <c r="Y440" s="3"/>
      <c r="Z440" s="1569"/>
      <c r="AA440" s="96"/>
    </row>
    <row r="441" spans="1:27" ht="15">
      <c r="A441" s="3"/>
      <c r="B441" s="3"/>
      <c r="C441" s="1536"/>
      <c r="D441" s="96"/>
      <c r="E441" s="3"/>
      <c r="F441" s="96"/>
      <c r="G441" s="3"/>
      <c r="H441" s="96"/>
      <c r="I441" s="3"/>
      <c r="J441" s="96"/>
      <c r="K441" s="3"/>
      <c r="L441" s="96"/>
      <c r="M441" s="3"/>
      <c r="N441" s="96"/>
      <c r="O441" s="3"/>
      <c r="P441" s="96"/>
      <c r="Q441" s="1265"/>
      <c r="R441" s="3"/>
      <c r="S441" s="3"/>
      <c r="T441" s="1685"/>
      <c r="U441" s="3"/>
      <c r="V441" s="96"/>
      <c r="W441" s="1265"/>
      <c r="X441" s="3"/>
      <c r="Y441" s="3"/>
      <c r="Z441" s="1569"/>
      <c r="AA441" s="96"/>
    </row>
    <row r="442" spans="1:27" ht="15">
      <c r="A442" s="3"/>
      <c r="B442" s="3"/>
      <c r="C442" s="1536"/>
      <c r="D442" s="96"/>
      <c r="E442" s="3"/>
      <c r="F442" s="96"/>
      <c r="G442" s="3"/>
      <c r="H442" s="96"/>
      <c r="I442" s="3"/>
      <c r="J442" s="96"/>
      <c r="K442" s="3"/>
      <c r="L442" s="96"/>
      <c r="M442" s="3"/>
      <c r="N442" s="96"/>
      <c r="O442" s="3"/>
      <c r="P442" s="96"/>
      <c r="Q442" s="1265"/>
      <c r="R442" s="3"/>
      <c r="S442" s="3"/>
      <c r="T442" s="1685"/>
      <c r="U442" s="3"/>
      <c r="V442" s="96"/>
      <c r="W442" s="1265"/>
      <c r="X442" s="3"/>
      <c r="Y442" s="3"/>
      <c r="Z442" s="1569"/>
      <c r="AA442" s="96"/>
    </row>
    <row r="443" spans="1:27" ht="15">
      <c r="A443" s="3"/>
      <c r="B443" s="3"/>
      <c r="C443" s="1536"/>
      <c r="D443" s="96"/>
      <c r="E443" s="3"/>
      <c r="F443" s="96"/>
      <c r="G443" s="3"/>
      <c r="H443" s="96"/>
      <c r="I443" s="3"/>
      <c r="J443" s="96"/>
      <c r="K443" s="3"/>
      <c r="L443" s="96"/>
      <c r="M443" s="3"/>
      <c r="N443" s="96"/>
      <c r="O443" s="3"/>
      <c r="P443" s="96"/>
      <c r="Q443" s="1265"/>
      <c r="R443" s="3"/>
      <c r="S443" s="3"/>
      <c r="T443" s="1685"/>
      <c r="U443" s="3"/>
      <c r="V443" s="96"/>
      <c r="W443" s="1265"/>
      <c r="X443" s="3"/>
      <c r="Y443" s="3"/>
      <c r="Z443" s="1569"/>
      <c r="AA443" s="96"/>
    </row>
    <row r="444" spans="1:27" ht="15">
      <c r="A444" s="3"/>
      <c r="B444" s="3"/>
      <c r="C444" s="1536"/>
      <c r="D444" s="96"/>
      <c r="E444" s="3"/>
      <c r="F444" s="96"/>
      <c r="G444" s="3"/>
      <c r="H444" s="96"/>
      <c r="I444" s="3"/>
      <c r="J444" s="96"/>
      <c r="K444" s="3"/>
      <c r="L444" s="96"/>
      <c r="M444" s="3"/>
      <c r="N444" s="96"/>
      <c r="O444" s="3"/>
      <c r="P444" s="96"/>
      <c r="Q444" s="1265"/>
      <c r="R444" s="3"/>
      <c r="S444" s="3"/>
      <c r="T444" s="1685"/>
      <c r="U444" s="3"/>
      <c r="V444" s="96"/>
      <c r="W444" s="1265"/>
      <c r="X444" s="3"/>
      <c r="Y444" s="3"/>
      <c r="Z444" s="1569"/>
      <c r="AA444" s="96"/>
    </row>
    <row r="445" spans="1:27" ht="15">
      <c r="A445" s="3"/>
      <c r="B445" s="3"/>
      <c r="C445" s="1536"/>
      <c r="D445" s="96"/>
      <c r="E445" s="3"/>
      <c r="F445" s="96"/>
      <c r="G445" s="3"/>
      <c r="H445" s="96"/>
      <c r="I445" s="3"/>
      <c r="J445" s="96"/>
      <c r="K445" s="3"/>
      <c r="L445" s="96"/>
      <c r="M445" s="3"/>
      <c r="N445" s="96"/>
      <c r="O445" s="3"/>
      <c r="P445" s="96"/>
      <c r="Q445" s="1265"/>
      <c r="R445" s="3"/>
      <c r="S445" s="3"/>
      <c r="T445" s="1685"/>
      <c r="U445" s="3"/>
      <c r="V445" s="96"/>
      <c r="W445" s="1265"/>
      <c r="X445" s="3"/>
      <c r="Y445" s="3"/>
      <c r="Z445" s="1569"/>
      <c r="AA445" s="96"/>
    </row>
    <row r="446" spans="1:27" ht="15">
      <c r="A446" s="3"/>
      <c r="B446" s="3"/>
      <c r="C446" s="1536"/>
      <c r="D446" s="96"/>
      <c r="E446" s="3"/>
      <c r="F446" s="96"/>
      <c r="G446" s="3"/>
      <c r="H446" s="96"/>
      <c r="I446" s="3"/>
      <c r="J446" s="96"/>
      <c r="K446" s="3"/>
      <c r="L446" s="96"/>
      <c r="M446" s="3"/>
      <c r="N446" s="96"/>
      <c r="O446" s="3"/>
      <c r="P446" s="96"/>
      <c r="Q446" s="1265"/>
      <c r="R446" s="3"/>
      <c r="S446" s="3"/>
      <c r="T446" s="1685"/>
      <c r="U446" s="3"/>
      <c r="V446" s="96"/>
      <c r="W446" s="1265"/>
      <c r="X446" s="3"/>
      <c r="Y446" s="3"/>
      <c r="Z446" s="1569"/>
      <c r="AA446" s="96"/>
    </row>
    <row r="447" spans="1:27" ht="15">
      <c r="A447" s="3"/>
      <c r="B447" s="3"/>
      <c r="C447" s="1536"/>
      <c r="D447" s="96"/>
      <c r="E447" s="3"/>
      <c r="F447" s="96"/>
      <c r="G447" s="3"/>
      <c r="H447" s="96"/>
      <c r="I447" s="3"/>
      <c r="J447" s="96"/>
      <c r="K447" s="3"/>
      <c r="L447" s="96"/>
      <c r="M447" s="3"/>
      <c r="N447" s="96"/>
      <c r="O447" s="3"/>
      <c r="P447" s="96"/>
      <c r="Q447" s="1265"/>
      <c r="R447" s="3"/>
      <c r="S447" s="3"/>
      <c r="T447" s="1685"/>
      <c r="U447" s="3"/>
      <c r="V447" s="96"/>
      <c r="W447" s="1265"/>
      <c r="X447" s="3"/>
      <c r="Y447" s="3"/>
      <c r="Z447" s="1569"/>
      <c r="AA447" s="96"/>
    </row>
    <row r="448" spans="1:27" ht="15">
      <c r="A448" s="3"/>
      <c r="B448" s="3"/>
      <c r="C448" s="1536"/>
      <c r="D448" s="96"/>
      <c r="E448" s="3"/>
      <c r="F448" s="96"/>
      <c r="G448" s="3"/>
      <c r="H448" s="96"/>
      <c r="I448" s="3"/>
      <c r="J448" s="96"/>
      <c r="K448" s="3"/>
      <c r="L448" s="96"/>
      <c r="M448" s="3"/>
      <c r="N448" s="96"/>
      <c r="O448" s="3"/>
      <c r="P448" s="96"/>
      <c r="Q448" s="1265"/>
      <c r="R448" s="3"/>
      <c r="S448" s="3"/>
      <c r="T448" s="1685"/>
      <c r="U448" s="3"/>
      <c r="V448" s="96"/>
      <c r="W448" s="1265"/>
      <c r="X448" s="3"/>
      <c r="Y448" s="3"/>
      <c r="Z448" s="1569"/>
      <c r="AA448" s="96"/>
    </row>
    <row r="449" spans="1:27" ht="15">
      <c r="A449" s="3"/>
      <c r="B449" s="3"/>
      <c r="C449" s="1536"/>
      <c r="D449" s="96"/>
      <c r="E449" s="3"/>
      <c r="F449" s="96"/>
      <c r="G449" s="3"/>
      <c r="H449" s="96"/>
      <c r="I449" s="3"/>
      <c r="J449" s="96"/>
      <c r="K449" s="3"/>
      <c r="L449" s="96"/>
      <c r="M449" s="3"/>
      <c r="N449" s="96"/>
      <c r="O449" s="3"/>
      <c r="P449" s="96"/>
      <c r="Q449" s="1265"/>
      <c r="R449" s="3"/>
      <c r="S449" s="3"/>
      <c r="T449" s="1685"/>
      <c r="U449" s="3"/>
      <c r="V449" s="96"/>
      <c r="W449" s="1265"/>
      <c r="X449" s="3"/>
      <c r="Y449" s="3"/>
      <c r="Z449" s="1569"/>
      <c r="AA449" s="96"/>
    </row>
    <row r="450" spans="1:27" ht="15">
      <c r="A450" s="3"/>
      <c r="B450" s="3"/>
      <c r="C450" s="1536"/>
      <c r="D450" s="96"/>
      <c r="E450" s="3"/>
      <c r="F450" s="96"/>
      <c r="G450" s="3"/>
      <c r="H450" s="96"/>
      <c r="I450" s="3"/>
      <c r="J450" s="96"/>
      <c r="K450" s="3"/>
      <c r="L450" s="96"/>
      <c r="M450" s="3"/>
      <c r="N450" s="96"/>
      <c r="O450" s="3"/>
      <c r="P450" s="96"/>
      <c r="Q450" s="1265"/>
      <c r="R450" s="3"/>
      <c r="S450" s="3"/>
      <c r="T450" s="1685"/>
      <c r="U450" s="3"/>
      <c r="V450" s="96"/>
      <c r="W450" s="1265"/>
      <c r="X450" s="3"/>
      <c r="Y450" s="3"/>
      <c r="Z450" s="1569"/>
      <c r="AA450" s="96"/>
    </row>
    <row r="451" spans="1:27" ht="15">
      <c r="A451" s="3"/>
      <c r="B451" s="3"/>
      <c r="C451" s="1536"/>
      <c r="D451" s="96"/>
      <c r="E451" s="3"/>
      <c r="F451" s="96"/>
      <c r="G451" s="3"/>
      <c r="H451" s="96"/>
      <c r="I451" s="3"/>
      <c r="J451" s="96"/>
      <c r="K451" s="3"/>
      <c r="L451" s="96"/>
      <c r="M451" s="3"/>
      <c r="N451" s="96"/>
      <c r="O451" s="3"/>
      <c r="P451" s="96"/>
      <c r="Q451" s="1265"/>
      <c r="R451" s="3"/>
      <c r="S451" s="3"/>
      <c r="T451" s="1685"/>
      <c r="U451" s="3"/>
      <c r="V451" s="96"/>
      <c r="W451" s="1265"/>
      <c r="X451" s="3"/>
      <c r="Y451" s="3"/>
      <c r="Z451" s="1569"/>
      <c r="AA451" s="96"/>
    </row>
    <row r="452" spans="1:27" ht="15">
      <c r="A452" s="3"/>
      <c r="B452" s="3"/>
      <c r="C452" s="1536"/>
      <c r="D452" s="96"/>
      <c r="E452" s="3"/>
      <c r="F452" s="96"/>
      <c r="G452" s="3"/>
      <c r="H452" s="96"/>
      <c r="I452" s="3"/>
      <c r="J452" s="96"/>
      <c r="K452" s="3"/>
      <c r="L452" s="96"/>
      <c r="M452" s="3"/>
      <c r="N452" s="96"/>
      <c r="O452" s="3"/>
      <c r="P452" s="96"/>
      <c r="Q452" s="1265"/>
      <c r="R452" s="3"/>
      <c r="S452" s="3"/>
      <c r="T452" s="1685"/>
      <c r="U452" s="3"/>
      <c r="V452" s="96"/>
      <c r="W452" s="1265"/>
      <c r="X452" s="3"/>
      <c r="Y452" s="3"/>
      <c r="Z452" s="1569"/>
      <c r="AA452" s="96"/>
    </row>
    <row r="453" spans="1:27" ht="15">
      <c r="A453" s="3"/>
      <c r="B453" s="3"/>
      <c r="C453" s="1536"/>
      <c r="D453" s="96"/>
      <c r="E453" s="3"/>
      <c r="F453" s="96"/>
      <c r="G453" s="3"/>
      <c r="H453" s="96"/>
      <c r="I453" s="3"/>
      <c r="J453" s="96"/>
      <c r="K453" s="3"/>
      <c r="L453" s="96"/>
      <c r="M453" s="3"/>
      <c r="N453" s="96"/>
      <c r="O453" s="3"/>
      <c r="P453" s="96"/>
      <c r="Q453" s="1265"/>
      <c r="R453" s="3"/>
      <c r="S453" s="3"/>
      <c r="T453" s="1685"/>
      <c r="U453" s="3"/>
      <c r="V453" s="96"/>
      <c r="W453" s="1265"/>
      <c r="X453" s="3"/>
      <c r="Y453" s="3"/>
      <c r="Z453" s="1569"/>
      <c r="AA453" s="96"/>
    </row>
    <row r="454" spans="1:27" ht="15">
      <c r="A454" s="3"/>
      <c r="B454" s="3"/>
      <c r="C454" s="1536"/>
      <c r="D454" s="96"/>
      <c r="E454" s="3"/>
      <c r="F454" s="96"/>
      <c r="G454" s="3"/>
      <c r="H454" s="96"/>
      <c r="I454" s="3"/>
      <c r="J454" s="96"/>
      <c r="K454" s="3"/>
      <c r="L454" s="96"/>
      <c r="M454" s="3"/>
      <c r="N454" s="96"/>
      <c r="O454" s="3"/>
      <c r="P454" s="96"/>
      <c r="Q454" s="1265"/>
      <c r="R454" s="3"/>
      <c r="S454" s="3"/>
      <c r="T454" s="1685"/>
      <c r="U454" s="3"/>
      <c r="V454" s="96"/>
      <c r="W454" s="1265"/>
      <c r="X454" s="3"/>
      <c r="Y454" s="3"/>
      <c r="Z454" s="1569"/>
      <c r="AA454" s="96"/>
    </row>
    <row r="455" spans="1:27" ht="15">
      <c r="A455" s="3"/>
      <c r="B455" s="3"/>
      <c r="C455" s="1536"/>
      <c r="D455" s="96"/>
      <c r="E455" s="3"/>
      <c r="F455" s="96"/>
      <c r="G455" s="3"/>
      <c r="H455" s="96"/>
      <c r="I455" s="3"/>
      <c r="J455" s="96"/>
      <c r="K455" s="3"/>
      <c r="L455" s="96"/>
      <c r="M455" s="3"/>
      <c r="N455" s="96"/>
      <c r="O455" s="3"/>
      <c r="P455" s="96"/>
      <c r="Q455" s="1265"/>
      <c r="R455" s="3"/>
      <c r="S455" s="3"/>
      <c r="T455" s="1685"/>
      <c r="U455" s="3"/>
      <c r="V455" s="96"/>
      <c r="W455" s="1265"/>
      <c r="X455" s="3"/>
      <c r="Y455" s="3"/>
      <c r="Z455" s="1569"/>
      <c r="AA455" s="96"/>
    </row>
    <row r="456" spans="1:27" ht="15">
      <c r="A456" s="3"/>
      <c r="B456" s="3"/>
      <c r="C456" s="1536"/>
      <c r="D456" s="96"/>
      <c r="E456" s="3"/>
      <c r="F456" s="96"/>
      <c r="G456" s="3"/>
      <c r="H456" s="96"/>
      <c r="I456" s="3"/>
      <c r="J456" s="96"/>
      <c r="K456" s="3"/>
      <c r="L456" s="96"/>
      <c r="M456" s="3"/>
      <c r="N456" s="96"/>
      <c r="O456" s="3"/>
      <c r="P456" s="96"/>
      <c r="Q456" s="1265"/>
      <c r="R456" s="3"/>
      <c r="S456" s="3"/>
      <c r="T456" s="1685"/>
      <c r="U456" s="3"/>
      <c r="V456" s="96"/>
      <c r="W456" s="1265"/>
      <c r="X456" s="3"/>
      <c r="Y456" s="3"/>
      <c r="Z456" s="1569"/>
      <c r="AA456" s="96"/>
    </row>
    <row r="457" spans="1:27" ht="15">
      <c r="A457" s="3"/>
      <c r="B457" s="3"/>
      <c r="C457" s="1536"/>
      <c r="D457" s="96"/>
      <c r="E457" s="3"/>
      <c r="F457" s="96"/>
      <c r="G457" s="3"/>
      <c r="H457" s="96"/>
      <c r="I457" s="3"/>
      <c r="J457" s="96"/>
      <c r="K457" s="3"/>
      <c r="L457" s="96"/>
      <c r="M457" s="3"/>
      <c r="N457" s="96"/>
      <c r="O457" s="3"/>
      <c r="P457" s="96"/>
      <c r="Q457" s="1265"/>
      <c r="R457" s="3"/>
      <c r="S457" s="3"/>
      <c r="T457" s="1685"/>
      <c r="U457" s="3"/>
      <c r="V457" s="96"/>
      <c r="W457" s="1265"/>
      <c r="X457" s="3"/>
      <c r="Y457" s="3"/>
      <c r="Z457" s="1569"/>
      <c r="AA457" s="96"/>
    </row>
    <row r="458" spans="1:27" ht="15">
      <c r="A458" s="3"/>
      <c r="B458" s="3"/>
      <c r="C458" s="1536"/>
      <c r="D458" s="96"/>
      <c r="E458" s="3"/>
      <c r="F458" s="96"/>
      <c r="G458" s="3"/>
      <c r="H458" s="96"/>
      <c r="I458" s="3"/>
      <c r="J458" s="96"/>
      <c r="K458" s="3"/>
      <c r="L458" s="96"/>
      <c r="M458" s="3"/>
      <c r="N458" s="96"/>
      <c r="O458" s="3"/>
      <c r="P458" s="96"/>
      <c r="Q458" s="1265"/>
      <c r="R458" s="3"/>
      <c r="S458" s="3"/>
      <c r="T458" s="1685"/>
      <c r="U458" s="3"/>
      <c r="V458" s="96"/>
      <c r="W458" s="1265"/>
      <c r="X458" s="3"/>
      <c r="Y458" s="3"/>
      <c r="Z458" s="1569"/>
      <c r="AA458" s="96"/>
    </row>
    <row r="459" spans="1:27" ht="15">
      <c r="A459" s="3"/>
      <c r="B459" s="3"/>
      <c r="C459" s="1536"/>
      <c r="D459" s="96"/>
      <c r="E459" s="3"/>
      <c r="F459" s="96"/>
      <c r="G459" s="3"/>
      <c r="H459" s="96"/>
      <c r="I459" s="3"/>
      <c r="J459" s="96"/>
      <c r="K459" s="3"/>
      <c r="L459" s="96"/>
      <c r="M459" s="3"/>
      <c r="N459" s="96"/>
      <c r="O459" s="3"/>
      <c r="P459" s="96"/>
      <c r="Q459" s="1265"/>
      <c r="R459" s="3"/>
      <c r="S459" s="3"/>
      <c r="T459" s="1685"/>
      <c r="U459" s="3"/>
      <c r="V459" s="96"/>
      <c r="W459" s="1265"/>
      <c r="X459" s="3"/>
      <c r="Y459" s="3"/>
      <c r="Z459" s="1569"/>
      <c r="AA459" s="96"/>
    </row>
    <row r="460" spans="1:27" ht="15">
      <c r="A460" s="3"/>
      <c r="B460" s="3"/>
      <c r="C460" s="1536"/>
      <c r="D460" s="96"/>
      <c r="E460" s="3"/>
      <c r="F460" s="96"/>
      <c r="G460" s="3"/>
      <c r="H460" s="96"/>
      <c r="I460" s="3"/>
      <c r="J460" s="96"/>
      <c r="K460" s="3"/>
      <c r="L460" s="96"/>
      <c r="M460" s="3"/>
      <c r="N460" s="96"/>
      <c r="O460" s="3"/>
      <c r="P460" s="96"/>
      <c r="Q460" s="1265"/>
      <c r="R460" s="3"/>
      <c r="S460" s="3"/>
      <c r="T460" s="1685"/>
      <c r="U460" s="3"/>
      <c r="V460" s="96"/>
      <c r="W460" s="1265"/>
      <c r="X460" s="3"/>
      <c r="Y460" s="3"/>
      <c r="Z460" s="1569"/>
      <c r="AA460" s="96"/>
    </row>
    <row r="461" spans="1:27" ht="15">
      <c r="A461" s="3"/>
      <c r="B461" s="3"/>
      <c r="C461" s="1536"/>
      <c r="D461" s="96"/>
      <c r="E461" s="3"/>
      <c r="F461" s="96"/>
      <c r="G461" s="3"/>
      <c r="H461" s="96"/>
      <c r="I461" s="3"/>
      <c r="J461" s="96"/>
      <c r="K461" s="3"/>
      <c r="L461" s="96"/>
      <c r="M461" s="3"/>
      <c r="N461" s="96"/>
      <c r="O461" s="3"/>
      <c r="P461" s="96"/>
      <c r="Q461" s="1265"/>
      <c r="R461" s="3"/>
      <c r="S461" s="3"/>
      <c r="T461" s="1685"/>
      <c r="U461" s="3"/>
      <c r="V461" s="96"/>
      <c r="W461" s="1265"/>
      <c r="X461" s="3"/>
      <c r="Y461" s="3"/>
      <c r="Z461" s="1569"/>
      <c r="AA461" s="96"/>
    </row>
    <row r="462" spans="1:27" ht="15">
      <c r="A462" s="3"/>
      <c r="B462" s="3"/>
      <c r="C462" s="1536"/>
      <c r="D462" s="96"/>
      <c r="E462" s="3"/>
      <c r="F462" s="96"/>
      <c r="G462" s="3"/>
      <c r="H462" s="96"/>
      <c r="I462" s="3"/>
      <c r="J462" s="96"/>
      <c r="K462" s="3"/>
      <c r="L462" s="96"/>
      <c r="M462" s="3"/>
      <c r="N462" s="96"/>
      <c r="O462" s="3"/>
      <c r="P462" s="96"/>
      <c r="Q462" s="1265"/>
      <c r="R462" s="3"/>
      <c r="S462" s="3"/>
      <c r="T462" s="1685"/>
      <c r="U462" s="3"/>
      <c r="V462" s="96"/>
      <c r="W462" s="1265"/>
      <c r="X462" s="3"/>
      <c r="Y462" s="3"/>
      <c r="Z462" s="1569"/>
      <c r="AA462" s="96"/>
    </row>
    <row r="463" spans="1:27" ht="15">
      <c r="A463" s="3"/>
      <c r="B463" s="3"/>
      <c r="C463" s="1536"/>
      <c r="D463" s="96"/>
      <c r="E463" s="3"/>
      <c r="F463" s="96"/>
      <c r="G463" s="3"/>
      <c r="H463" s="96"/>
      <c r="I463" s="3"/>
      <c r="J463" s="96"/>
      <c r="K463" s="3"/>
      <c r="L463" s="96"/>
      <c r="M463" s="3"/>
      <c r="N463" s="96"/>
      <c r="O463" s="3"/>
      <c r="P463" s="96"/>
      <c r="Q463" s="1265"/>
      <c r="R463" s="3"/>
      <c r="S463" s="3"/>
      <c r="T463" s="1685"/>
      <c r="U463" s="3"/>
      <c r="V463" s="96"/>
      <c r="W463" s="1265"/>
      <c r="X463" s="3"/>
      <c r="Y463" s="3"/>
      <c r="Z463" s="1569"/>
      <c r="AA463" s="96"/>
    </row>
    <row r="464" spans="1:27" ht="15">
      <c r="A464" s="3"/>
      <c r="B464" s="3"/>
      <c r="C464" s="1536"/>
      <c r="D464" s="96"/>
      <c r="E464" s="3"/>
      <c r="F464" s="96"/>
      <c r="G464" s="3"/>
      <c r="H464" s="96"/>
      <c r="I464" s="3"/>
      <c r="J464" s="96"/>
      <c r="K464" s="3"/>
      <c r="L464" s="96"/>
      <c r="M464" s="3"/>
      <c r="N464" s="96"/>
      <c r="O464" s="3"/>
      <c r="P464" s="96"/>
      <c r="Q464" s="1265"/>
      <c r="R464" s="3"/>
      <c r="S464" s="3"/>
      <c r="T464" s="1685"/>
      <c r="U464" s="3"/>
      <c r="V464" s="96"/>
      <c r="W464" s="1265"/>
      <c r="X464" s="3"/>
      <c r="Y464" s="3"/>
      <c r="Z464" s="1569"/>
      <c r="AA464" s="96"/>
    </row>
    <row r="465" spans="1:27" ht="15">
      <c r="A465" s="3"/>
      <c r="B465" s="3"/>
      <c r="C465" s="1536"/>
      <c r="D465" s="96"/>
      <c r="E465" s="3"/>
      <c r="F465" s="96"/>
      <c r="G465" s="3"/>
      <c r="H465" s="96"/>
      <c r="I465" s="3"/>
      <c r="J465" s="96"/>
      <c r="K465" s="3"/>
      <c r="L465" s="96"/>
      <c r="M465" s="3"/>
      <c r="N465" s="96"/>
      <c r="O465" s="3"/>
      <c r="P465" s="96"/>
      <c r="Q465" s="1265"/>
      <c r="R465" s="3"/>
      <c r="S465" s="3"/>
      <c r="T465" s="1685"/>
      <c r="U465" s="3"/>
      <c r="V465" s="96"/>
      <c r="W465" s="1265"/>
      <c r="X465" s="3"/>
      <c r="Y465" s="3"/>
      <c r="Z465" s="1569"/>
      <c r="AA465" s="96"/>
    </row>
    <row r="466" spans="1:27" ht="15">
      <c r="A466" s="3"/>
      <c r="B466" s="3"/>
      <c r="C466" s="1536"/>
      <c r="D466" s="96"/>
      <c r="E466" s="3"/>
      <c r="F466" s="96"/>
      <c r="G466" s="3"/>
      <c r="H466" s="96"/>
      <c r="I466" s="3"/>
      <c r="J466" s="96"/>
      <c r="K466" s="3"/>
      <c r="L466" s="96"/>
      <c r="M466" s="3"/>
      <c r="N466" s="96"/>
      <c r="O466" s="3"/>
      <c r="P466" s="96"/>
      <c r="Q466" s="1265"/>
      <c r="R466" s="3"/>
      <c r="S466" s="3"/>
      <c r="T466" s="1685"/>
      <c r="U466" s="3"/>
      <c r="V466" s="96"/>
      <c r="W466" s="1265"/>
      <c r="X466" s="3"/>
      <c r="Y466" s="3"/>
      <c r="Z466" s="1569"/>
      <c r="AA466" s="96"/>
    </row>
    <row r="467" spans="1:27" ht="15">
      <c r="A467" s="3"/>
      <c r="B467" s="3"/>
      <c r="C467" s="1536"/>
      <c r="D467" s="96"/>
      <c r="E467" s="3"/>
      <c r="F467" s="96"/>
      <c r="G467" s="3"/>
      <c r="H467" s="96"/>
      <c r="I467" s="3"/>
      <c r="J467" s="96"/>
      <c r="K467" s="3"/>
      <c r="L467" s="96"/>
      <c r="M467" s="3"/>
      <c r="N467" s="96"/>
      <c r="O467" s="3"/>
      <c r="P467" s="96"/>
      <c r="Q467" s="1265"/>
      <c r="R467" s="3"/>
      <c r="S467" s="3"/>
      <c r="T467" s="1685"/>
      <c r="U467" s="3"/>
      <c r="V467" s="96"/>
      <c r="W467" s="1265"/>
      <c r="X467" s="3"/>
      <c r="Y467" s="3"/>
      <c r="Z467" s="1569"/>
      <c r="AA467" s="96"/>
    </row>
    <row r="468" spans="1:27" ht="15">
      <c r="A468" s="3"/>
      <c r="B468" s="3"/>
      <c r="C468" s="1536"/>
      <c r="D468" s="96"/>
      <c r="E468" s="3"/>
      <c r="F468" s="96"/>
      <c r="G468" s="3"/>
      <c r="H468" s="96"/>
      <c r="I468" s="3"/>
      <c r="J468" s="96"/>
      <c r="K468" s="3"/>
      <c r="L468" s="96"/>
      <c r="M468" s="3"/>
      <c r="N468" s="96"/>
      <c r="O468" s="3"/>
      <c r="P468" s="96"/>
      <c r="Q468" s="1265"/>
      <c r="R468" s="3"/>
      <c r="S468" s="3"/>
      <c r="T468" s="1685"/>
      <c r="U468" s="3"/>
      <c r="V468" s="96"/>
      <c r="W468" s="1265"/>
      <c r="X468" s="3"/>
      <c r="Y468" s="3"/>
      <c r="Z468" s="1569"/>
      <c r="AA468" s="96"/>
    </row>
    <row r="469" spans="1:27" ht="15">
      <c r="A469" s="3"/>
      <c r="B469" s="3"/>
      <c r="C469" s="1536"/>
      <c r="D469" s="96"/>
      <c r="E469" s="3"/>
      <c r="F469" s="96"/>
      <c r="G469" s="3"/>
      <c r="H469" s="96"/>
      <c r="I469" s="3"/>
      <c r="J469" s="96"/>
      <c r="K469" s="3"/>
      <c r="L469" s="96"/>
      <c r="M469" s="3"/>
      <c r="N469" s="96"/>
      <c r="O469" s="3"/>
      <c r="P469" s="96"/>
      <c r="Q469" s="1265"/>
      <c r="R469" s="3"/>
      <c r="S469" s="3"/>
      <c r="T469" s="1685"/>
      <c r="U469" s="3"/>
      <c r="V469" s="96"/>
      <c r="W469" s="1265"/>
      <c r="X469" s="3"/>
      <c r="Y469" s="3"/>
      <c r="Z469" s="1569"/>
      <c r="AA469" s="96"/>
    </row>
    <row r="470" spans="1:27" ht="15">
      <c r="A470" s="3"/>
      <c r="B470" s="3"/>
      <c r="C470" s="1536"/>
      <c r="D470" s="96"/>
      <c r="E470" s="3"/>
      <c r="F470" s="96"/>
      <c r="G470" s="3"/>
      <c r="H470" s="96"/>
      <c r="I470" s="3"/>
      <c r="J470" s="96"/>
      <c r="K470" s="3"/>
      <c r="L470" s="96"/>
      <c r="M470" s="3"/>
      <c r="N470" s="96"/>
      <c r="O470" s="3"/>
      <c r="P470" s="96"/>
      <c r="Q470" s="1265"/>
      <c r="R470" s="3"/>
      <c r="S470" s="3"/>
      <c r="T470" s="1685"/>
      <c r="U470" s="3"/>
      <c r="V470" s="96"/>
      <c r="W470" s="1265"/>
      <c r="X470" s="3"/>
      <c r="Y470" s="3"/>
      <c r="Z470" s="1569"/>
      <c r="AA470" s="96"/>
    </row>
    <row r="471" spans="1:27" ht="15">
      <c r="A471" s="3"/>
      <c r="B471" s="3"/>
      <c r="C471" s="1536"/>
      <c r="D471" s="96"/>
      <c r="E471" s="3"/>
      <c r="F471" s="96"/>
      <c r="G471" s="3"/>
      <c r="H471" s="96"/>
      <c r="I471" s="3"/>
      <c r="J471" s="96"/>
      <c r="K471" s="3"/>
      <c r="L471" s="96"/>
      <c r="M471" s="3"/>
      <c r="N471" s="96"/>
      <c r="O471" s="3"/>
      <c r="P471" s="96"/>
      <c r="Q471" s="1265"/>
      <c r="R471" s="3"/>
      <c r="S471" s="3"/>
      <c r="T471" s="1685"/>
      <c r="U471" s="3"/>
      <c r="V471" s="96"/>
      <c r="W471" s="1265"/>
      <c r="X471" s="3"/>
      <c r="Y471" s="3"/>
      <c r="Z471" s="1569"/>
      <c r="AA471" s="96"/>
    </row>
    <row r="472" spans="1:27" ht="15">
      <c r="A472" s="3"/>
      <c r="B472" s="3"/>
      <c r="C472" s="1536"/>
      <c r="D472" s="96"/>
      <c r="E472" s="3"/>
      <c r="F472" s="96"/>
      <c r="G472" s="3"/>
      <c r="H472" s="96"/>
      <c r="I472" s="3"/>
      <c r="J472" s="96"/>
      <c r="K472" s="3"/>
      <c r="L472" s="96"/>
      <c r="M472" s="3"/>
      <c r="N472" s="96"/>
      <c r="O472" s="3"/>
      <c r="P472" s="96"/>
      <c r="Q472" s="1265"/>
      <c r="R472" s="3"/>
      <c r="S472" s="3"/>
      <c r="T472" s="1685"/>
      <c r="U472" s="3"/>
      <c r="V472" s="96"/>
      <c r="W472" s="1265"/>
      <c r="X472" s="3"/>
      <c r="Y472" s="3"/>
      <c r="Z472" s="1569"/>
      <c r="AA472" s="96"/>
    </row>
    <row r="473" spans="1:27" ht="15">
      <c r="A473" s="3"/>
      <c r="B473" s="3"/>
      <c r="C473" s="1536"/>
      <c r="D473" s="96"/>
      <c r="E473" s="3"/>
      <c r="F473" s="96"/>
      <c r="G473" s="3"/>
      <c r="H473" s="96"/>
      <c r="I473" s="3"/>
      <c r="J473" s="96"/>
      <c r="K473" s="3"/>
      <c r="L473" s="96"/>
      <c r="M473" s="3"/>
      <c r="N473" s="96"/>
      <c r="O473" s="3"/>
      <c r="P473" s="96"/>
      <c r="Q473" s="1265"/>
      <c r="R473" s="3"/>
      <c r="S473" s="3"/>
      <c r="T473" s="1685"/>
      <c r="U473" s="3"/>
      <c r="V473" s="96"/>
      <c r="W473" s="1265"/>
      <c r="X473" s="3"/>
      <c r="Y473" s="3"/>
      <c r="Z473" s="1569"/>
      <c r="AA473" s="96"/>
    </row>
    <row r="474" spans="1:27" ht="15">
      <c r="A474" s="3"/>
      <c r="B474" s="3"/>
      <c r="C474" s="1536"/>
      <c r="D474" s="96"/>
      <c r="E474" s="3"/>
      <c r="F474" s="96"/>
      <c r="G474" s="3"/>
      <c r="H474" s="96"/>
      <c r="I474" s="3"/>
      <c r="J474" s="96"/>
      <c r="K474" s="3"/>
      <c r="L474" s="96"/>
      <c r="M474" s="3"/>
      <c r="N474" s="96"/>
      <c r="O474" s="3"/>
      <c r="P474" s="96"/>
      <c r="Q474" s="1265"/>
      <c r="R474" s="3"/>
      <c r="S474" s="3"/>
      <c r="T474" s="1685"/>
      <c r="U474" s="3"/>
      <c r="V474" s="96"/>
      <c r="W474" s="1265"/>
      <c r="X474" s="3"/>
      <c r="Y474" s="3"/>
      <c r="Z474" s="1569"/>
      <c r="AA474" s="96"/>
    </row>
    <row r="475" spans="1:27" ht="15">
      <c r="A475" s="3"/>
      <c r="B475" s="3"/>
      <c r="C475" s="1536"/>
      <c r="D475" s="96"/>
      <c r="E475" s="3"/>
      <c r="F475" s="96"/>
      <c r="G475" s="3"/>
      <c r="H475" s="96"/>
      <c r="I475" s="3"/>
      <c r="J475" s="96"/>
      <c r="K475" s="3"/>
      <c r="L475" s="96"/>
      <c r="M475" s="3"/>
      <c r="N475" s="96"/>
      <c r="O475" s="3"/>
      <c r="P475" s="96"/>
      <c r="Q475" s="1265"/>
      <c r="R475" s="3"/>
      <c r="S475" s="3"/>
      <c r="T475" s="1685"/>
      <c r="U475" s="3"/>
      <c r="V475" s="96"/>
      <c r="W475" s="1265"/>
      <c r="X475" s="3"/>
      <c r="Y475" s="3"/>
      <c r="Z475" s="1569"/>
      <c r="AA475" s="96"/>
    </row>
    <row r="476" spans="1:27" ht="15">
      <c r="A476" s="3"/>
      <c r="B476" s="3"/>
      <c r="C476" s="1536"/>
      <c r="D476" s="96"/>
      <c r="E476" s="3"/>
      <c r="F476" s="96"/>
      <c r="G476" s="3"/>
      <c r="H476" s="96"/>
      <c r="I476" s="3"/>
      <c r="J476" s="96"/>
      <c r="K476" s="3"/>
      <c r="L476" s="96"/>
      <c r="M476" s="3"/>
      <c r="N476" s="96"/>
      <c r="O476" s="3"/>
      <c r="P476" s="96"/>
      <c r="Q476" s="1265"/>
      <c r="R476" s="3"/>
      <c r="S476" s="3"/>
      <c r="T476" s="1685"/>
      <c r="U476" s="3"/>
      <c r="V476" s="96"/>
      <c r="W476" s="1265"/>
      <c r="X476" s="3"/>
      <c r="Y476" s="3"/>
      <c r="Z476" s="1569"/>
      <c r="AA476" s="96"/>
    </row>
    <row r="477" spans="1:27" ht="15">
      <c r="A477" s="3"/>
      <c r="B477" s="3"/>
      <c r="C477" s="1536"/>
      <c r="D477" s="96"/>
      <c r="E477" s="3"/>
      <c r="F477" s="96"/>
      <c r="G477" s="3"/>
      <c r="H477" s="96"/>
      <c r="I477" s="3"/>
      <c r="J477" s="96"/>
      <c r="K477" s="3"/>
      <c r="L477" s="96"/>
      <c r="M477" s="3"/>
      <c r="N477" s="96"/>
      <c r="O477" s="3"/>
      <c r="P477" s="96"/>
      <c r="Q477" s="1265"/>
      <c r="R477" s="3"/>
      <c r="S477" s="3"/>
      <c r="T477" s="1685"/>
      <c r="U477" s="3"/>
      <c r="V477" s="96"/>
      <c r="W477" s="1265"/>
      <c r="X477" s="3"/>
      <c r="Y477" s="3"/>
      <c r="Z477" s="1569"/>
      <c r="AA477" s="96"/>
    </row>
    <row r="478" spans="1:27" ht="15">
      <c r="A478" s="3"/>
      <c r="B478" s="3"/>
      <c r="C478" s="1536"/>
      <c r="D478" s="96"/>
      <c r="E478" s="3"/>
      <c r="F478" s="96"/>
      <c r="G478" s="3"/>
      <c r="H478" s="96"/>
      <c r="I478" s="3"/>
      <c r="J478" s="96"/>
      <c r="K478" s="3"/>
      <c r="L478" s="96"/>
      <c r="M478" s="3"/>
      <c r="N478" s="96"/>
      <c r="O478" s="3"/>
      <c r="P478" s="96"/>
      <c r="Q478" s="1265"/>
      <c r="R478" s="3"/>
      <c r="S478" s="3"/>
      <c r="T478" s="1685"/>
      <c r="U478" s="3"/>
      <c r="V478" s="96"/>
      <c r="W478" s="1265"/>
      <c r="X478" s="3"/>
      <c r="Y478" s="3"/>
      <c r="Z478" s="1569"/>
      <c r="AA478" s="96"/>
    </row>
    <row r="479" spans="1:27" ht="15">
      <c r="A479" s="3"/>
      <c r="B479" s="3"/>
      <c r="C479" s="1536"/>
      <c r="D479" s="96"/>
      <c r="E479" s="3"/>
      <c r="F479" s="96"/>
      <c r="G479" s="3"/>
      <c r="H479" s="96"/>
      <c r="I479" s="3"/>
      <c r="J479" s="96"/>
      <c r="K479" s="3"/>
      <c r="L479" s="96"/>
      <c r="M479" s="3"/>
      <c r="N479" s="96"/>
      <c r="O479" s="3"/>
      <c r="P479" s="96"/>
      <c r="Q479" s="1265"/>
      <c r="R479" s="3"/>
      <c r="S479" s="3"/>
      <c r="T479" s="1685"/>
      <c r="U479" s="3"/>
      <c r="V479" s="96"/>
      <c r="W479" s="1265"/>
      <c r="X479" s="3"/>
      <c r="Y479" s="3"/>
      <c r="Z479" s="1569"/>
      <c r="AA479" s="96"/>
    </row>
    <row r="480" spans="1:27" ht="15">
      <c r="A480" s="3"/>
      <c r="B480" s="3"/>
      <c r="C480" s="1536"/>
      <c r="D480" s="96"/>
      <c r="E480" s="3"/>
      <c r="F480" s="96"/>
      <c r="G480" s="3"/>
      <c r="H480" s="96"/>
      <c r="I480" s="3"/>
      <c r="J480" s="96"/>
      <c r="K480" s="3"/>
      <c r="L480" s="96"/>
      <c r="M480" s="3"/>
      <c r="N480" s="96"/>
      <c r="O480" s="3"/>
      <c r="P480" s="96"/>
      <c r="Q480" s="1265"/>
      <c r="R480" s="3"/>
      <c r="S480" s="3"/>
      <c r="T480" s="1685"/>
      <c r="U480" s="3"/>
      <c r="V480" s="96"/>
      <c r="W480" s="1265"/>
      <c r="X480" s="3"/>
      <c r="Y480" s="3"/>
      <c r="Z480" s="1569"/>
      <c r="AA480" s="96"/>
    </row>
    <row r="481" spans="1:27" ht="15">
      <c r="A481" s="3"/>
      <c r="B481" s="3"/>
      <c r="C481" s="1536"/>
      <c r="D481" s="96"/>
      <c r="E481" s="3"/>
      <c r="F481" s="96"/>
      <c r="G481" s="3"/>
      <c r="H481" s="96"/>
      <c r="I481" s="3"/>
      <c r="J481" s="96"/>
      <c r="K481" s="3"/>
      <c r="L481" s="96"/>
      <c r="M481" s="3"/>
      <c r="N481" s="96"/>
      <c r="O481" s="3"/>
      <c r="P481" s="96"/>
      <c r="Q481" s="1265"/>
      <c r="R481" s="3"/>
      <c r="S481" s="3"/>
      <c r="T481" s="1685"/>
      <c r="U481" s="3"/>
      <c r="V481" s="96"/>
      <c r="W481" s="1265"/>
      <c r="X481" s="3"/>
      <c r="Y481" s="3"/>
      <c r="Z481" s="1569"/>
      <c r="AA481" s="96"/>
    </row>
    <row r="482" spans="1:27" ht="15">
      <c r="A482" s="3"/>
      <c r="B482" s="3"/>
      <c r="C482" s="1536"/>
      <c r="D482" s="96"/>
      <c r="E482" s="3"/>
      <c r="F482" s="96"/>
      <c r="G482" s="3"/>
      <c r="H482" s="96"/>
      <c r="I482" s="3"/>
      <c r="J482" s="96"/>
      <c r="K482" s="3"/>
      <c r="L482" s="96"/>
      <c r="M482" s="3"/>
      <c r="N482" s="96"/>
      <c r="O482" s="3"/>
      <c r="P482" s="96"/>
      <c r="Q482" s="1265"/>
      <c r="R482" s="3"/>
      <c r="S482" s="3"/>
      <c r="T482" s="1685"/>
      <c r="U482" s="3"/>
      <c r="V482" s="96"/>
      <c r="W482" s="1265"/>
      <c r="X482" s="3"/>
      <c r="Y482" s="3"/>
      <c r="Z482" s="1569"/>
      <c r="AA482" s="96"/>
    </row>
    <row r="483" spans="1:27" ht="15">
      <c r="A483" s="3"/>
      <c r="B483" s="3"/>
      <c r="C483" s="1536"/>
      <c r="D483" s="96"/>
      <c r="E483" s="3"/>
      <c r="F483" s="96"/>
      <c r="G483" s="3"/>
      <c r="H483" s="96"/>
      <c r="I483" s="3"/>
      <c r="J483" s="96"/>
      <c r="K483" s="3"/>
      <c r="L483" s="96"/>
      <c r="M483" s="3"/>
      <c r="N483" s="96"/>
      <c r="O483" s="3"/>
      <c r="P483" s="96"/>
      <c r="Q483" s="1265"/>
      <c r="R483" s="3"/>
      <c r="S483" s="3"/>
      <c r="T483" s="1685"/>
      <c r="U483" s="3"/>
      <c r="V483" s="96"/>
      <c r="W483" s="1265"/>
      <c r="X483" s="3"/>
      <c r="Y483" s="3"/>
      <c r="Z483" s="1569"/>
      <c r="AA483" s="96"/>
    </row>
    <row r="484" spans="1:27" ht="15">
      <c r="A484" s="3"/>
      <c r="B484" s="3"/>
      <c r="C484" s="1536"/>
      <c r="D484" s="96"/>
      <c r="E484" s="3"/>
      <c r="F484" s="96"/>
      <c r="G484" s="3"/>
      <c r="H484" s="96"/>
      <c r="I484" s="3"/>
      <c r="J484" s="96"/>
      <c r="K484" s="3"/>
      <c r="L484" s="96"/>
      <c r="M484" s="3"/>
      <c r="N484" s="96"/>
      <c r="O484" s="3"/>
      <c r="P484" s="96"/>
      <c r="Q484" s="1265"/>
      <c r="R484" s="3"/>
      <c r="S484" s="3"/>
      <c r="T484" s="1685"/>
      <c r="U484" s="3"/>
      <c r="V484" s="96"/>
      <c r="W484" s="1265"/>
      <c r="X484" s="3"/>
      <c r="Y484" s="3"/>
      <c r="Z484" s="1569"/>
      <c r="AA484" s="96"/>
    </row>
    <row r="485" spans="1:27" ht="15">
      <c r="A485" s="3"/>
      <c r="B485" s="3"/>
      <c r="C485" s="1536"/>
      <c r="D485" s="96"/>
      <c r="E485" s="3"/>
      <c r="F485" s="96"/>
      <c r="G485" s="3"/>
      <c r="H485" s="96"/>
      <c r="I485" s="3"/>
      <c r="J485" s="96"/>
      <c r="K485" s="3"/>
      <c r="L485" s="96"/>
      <c r="M485" s="3"/>
      <c r="N485" s="96"/>
      <c r="O485" s="3"/>
      <c r="P485" s="96"/>
      <c r="Q485" s="1265"/>
      <c r="R485" s="3"/>
      <c r="S485" s="3"/>
      <c r="T485" s="1685"/>
      <c r="U485" s="3"/>
      <c r="V485" s="96"/>
      <c r="W485" s="1265"/>
      <c r="X485" s="3"/>
      <c r="Y485" s="3"/>
      <c r="Z485" s="1569"/>
      <c r="AA485" s="96"/>
    </row>
    <row r="486" spans="1:27" ht="15">
      <c r="A486" s="3"/>
      <c r="B486" s="3"/>
      <c r="C486" s="1536"/>
      <c r="D486" s="96"/>
      <c r="E486" s="3"/>
      <c r="F486" s="96"/>
      <c r="G486" s="3"/>
      <c r="H486" s="96"/>
      <c r="I486" s="3"/>
      <c r="J486" s="96"/>
      <c r="K486" s="3"/>
      <c r="L486" s="96"/>
      <c r="M486" s="3"/>
      <c r="N486" s="96"/>
      <c r="O486" s="3"/>
      <c r="P486" s="96"/>
      <c r="Q486" s="1265"/>
      <c r="R486" s="3"/>
      <c r="S486" s="3"/>
      <c r="T486" s="1685"/>
      <c r="U486" s="3"/>
      <c r="V486" s="96"/>
      <c r="W486" s="1265"/>
      <c r="X486" s="3"/>
      <c r="Y486" s="3"/>
      <c r="Z486" s="1569"/>
      <c r="AA486" s="96"/>
    </row>
    <row r="487" spans="1:27" ht="15">
      <c r="A487" s="3"/>
      <c r="B487" s="3"/>
      <c r="C487" s="1536"/>
      <c r="D487" s="96"/>
      <c r="E487" s="3"/>
      <c r="F487" s="96"/>
      <c r="G487" s="3"/>
      <c r="H487" s="96"/>
      <c r="I487" s="3"/>
      <c r="J487" s="96"/>
      <c r="K487" s="3"/>
      <c r="L487" s="96"/>
      <c r="M487" s="3"/>
      <c r="N487" s="96"/>
      <c r="O487" s="3"/>
      <c r="P487" s="96"/>
      <c r="Q487" s="1265"/>
      <c r="R487" s="3"/>
      <c r="S487" s="3"/>
      <c r="T487" s="1685"/>
      <c r="U487" s="3"/>
      <c r="V487" s="96"/>
      <c r="W487" s="1265"/>
      <c r="X487" s="3"/>
      <c r="Y487" s="3"/>
      <c r="Z487" s="1569"/>
      <c r="AA487" s="96"/>
    </row>
    <row r="488" spans="1:27" ht="15">
      <c r="A488" s="3"/>
      <c r="B488" s="3"/>
      <c r="C488" s="1536"/>
      <c r="D488" s="96"/>
      <c r="E488" s="3"/>
      <c r="F488" s="96"/>
      <c r="G488" s="3"/>
      <c r="H488" s="96"/>
      <c r="I488" s="3"/>
      <c r="J488" s="96"/>
      <c r="K488" s="3"/>
      <c r="L488" s="96"/>
      <c r="M488" s="3"/>
      <c r="N488" s="96"/>
      <c r="O488" s="3"/>
      <c r="P488" s="96"/>
      <c r="Q488" s="1265"/>
      <c r="R488" s="3"/>
      <c r="S488" s="3"/>
      <c r="T488" s="1685"/>
      <c r="U488" s="3"/>
      <c r="V488" s="96"/>
      <c r="W488" s="1265"/>
      <c r="X488" s="3"/>
      <c r="Y488" s="3"/>
      <c r="Z488" s="1569"/>
      <c r="AA488" s="96"/>
    </row>
    <row r="489" spans="1:27" ht="15">
      <c r="A489" s="3"/>
      <c r="B489" s="3"/>
      <c r="C489" s="1536"/>
      <c r="D489" s="96"/>
      <c r="E489" s="3"/>
      <c r="F489" s="96"/>
      <c r="G489" s="3"/>
      <c r="H489" s="96"/>
      <c r="I489" s="3"/>
      <c r="J489" s="96"/>
      <c r="K489" s="3"/>
      <c r="L489" s="96"/>
      <c r="M489" s="3"/>
      <c r="N489" s="96"/>
      <c r="O489" s="3"/>
      <c r="P489" s="96"/>
      <c r="Q489" s="1265"/>
      <c r="R489" s="3"/>
      <c r="S489" s="3"/>
      <c r="T489" s="1685"/>
      <c r="U489" s="3"/>
      <c r="V489" s="96"/>
      <c r="W489" s="1265"/>
      <c r="X489" s="3"/>
      <c r="Y489" s="3"/>
      <c r="Z489" s="1569"/>
      <c r="AA489" s="96"/>
    </row>
    <row r="490" spans="1:27" ht="15">
      <c r="A490" s="3"/>
      <c r="B490" s="3"/>
      <c r="C490" s="1536"/>
      <c r="D490" s="96"/>
      <c r="E490" s="3"/>
      <c r="F490" s="96"/>
      <c r="G490" s="3"/>
      <c r="H490" s="96"/>
      <c r="I490" s="3"/>
      <c r="J490" s="96"/>
      <c r="K490" s="3"/>
      <c r="L490" s="96"/>
      <c r="M490" s="3"/>
      <c r="N490" s="96"/>
      <c r="O490" s="3"/>
      <c r="P490" s="96"/>
      <c r="Q490" s="1265"/>
      <c r="R490" s="3"/>
      <c r="S490" s="3"/>
      <c r="T490" s="1685"/>
      <c r="U490" s="3"/>
      <c r="V490" s="96"/>
      <c r="W490" s="1265"/>
      <c r="X490" s="3"/>
      <c r="Y490" s="3"/>
      <c r="Z490" s="1569"/>
      <c r="AA490" s="96"/>
    </row>
    <row r="491" spans="1:27" ht="15">
      <c r="A491" s="3"/>
      <c r="B491" s="3"/>
      <c r="C491" s="1536"/>
      <c r="D491" s="96"/>
      <c r="E491" s="3"/>
      <c r="F491" s="96"/>
      <c r="G491" s="3"/>
      <c r="H491" s="96"/>
      <c r="I491" s="3"/>
      <c r="J491" s="96"/>
      <c r="K491" s="3"/>
      <c r="L491" s="96"/>
      <c r="M491" s="3"/>
      <c r="N491" s="96"/>
      <c r="O491" s="3"/>
      <c r="P491" s="96"/>
      <c r="Q491" s="1265"/>
      <c r="R491" s="3"/>
      <c r="S491" s="3"/>
      <c r="T491" s="1685"/>
      <c r="U491" s="3"/>
      <c r="V491" s="96"/>
      <c r="W491" s="1265"/>
      <c r="X491" s="3"/>
      <c r="Y491" s="3"/>
      <c r="Z491" s="1569"/>
      <c r="AA491" s="96"/>
    </row>
    <row r="492" spans="1:27" ht="15">
      <c r="A492" s="3"/>
      <c r="B492" s="3"/>
      <c r="C492" s="1536"/>
      <c r="D492" s="96"/>
      <c r="E492" s="3"/>
      <c r="F492" s="96"/>
      <c r="G492" s="3"/>
      <c r="H492" s="96"/>
      <c r="I492" s="3"/>
      <c r="J492" s="96"/>
      <c r="K492" s="3"/>
      <c r="L492" s="96"/>
      <c r="M492" s="3"/>
      <c r="N492" s="96"/>
      <c r="O492" s="3"/>
      <c r="P492" s="96"/>
      <c r="Q492" s="1265"/>
      <c r="R492" s="3"/>
      <c r="S492" s="3"/>
      <c r="T492" s="1685"/>
      <c r="U492" s="3"/>
      <c r="V492" s="96"/>
      <c r="W492" s="1265"/>
      <c r="X492" s="3"/>
      <c r="Y492" s="3"/>
      <c r="Z492" s="1569"/>
      <c r="AA492" s="96"/>
    </row>
    <row r="493" spans="1:27" ht="15">
      <c r="A493" s="3"/>
      <c r="B493" s="3"/>
      <c r="C493" s="1536"/>
      <c r="D493" s="96"/>
      <c r="E493" s="3"/>
      <c r="F493" s="96"/>
      <c r="G493" s="3"/>
      <c r="H493" s="96"/>
      <c r="I493" s="3"/>
      <c r="J493" s="96"/>
      <c r="K493" s="3"/>
      <c r="L493" s="96"/>
      <c r="M493" s="3"/>
      <c r="N493" s="96"/>
      <c r="O493" s="3"/>
      <c r="P493" s="96"/>
      <c r="Q493" s="1265"/>
      <c r="R493" s="3"/>
      <c r="S493" s="3"/>
      <c r="T493" s="1685"/>
      <c r="U493" s="3"/>
      <c r="V493" s="96"/>
      <c r="W493" s="1265"/>
      <c r="X493" s="3"/>
      <c r="Y493" s="3"/>
      <c r="Z493" s="1569"/>
      <c r="AA493" s="96"/>
    </row>
    <row r="494" spans="1:27" ht="15">
      <c r="A494" s="3"/>
      <c r="B494" s="3"/>
      <c r="C494" s="1536"/>
      <c r="D494" s="96"/>
      <c r="E494" s="3"/>
      <c r="F494" s="96"/>
      <c r="G494" s="3"/>
      <c r="H494" s="96"/>
      <c r="I494" s="3"/>
      <c r="J494" s="96"/>
      <c r="K494" s="3"/>
      <c r="L494" s="96"/>
      <c r="M494" s="3"/>
      <c r="N494" s="96"/>
      <c r="O494" s="3"/>
      <c r="P494" s="96"/>
      <c r="Q494" s="1265"/>
      <c r="R494" s="3"/>
      <c r="S494" s="3"/>
      <c r="T494" s="1685"/>
      <c r="U494" s="3"/>
      <c r="V494" s="96"/>
      <c r="W494" s="1265"/>
      <c r="X494" s="3"/>
      <c r="Y494" s="3"/>
      <c r="Z494" s="1569"/>
      <c r="AA494" s="96"/>
    </row>
    <row r="495" spans="1:27" ht="15">
      <c r="A495" s="3"/>
      <c r="B495" s="3"/>
      <c r="C495" s="1536"/>
      <c r="D495" s="96"/>
      <c r="E495" s="3"/>
      <c r="F495" s="96"/>
      <c r="G495" s="3"/>
      <c r="H495" s="96"/>
      <c r="I495" s="3"/>
      <c r="J495" s="96"/>
      <c r="K495" s="3"/>
      <c r="L495" s="96"/>
      <c r="M495" s="3"/>
      <c r="N495" s="96"/>
      <c r="O495" s="3"/>
      <c r="P495" s="96"/>
      <c r="Q495" s="1265"/>
      <c r="R495" s="3"/>
      <c r="S495" s="3"/>
      <c r="T495" s="1685"/>
      <c r="U495" s="3"/>
      <c r="V495" s="96"/>
      <c r="W495" s="1265"/>
      <c r="X495" s="3"/>
      <c r="Y495" s="3"/>
      <c r="Z495" s="1569"/>
      <c r="AA495" s="96"/>
    </row>
    <row r="496" spans="1:27" ht="15">
      <c r="A496" s="3"/>
      <c r="B496" s="3"/>
      <c r="C496" s="1536"/>
      <c r="D496" s="96"/>
      <c r="E496" s="3"/>
      <c r="F496" s="96"/>
      <c r="G496" s="3"/>
      <c r="H496" s="96"/>
      <c r="I496" s="3"/>
      <c r="J496" s="96"/>
      <c r="K496" s="3"/>
      <c r="L496" s="96"/>
      <c r="M496" s="3"/>
      <c r="N496" s="96"/>
      <c r="O496" s="3"/>
      <c r="P496" s="96"/>
      <c r="Q496" s="1265"/>
      <c r="R496" s="3"/>
      <c r="S496" s="3"/>
      <c r="T496" s="1685"/>
      <c r="U496" s="3"/>
      <c r="V496" s="96"/>
      <c r="W496" s="1265"/>
      <c r="X496" s="3"/>
      <c r="Y496" s="3"/>
      <c r="Z496" s="1569"/>
      <c r="AA496" s="96"/>
    </row>
    <row r="497" spans="1:27" ht="15">
      <c r="A497" s="3"/>
      <c r="B497" s="3"/>
      <c r="C497" s="1536"/>
      <c r="D497" s="96"/>
      <c r="E497" s="3"/>
      <c r="F497" s="96"/>
      <c r="G497" s="3"/>
      <c r="H497" s="96"/>
      <c r="I497" s="3"/>
      <c r="J497" s="96"/>
      <c r="K497" s="3"/>
      <c r="L497" s="96"/>
      <c r="M497" s="3"/>
      <c r="N497" s="96"/>
      <c r="O497" s="3"/>
      <c r="P497" s="96"/>
      <c r="Q497" s="1265"/>
      <c r="R497" s="3"/>
      <c r="S497" s="3"/>
      <c r="T497" s="1685"/>
      <c r="U497" s="3"/>
      <c r="V497" s="96"/>
      <c r="W497" s="1265"/>
      <c r="X497" s="3"/>
      <c r="Y497" s="3"/>
      <c r="Z497" s="1569"/>
      <c r="AA497" s="96"/>
    </row>
    <row r="498" spans="1:27" ht="15">
      <c r="A498" s="3"/>
      <c r="B498" s="3"/>
      <c r="C498" s="1536"/>
      <c r="D498" s="96"/>
      <c r="E498" s="3"/>
      <c r="F498" s="96"/>
      <c r="G498" s="3"/>
      <c r="H498" s="96"/>
      <c r="I498" s="3"/>
      <c r="J498" s="96"/>
      <c r="K498" s="3"/>
      <c r="L498" s="96"/>
      <c r="M498" s="3"/>
      <c r="N498" s="96"/>
      <c r="O498" s="3"/>
      <c r="P498" s="96"/>
      <c r="Q498" s="1265"/>
      <c r="R498" s="3"/>
      <c r="S498" s="3"/>
      <c r="T498" s="1685"/>
      <c r="U498" s="3"/>
      <c r="V498" s="96"/>
      <c r="W498" s="1265"/>
      <c r="X498" s="3"/>
      <c r="Y498" s="3"/>
      <c r="Z498" s="1569"/>
      <c r="AA498" s="96"/>
    </row>
    <row r="499" spans="1:27" ht="15">
      <c r="A499" s="3"/>
      <c r="B499" s="3"/>
      <c r="C499" s="1536"/>
      <c r="D499" s="96"/>
      <c r="E499" s="3"/>
      <c r="F499" s="96"/>
      <c r="G499" s="3"/>
      <c r="H499" s="96"/>
      <c r="I499" s="3"/>
      <c r="J499" s="96"/>
      <c r="K499" s="3"/>
      <c r="L499" s="96"/>
      <c r="M499" s="3"/>
      <c r="N499" s="96"/>
      <c r="O499" s="3"/>
      <c r="P499" s="96"/>
      <c r="Q499" s="1265"/>
      <c r="R499" s="3"/>
      <c r="S499" s="3"/>
      <c r="T499" s="1685"/>
      <c r="U499" s="3"/>
      <c r="V499" s="96"/>
      <c r="W499" s="1265"/>
      <c r="X499" s="3"/>
      <c r="Y499" s="3"/>
      <c r="Z499" s="1569"/>
      <c r="AA499" s="96"/>
    </row>
    <row r="500" spans="1:27" ht="15">
      <c r="A500" s="3"/>
      <c r="B500" s="3"/>
      <c r="C500" s="1536"/>
      <c r="D500" s="96"/>
      <c r="E500" s="3"/>
      <c r="F500" s="96"/>
      <c r="G500" s="3"/>
      <c r="H500" s="96"/>
      <c r="I500" s="3"/>
      <c r="J500" s="96"/>
      <c r="K500" s="3"/>
      <c r="L500" s="96"/>
      <c r="M500" s="3"/>
      <c r="N500" s="96"/>
      <c r="O500" s="3"/>
      <c r="P500" s="96"/>
      <c r="Q500" s="1265"/>
      <c r="R500" s="3"/>
      <c r="S500" s="3"/>
      <c r="T500" s="1685"/>
      <c r="U500" s="3"/>
      <c r="V500" s="96"/>
      <c r="W500" s="1265"/>
      <c r="X500" s="3"/>
      <c r="Y500" s="3"/>
      <c r="Z500" s="1569"/>
      <c r="AA500" s="96"/>
    </row>
    <row r="501" spans="1:27" ht="15">
      <c r="A501" s="3"/>
      <c r="B501" s="3"/>
      <c r="C501" s="1536"/>
      <c r="D501" s="96"/>
      <c r="E501" s="3"/>
      <c r="F501" s="96"/>
      <c r="G501" s="3"/>
      <c r="H501" s="96"/>
      <c r="I501" s="3"/>
      <c r="J501" s="96"/>
      <c r="K501" s="3"/>
      <c r="L501" s="96"/>
      <c r="M501" s="3"/>
      <c r="N501" s="96"/>
      <c r="O501" s="3"/>
      <c r="P501" s="96"/>
      <c r="Q501" s="1265"/>
      <c r="R501" s="3"/>
      <c r="S501" s="3"/>
      <c r="T501" s="1685"/>
      <c r="U501" s="3"/>
      <c r="V501" s="96"/>
      <c r="W501" s="1265"/>
      <c r="X501" s="3"/>
      <c r="Y501" s="3"/>
      <c r="Z501" s="1569"/>
      <c r="AA501" s="96"/>
    </row>
    <row r="502" spans="1:27" ht="15">
      <c r="A502" s="3"/>
      <c r="B502" s="3"/>
      <c r="C502" s="1536"/>
      <c r="D502" s="96"/>
      <c r="E502" s="3"/>
      <c r="F502" s="96"/>
      <c r="G502" s="3"/>
      <c r="H502" s="96"/>
      <c r="I502" s="3"/>
      <c r="J502" s="96"/>
      <c r="K502" s="3"/>
      <c r="L502" s="96"/>
      <c r="M502" s="3"/>
      <c r="N502" s="96"/>
      <c r="O502" s="3"/>
      <c r="P502" s="96"/>
      <c r="Q502" s="1265"/>
      <c r="R502" s="3"/>
      <c r="S502" s="3"/>
      <c r="T502" s="1685"/>
      <c r="U502" s="3"/>
      <c r="V502" s="96"/>
      <c r="W502" s="1265"/>
      <c r="X502" s="3"/>
      <c r="Y502" s="3"/>
      <c r="Z502" s="1569"/>
      <c r="AA502" s="96"/>
    </row>
    <row r="503" spans="1:27" ht="15">
      <c r="A503" s="3"/>
      <c r="B503" s="3"/>
      <c r="C503" s="1536"/>
      <c r="D503" s="96"/>
      <c r="E503" s="3"/>
      <c r="F503" s="96"/>
      <c r="G503" s="3"/>
      <c r="H503" s="96"/>
      <c r="I503" s="3"/>
      <c r="J503" s="96"/>
      <c r="K503" s="3"/>
      <c r="L503" s="96"/>
      <c r="M503" s="3"/>
      <c r="N503" s="96"/>
      <c r="O503" s="3"/>
      <c r="P503" s="96"/>
      <c r="Q503" s="1265"/>
      <c r="R503" s="3"/>
      <c r="S503" s="3"/>
      <c r="T503" s="1685"/>
      <c r="U503" s="3"/>
      <c r="V503" s="96"/>
      <c r="W503" s="1265"/>
      <c r="X503" s="3"/>
      <c r="Y503" s="3"/>
      <c r="Z503" s="1569"/>
      <c r="AA503" s="96"/>
    </row>
    <row r="504" spans="1:27" ht="15">
      <c r="A504" s="3"/>
      <c r="B504" s="3"/>
      <c r="C504" s="1536"/>
      <c r="D504" s="96"/>
      <c r="E504" s="3"/>
      <c r="F504" s="96"/>
      <c r="G504" s="3"/>
      <c r="H504" s="96"/>
      <c r="I504" s="3"/>
      <c r="J504" s="96"/>
      <c r="K504" s="3"/>
      <c r="L504" s="96"/>
      <c r="M504" s="3"/>
      <c r="N504" s="96"/>
      <c r="O504" s="3"/>
      <c r="P504" s="96"/>
      <c r="Q504" s="1265"/>
      <c r="R504" s="3"/>
      <c r="S504" s="3"/>
      <c r="T504" s="1685"/>
      <c r="U504" s="3"/>
      <c r="V504" s="96"/>
      <c r="W504" s="1265"/>
      <c r="X504" s="3"/>
      <c r="Y504" s="3"/>
      <c r="Z504" s="1569"/>
      <c r="AA504" s="96"/>
    </row>
    <row r="505" spans="1:27" ht="15">
      <c r="A505" s="3"/>
      <c r="B505" s="3"/>
      <c r="C505" s="1536"/>
      <c r="D505" s="96"/>
      <c r="E505" s="3"/>
      <c r="F505" s="96"/>
      <c r="G505" s="3"/>
      <c r="H505" s="96"/>
      <c r="I505" s="3"/>
      <c r="J505" s="96"/>
      <c r="K505" s="3"/>
      <c r="L505" s="96"/>
      <c r="M505" s="3"/>
      <c r="N505" s="96"/>
      <c r="O505" s="3"/>
      <c r="P505" s="96"/>
      <c r="Q505" s="1265"/>
      <c r="R505" s="3"/>
      <c r="S505" s="3"/>
      <c r="T505" s="1685"/>
      <c r="U505" s="3"/>
      <c r="V505" s="96"/>
      <c r="W505" s="1265"/>
      <c r="X505" s="3"/>
      <c r="Y505" s="3"/>
      <c r="Z505" s="1569"/>
      <c r="AA505" s="96"/>
    </row>
    <row r="506" spans="1:27" ht="15">
      <c r="A506" s="3"/>
      <c r="B506" s="3"/>
      <c r="C506" s="1536"/>
      <c r="D506" s="96"/>
      <c r="E506" s="3"/>
      <c r="F506" s="96"/>
      <c r="G506" s="3"/>
      <c r="H506" s="96"/>
      <c r="I506" s="3"/>
      <c r="J506" s="96"/>
      <c r="K506" s="3"/>
      <c r="L506" s="96"/>
      <c r="M506" s="3"/>
      <c r="N506" s="96"/>
      <c r="O506" s="3"/>
      <c r="P506" s="96"/>
      <c r="Q506" s="1265"/>
      <c r="R506" s="3"/>
      <c r="S506" s="3"/>
      <c r="T506" s="1685"/>
      <c r="U506" s="3"/>
      <c r="V506" s="96"/>
      <c r="W506" s="1265"/>
      <c r="X506" s="3"/>
      <c r="Y506" s="3"/>
      <c r="Z506" s="1569"/>
      <c r="AA506" s="96"/>
    </row>
    <row r="507" spans="1:27" ht="15">
      <c r="A507" s="3"/>
      <c r="B507" s="3"/>
      <c r="C507" s="1536"/>
      <c r="D507" s="96"/>
      <c r="E507" s="3"/>
      <c r="F507" s="96"/>
      <c r="G507" s="3"/>
      <c r="H507" s="96"/>
      <c r="I507" s="3"/>
      <c r="J507" s="96"/>
      <c r="K507" s="3"/>
      <c r="L507" s="96"/>
      <c r="M507" s="3"/>
      <c r="N507" s="96"/>
      <c r="O507" s="3"/>
      <c r="P507" s="96"/>
      <c r="Q507" s="1265"/>
      <c r="R507" s="3"/>
      <c r="S507" s="3"/>
      <c r="T507" s="1685"/>
      <c r="U507" s="3"/>
      <c r="V507" s="96"/>
      <c r="W507" s="1265"/>
      <c r="X507" s="3"/>
      <c r="Y507" s="3"/>
      <c r="Z507" s="1569"/>
      <c r="AA507" s="96"/>
    </row>
    <row r="508" spans="1:27" ht="15">
      <c r="A508" s="3"/>
      <c r="B508" s="3"/>
      <c r="C508" s="1536"/>
      <c r="D508" s="96"/>
      <c r="E508" s="3"/>
      <c r="F508" s="96"/>
      <c r="G508" s="3"/>
      <c r="H508" s="96"/>
      <c r="I508" s="3"/>
      <c r="J508" s="96"/>
      <c r="K508" s="3"/>
      <c r="L508" s="96"/>
      <c r="M508" s="3"/>
      <c r="N508" s="96"/>
      <c r="O508" s="3"/>
      <c r="P508" s="96"/>
      <c r="Q508" s="1265"/>
      <c r="R508" s="3"/>
      <c r="S508" s="3"/>
      <c r="T508" s="1685"/>
      <c r="U508" s="3"/>
      <c r="V508" s="96"/>
      <c r="W508" s="1265"/>
      <c r="X508" s="3"/>
      <c r="Y508" s="3"/>
      <c r="Z508" s="1569"/>
      <c r="AA508" s="96"/>
    </row>
    <row r="509" spans="1:27" ht="15">
      <c r="A509" s="3"/>
      <c r="B509" s="3"/>
      <c r="C509" s="1536"/>
      <c r="D509" s="96"/>
      <c r="E509" s="3"/>
      <c r="F509" s="96"/>
      <c r="G509" s="3"/>
      <c r="H509" s="96"/>
      <c r="I509" s="3"/>
      <c r="J509" s="96"/>
      <c r="K509" s="3"/>
      <c r="L509" s="96"/>
      <c r="M509" s="3"/>
      <c r="N509" s="96"/>
      <c r="O509" s="3"/>
      <c r="P509" s="96"/>
      <c r="Q509" s="1265"/>
      <c r="R509" s="3"/>
      <c r="S509" s="3"/>
      <c r="T509" s="1685"/>
      <c r="U509" s="3"/>
      <c r="V509" s="96"/>
      <c r="W509" s="1265"/>
      <c r="X509" s="3"/>
      <c r="Y509" s="3"/>
      <c r="Z509" s="1569"/>
      <c r="AA509" s="96"/>
    </row>
    <row r="510" spans="1:27" ht="15">
      <c r="A510" s="3"/>
      <c r="B510" s="3"/>
      <c r="C510" s="1536"/>
      <c r="D510" s="96"/>
      <c r="E510" s="3"/>
      <c r="F510" s="96"/>
      <c r="G510" s="3"/>
      <c r="H510" s="96"/>
      <c r="I510" s="3"/>
      <c r="J510" s="96"/>
      <c r="K510" s="3"/>
      <c r="L510" s="96"/>
      <c r="M510" s="3"/>
      <c r="N510" s="96"/>
      <c r="O510" s="3"/>
      <c r="P510" s="96"/>
      <c r="Q510" s="1265"/>
      <c r="R510" s="3"/>
      <c r="S510" s="3"/>
      <c r="T510" s="1685"/>
      <c r="U510" s="3"/>
      <c r="V510" s="96"/>
      <c r="W510" s="1265"/>
      <c r="X510" s="3"/>
      <c r="Y510" s="3"/>
      <c r="Z510" s="1569"/>
      <c r="AA510" s="96"/>
    </row>
    <row r="511" spans="1:27" ht="15">
      <c r="A511" s="3"/>
      <c r="B511" s="3"/>
      <c r="C511" s="1536"/>
      <c r="D511" s="96"/>
      <c r="E511" s="3"/>
      <c r="F511" s="96"/>
      <c r="G511" s="3"/>
      <c r="H511" s="96"/>
      <c r="I511" s="3"/>
      <c r="J511" s="96"/>
      <c r="K511" s="3"/>
      <c r="L511" s="96"/>
      <c r="M511" s="3"/>
      <c r="N511" s="96"/>
      <c r="O511" s="3"/>
      <c r="P511" s="96"/>
      <c r="Q511" s="1265"/>
      <c r="R511" s="3"/>
      <c r="S511" s="3"/>
      <c r="T511" s="1685"/>
      <c r="U511" s="3"/>
      <c r="V511" s="96"/>
      <c r="W511" s="1265"/>
      <c r="X511" s="3"/>
      <c r="Y511" s="3"/>
      <c r="Z511" s="1569"/>
      <c r="AA511" s="96"/>
    </row>
    <row r="512" spans="1:27" ht="15">
      <c r="A512" s="3"/>
      <c r="B512" s="3"/>
      <c r="C512" s="1536"/>
      <c r="D512" s="96"/>
      <c r="E512" s="3"/>
      <c r="F512" s="96"/>
      <c r="G512" s="3"/>
      <c r="H512" s="96"/>
      <c r="I512" s="3"/>
      <c r="J512" s="96"/>
      <c r="K512" s="3"/>
      <c r="L512" s="96"/>
      <c r="M512" s="3"/>
      <c r="N512" s="96"/>
      <c r="O512" s="3"/>
      <c r="P512" s="96"/>
      <c r="Q512" s="1265"/>
      <c r="R512" s="3"/>
      <c r="S512" s="3"/>
      <c r="T512" s="1685"/>
      <c r="U512" s="3"/>
      <c r="V512" s="96"/>
      <c r="W512" s="1265"/>
      <c r="X512" s="3"/>
      <c r="Y512" s="3"/>
      <c r="Z512" s="1569"/>
      <c r="AA512" s="96"/>
    </row>
    <row r="513" spans="1:27" ht="15">
      <c r="A513" s="3"/>
      <c r="B513" s="3"/>
      <c r="C513" s="1536"/>
      <c r="D513" s="96"/>
      <c r="E513" s="3"/>
      <c r="F513" s="96"/>
      <c r="G513" s="3"/>
      <c r="H513" s="96"/>
      <c r="I513" s="3"/>
      <c r="J513" s="96"/>
      <c r="K513" s="3"/>
      <c r="L513" s="96"/>
      <c r="M513" s="3"/>
      <c r="N513" s="96"/>
      <c r="O513" s="3"/>
      <c r="P513" s="96"/>
      <c r="Q513" s="1265"/>
      <c r="R513" s="3"/>
      <c r="S513" s="3"/>
      <c r="T513" s="1685"/>
      <c r="U513" s="3"/>
      <c r="V513" s="96"/>
      <c r="W513" s="1265"/>
      <c r="X513" s="3"/>
      <c r="Y513" s="3"/>
      <c r="Z513" s="1569"/>
      <c r="AA513" s="96"/>
    </row>
    <row r="514" spans="1:27" ht="15">
      <c r="A514" s="3"/>
      <c r="B514" s="3"/>
      <c r="C514" s="1536"/>
      <c r="D514" s="96"/>
      <c r="E514" s="3"/>
      <c r="F514" s="96"/>
      <c r="G514" s="3"/>
      <c r="H514" s="96"/>
      <c r="I514" s="3"/>
      <c r="J514" s="96"/>
      <c r="K514" s="3"/>
      <c r="L514" s="96"/>
      <c r="M514" s="3"/>
      <c r="N514" s="96"/>
      <c r="O514" s="3"/>
      <c r="P514" s="96"/>
      <c r="Q514" s="1265"/>
      <c r="R514" s="3"/>
      <c r="S514" s="3"/>
      <c r="T514" s="1685"/>
      <c r="U514" s="3"/>
      <c r="V514" s="96"/>
      <c r="W514" s="1265"/>
      <c r="X514" s="3"/>
      <c r="Y514" s="3"/>
      <c r="Z514" s="1569"/>
      <c r="AA514" s="96"/>
    </row>
    <row r="515" spans="1:27" ht="15">
      <c r="A515" s="3"/>
      <c r="B515" s="3"/>
      <c r="C515" s="1536"/>
      <c r="D515" s="96"/>
      <c r="E515" s="3"/>
      <c r="F515" s="96"/>
      <c r="G515" s="3"/>
      <c r="H515" s="96"/>
      <c r="I515" s="3"/>
      <c r="J515" s="96"/>
      <c r="K515" s="3"/>
      <c r="L515" s="96"/>
      <c r="M515" s="3"/>
      <c r="N515" s="96"/>
      <c r="O515" s="3"/>
      <c r="P515" s="96"/>
      <c r="Q515" s="1265"/>
      <c r="R515" s="3"/>
      <c r="S515" s="3"/>
      <c r="T515" s="1685"/>
      <c r="U515" s="3"/>
      <c r="V515" s="96"/>
      <c r="W515" s="1265"/>
      <c r="X515" s="3"/>
      <c r="Y515" s="3"/>
      <c r="Z515" s="1569"/>
      <c r="AA515" s="96"/>
    </row>
    <row r="516" spans="1:27" ht="15">
      <c r="A516" s="3"/>
      <c r="B516" s="3"/>
      <c r="C516" s="1536"/>
      <c r="D516" s="96"/>
      <c r="E516" s="3"/>
      <c r="F516" s="96"/>
      <c r="G516" s="3"/>
      <c r="H516" s="96"/>
      <c r="I516" s="3"/>
      <c r="J516" s="96"/>
      <c r="K516" s="3"/>
      <c r="L516" s="96"/>
      <c r="M516" s="3"/>
      <c r="N516" s="96"/>
      <c r="O516" s="3"/>
      <c r="P516" s="96"/>
      <c r="Q516" s="1265"/>
      <c r="R516" s="3"/>
      <c r="S516" s="3"/>
      <c r="T516" s="1685"/>
      <c r="U516" s="3"/>
      <c r="V516" s="96"/>
      <c r="W516" s="1265"/>
      <c r="X516" s="3"/>
      <c r="Y516" s="3"/>
      <c r="Z516" s="1569"/>
      <c r="AA516" s="96"/>
    </row>
    <row r="517" spans="1:27" ht="15">
      <c r="A517" s="3"/>
      <c r="B517" s="3"/>
      <c r="C517" s="1536"/>
      <c r="D517" s="96"/>
      <c r="E517" s="3"/>
      <c r="F517" s="96"/>
      <c r="G517" s="3"/>
      <c r="H517" s="96"/>
      <c r="I517" s="3"/>
      <c r="J517" s="96"/>
      <c r="K517" s="3"/>
      <c r="L517" s="96"/>
      <c r="M517" s="3"/>
      <c r="N517" s="96"/>
      <c r="O517" s="3"/>
      <c r="P517" s="96"/>
      <c r="Q517" s="1265"/>
      <c r="R517" s="3"/>
      <c r="S517" s="3"/>
      <c r="T517" s="1685"/>
      <c r="U517" s="3"/>
      <c r="V517" s="96"/>
      <c r="W517" s="1265"/>
      <c r="X517" s="3"/>
      <c r="Y517" s="3"/>
      <c r="Z517" s="1569"/>
      <c r="AA517" s="96"/>
    </row>
    <row r="518" spans="1:27" ht="15">
      <c r="A518" s="3"/>
      <c r="B518" s="3"/>
      <c r="C518" s="1536"/>
      <c r="D518" s="96"/>
      <c r="E518" s="3"/>
      <c r="F518" s="96"/>
      <c r="G518" s="3"/>
      <c r="H518" s="96"/>
      <c r="I518" s="3"/>
      <c r="J518" s="96"/>
      <c r="K518" s="3"/>
      <c r="L518" s="96"/>
      <c r="M518" s="3"/>
      <c r="N518" s="96"/>
      <c r="O518" s="3"/>
      <c r="P518" s="96"/>
      <c r="Q518" s="1265"/>
      <c r="R518" s="3"/>
      <c r="S518" s="3"/>
      <c r="T518" s="1685"/>
      <c r="U518" s="3"/>
      <c r="V518" s="96"/>
      <c r="W518" s="1265"/>
      <c r="X518" s="3"/>
      <c r="Y518" s="3"/>
      <c r="Z518" s="1569"/>
      <c r="AA518" s="96"/>
    </row>
    <row r="519" spans="1:27" ht="15">
      <c r="A519" s="3"/>
      <c r="B519" s="3"/>
      <c r="C519" s="1536"/>
      <c r="D519" s="96"/>
      <c r="E519" s="3"/>
      <c r="F519" s="96"/>
      <c r="G519" s="3"/>
      <c r="H519" s="96"/>
      <c r="I519" s="3"/>
      <c r="J519" s="96"/>
      <c r="K519" s="3"/>
      <c r="L519" s="96"/>
      <c r="M519" s="3"/>
      <c r="N519" s="96"/>
      <c r="O519" s="3"/>
      <c r="P519" s="96"/>
      <c r="Q519" s="1265"/>
      <c r="R519" s="3"/>
      <c r="S519" s="3"/>
      <c r="T519" s="1685"/>
      <c r="U519" s="3"/>
      <c r="V519" s="96"/>
      <c r="W519" s="1265"/>
      <c r="X519" s="3"/>
      <c r="Y519" s="3"/>
      <c r="Z519" s="1569"/>
      <c r="AA519" s="96"/>
    </row>
    <row r="520" spans="1:27" ht="15">
      <c r="A520" s="3"/>
      <c r="B520" s="3"/>
      <c r="C520" s="1536"/>
      <c r="D520" s="96"/>
      <c r="E520" s="3"/>
      <c r="F520" s="96"/>
      <c r="G520" s="3"/>
      <c r="H520" s="96"/>
      <c r="I520" s="3"/>
      <c r="J520" s="96"/>
      <c r="K520" s="3"/>
      <c r="L520" s="96"/>
      <c r="M520" s="3"/>
      <c r="N520" s="96"/>
      <c r="O520" s="3"/>
      <c r="P520" s="96"/>
      <c r="Q520" s="1265"/>
      <c r="R520" s="3"/>
      <c r="S520" s="3"/>
      <c r="T520" s="1685"/>
      <c r="U520" s="3"/>
      <c r="V520" s="96"/>
      <c r="W520" s="1265"/>
      <c r="X520" s="3"/>
      <c r="Y520" s="3"/>
      <c r="Z520" s="1569"/>
      <c r="AA520" s="96"/>
    </row>
    <row r="521" spans="1:27" ht="15">
      <c r="A521" s="3"/>
      <c r="B521" s="3"/>
      <c r="C521" s="1536"/>
      <c r="D521" s="96"/>
      <c r="E521" s="3"/>
      <c r="F521" s="96"/>
      <c r="G521" s="3"/>
      <c r="H521" s="96"/>
      <c r="I521" s="3"/>
      <c r="J521" s="96"/>
      <c r="K521" s="3"/>
      <c r="L521" s="96"/>
      <c r="M521" s="3"/>
      <c r="N521" s="96"/>
      <c r="O521" s="3"/>
      <c r="P521" s="96"/>
      <c r="Q521" s="1265"/>
      <c r="R521" s="3"/>
      <c r="S521" s="3"/>
      <c r="T521" s="1685"/>
      <c r="U521" s="3"/>
      <c r="V521" s="96"/>
      <c r="W521" s="1265"/>
      <c r="X521" s="3"/>
      <c r="Y521" s="3"/>
      <c r="Z521" s="1569"/>
      <c r="AA521" s="96"/>
    </row>
    <row r="522" spans="1:27" ht="15">
      <c r="A522" s="3"/>
      <c r="B522" s="3"/>
      <c r="C522" s="1536"/>
      <c r="D522" s="96"/>
      <c r="E522" s="3"/>
      <c r="F522" s="96"/>
      <c r="G522" s="3"/>
      <c r="H522" s="96"/>
      <c r="I522" s="3"/>
      <c r="J522" s="96"/>
      <c r="K522" s="3"/>
      <c r="L522" s="96"/>
      <c r="M522" s="3"/>
      <c r="N522" s="96"/>
      <c r="O522" s="3"/>
      <c r="P522" s="96"/>
      <c r="Q522" s="1265"/>
      <c r="R522" s="3"/>
      <c r="S522" s="3"/>
      <c r="T522" s="1685"/>
      <c r="U522" s="3"/>
      <c r="V522" s="96"/>
      <c r="W522" s="1265"/>
      <c r="X522" s="3"/>
      <c r="Y522" s="3"/>
      <c r="Z522" s="1569"/>
      <c r="AA522" s="96"/>
    </row>
    <row r="523" spans="1:27" ht="15">
      <c r="A523" s="3"/>
      <c r="B523" s="3"/>
      <c r="C523" s="1536"/>
      <c r="D523" s="96"/>
      <c r="E523" s="3"/>
      <c r="F523" s="96"/>
      <c r="G523" s="3"/>
      <c r="H523" s="96"/>
      <c r="I523" s="3"/>
      <c r="J523" s="96"/>
      <c r="K523" s="3"/>
      <c r="L523" s="96"/>
      <c r="M523" s="3"/>
      <c r="N523" s="96"/>
      <c r="O523" s="3"/>
      <c r="P523" s="96"/>
      <c r="Q523" s="1265"/>
      <c r="R523" s="3"/>
      <c r="S523" s="3"/>
      <c r="T523" s="1685"/>
      <c r="U523" s="3"/>
      <c r="V523" s="96"/>
      <c r="W523" s="1265"/>
      <c r="X523" s="3"/>
      <c r="Y523" s="3"/>
      <c r="Z523" s="1569"/>
      <c r="AA523" s="96"/>
    </row>
    <row r="524" spans="1:27" ht="15">
      <c r="A524" s="3"/>
      <c r="B524" s="3"/>
      <c r="C524" s="1536"/>
      <c r="D524" s="96"/>
      <c r="E524" s="3"/>
      <c r="F524" s="96"/>
      <c r="G524" s="3"/>
      <c r="H524" s="96"/>
      <c r="I524" s="3"/>
      <c r="J524" s="96"/>
      <c r="K524" s="3"/>
      <c r="L524" s="96"/>
      <c r="M524" s="3"/>
      <c r="N524" s="96"/>
      <c r="O524" s="3"/>
      <c r="P524" s="96"/>
      <c r="Q524" s="1265"/>
      <c r="R524" s="3"/>
      <c r="S524" s="3"/>
      <c r="T524" s="1685"/>
      <c r="U524" s="3"/>
      <c r="V524" s="96"/>
      <c r="W524" s="1265"/>
      <c r="X524" s="3"/>
      <c r="Y524" s="3"/>
      <c r="Z524" s="1569"/>
      <c r="AA524" s="96"/>
    </row>
    <row r="525" spans="1:27" ht="15">
      <c r="A525" s="3"/>
      <c r="B525" s="3"/>
      <c r="C525" s="1536"/>
      <c r="D525" s="96"/>
      <c r="E525" s="3"/>
      <c r="F525" s="96"/>
      <c r="G525" s="3"/>
      <c r="H525" s="96"/>
      <c r="I525" s="3"/>
      <c r="J525" s="96"/>
      <c r="K525" s="3"/>
      <c r="L525" s="96"/>
      <c r="M525" s="3"/>
      <c r="N525" s="96"/>
      <c r="O525" s="3"/>
      <c r="P525" s="96"/>
      <c r="Q525" s="1265"/>
      <c r="R525" s="3"/>
      <c r="S525" s="3"/>
      <c r="T525" s="1685"/>
      <c r="U525" s="3"/>
      <c r="V525" s="96"/>
      <c r="W525" s="1265"/>
      <c r="X525" s="3"/>
      <c r="Y525" s="3"/>
      <c r="Z525" s="1569"/>
      <c r="AA525" s="96"/>
    </row>
    <row r="526" spans="1:27" ht="15">
      <c r="A526" s="3"/>
      <c r="B526" s="3"/>
      <c r="C526" s="1536"/>
      <c r="D526" s="96"/>
      <c r="E526" s="3"/>
      <c r="F526" s="96"/>
      <c r="G526" s="3"/>
      <c r="H526" s="96"/>
      <c r="I526" s="3"/>
      <c r="J526" s="96"/>
      <c r="K526" s="3"/>
      <c r="L526" s="96"/>
      <c r="M526" s="3"/>
      <c r="N526" s="96"/>
      <c r="O526" s="3"/>
      <c r="P526" s="96"/>
      <c r="Q526" s="1265"/>
      <c r="R526" s="3"/>
      <c r="S526" s="3"/>
      <c r="T526" s="1685"/>
      <c r="U526" s="3"/>
      <c r="V526" s="96"/>
      <c r="W526" s="1265"/>
      <c r="X526" s="3"/>
      <c r="Y526" s="3"/>
      <c r="Z526" s="1569"/>
      <c r="AA526" s="96"/>
    </row>
    <row r="527" spans="1:27" ht="15">
      <c r="A527" s="3"/>
      <c r="B527" s="3"/>
      <c r="C527" s="1536"/>
      <c r="D527" s="96"/>
      <c r="E527" s="3"/>
      <c r="F527" s="96"/>
      <c r="G527" s="3"/>
      <c r="H527" s="96"/>
      <c r="I527" s="3"/>
      <c r="J527" s="96"/>
      <c r="K527" s="3"/>
      <c r="L527" s="96"/>
      <c r="M527" s="3"/>
      <c r="N527" s="96"/>
      <c r="O527" s="3"/>
      <c r="P527" s="96"/>
      <c r="Q527" s="1265"/>
      <c r="R527" s="3"/>
      <c r="S527" s="3"/>
      <c r="T527" s="1685"/>
      <c r="U527" s="3"/>
      <c r="V527" s="96"/>
      <c r="W527" s="1265"/>
      <c r="X527" s="3"/>
      <c r="Y527" s="3"/>
      <c r="Z527" s="1569"/>
      <c r="AA527" s="96"/>
    </row>
    <row r="528" spans="1:27" ht="15">
      <c r="A528" s="3"/>
      <c r="B528" s="3"/>
      <c r="C528" s="1536"/>
      <c r="D528" s="96"/>
      <c r="E528" s="3"/>
      <c r="F528" s="96"/>
      <c r="G528" s="3"/>
      <c r="H528" s="96"/>
      <c r="I528" s="3"/>
      <c r="J528" s="96"/>
      <c r="K528" s="3"/>
      <c r="L528" s="96"/>
      <c r="M528" s="3"/>
      <c r="N528" s="96"/>
      <c r="O528" s="3"/>
      <c r="P528" s="96"/>
      <c r="Q528" s="1265"/>
      <c r="R528" s="3"/>
      <c r="S528" s="3"/>
      <c r="T528" s="1685"/>
      <c r="U528" s="3"/>
      <c r="V528" s="96"/>
      <c r="W528" s="1265"/>
      <c r="X528" s="3"/>
      <c r="Y528" s="3"/>
      <c r="Z528" s="1569"/>
      <c r="AA528" s="96"/>
    </row>
    <row r="529" spans="1:27" ht="15">
      <c r="A529" s="3"/>
      <c r="B529" s="3"/>
      <c r="C529" s="1536"/>
      <c r="D529" s="96"/>
      <c r="E529" s="3"/>
      <c r="F529" s="96"/>
      <c r="G529" s="3"/>
      <c r="H529" s="96"/>
      <c r="I529" s="3"/>
      <c r="J529" s="96"/>
      <c r="K529" s="3"/>
      <c r="L529" s="96"/>
      <c r="M529" s="3"/>
      <c r="N529" s="96"/>
      <c r="O529" s="3"/>
      <c r="P529" s="96"/>
      <c r="Q529" s="1265"/>
      <c r="R529" s="3"/>
      <c r="S529" s="3"/>
      <c r="T529" s="1685"/>
      <c r="U529" s="3"/>
      <c r="V529" s="96"/>
      <c r="W529" s="1265"/>
      <c r="X529" s="3"/>
      <c r="Y529" s="3"/>
      <c r="Z529" s="1569"/>
      <c r="AA529" s="96"/>
    </row>
    <row r="530" spans="1:27" ht="15">
      <c r="A530" s="3"/>
      <c r="B530" s="3"/>
      <c r="C530" s="1536"/>
      <c r="D530" s="96"/>
      <c r="E530" s="3"/>
      <c r="F530" s="96"/>
      <c r="G530" s="3"/>
      <c r="H530" s="96"/>
      <c r="I530" s="3"/>
      <c r="J530" s="96"/>
      <c r="K530" s="3"/>
      <c r="L530" s="96"/>
      <c r="M530" s="3"/>
      <c r="N530" s="96"/>
      <c r="O530" s="3"/>
      <c r="P530" s="96"/>
      <c r="Q530" s="1265"/>
      <c r="R530" s="3"/>
      <c r="S530" s="3"/>
      <c r="T530" s="1685"/>
      <c r="U530" s="3"/>
      <c r="V530" s="96"/>
      <c r="W530" s="1265"/>
      <c r="X530" s="3"/>
      <c r="Y530" s="3"/>
      <c r="Z530" s="1569"/>
      <c r="AA530" s="96"/>
    </row>
    <row r="531" spans="1:27" ht="15">
      <c r="A531" s="3"/>
      <c r="B531" s="3"/>
      <c r="C531" s="1536"/>
      <c r="D531" s="96"/>
      <c r="E531" s="3"/>
      <c r="F531" s="96"/>
      <c r="G531" s="3"/>
      <c r="H531" s="96"/>
      <c r="I531" s="3"/>
      <c r="J531" s="96"/>
      <c r="K531" s="3"/>
      <c r="L531" s="96"/>
      <c r="M531" s="3"/>
      <c r="N531" s="96"/>
      <c r="O531" s="3"/>
      <c r="P531" s="96"/>
      <c r="Q531" s="1265"/>
      <c r="R531" s="3"/>
      <c r="S531" s="3"/>
      <c r="T531" s="1685"/>
      <c r="U531" s="3"/>
      <c r="V531" s="96"/>
      <c r="W531" s="1265"/>
      <c r="X531" s="3"/>
      <c r="Y531" s="3"/>
      <c r="Z531" s="1569"/>
      <c r="AA531" s="96"/>
    </row>
    <row r="532" spans="1:27" ht="15">
      <c r="A532" s="3"/>
      <c r="B532" s="3"/>
      <c r="C532" s="1536"/>
      <c r="D532" s="96"/>
      <c r="E532" s="3"/>
      <c r="F532" s="96"/>
      <c r="G532" s="3"/>
      <c r="H532" s="96"/>
      <c r="I532" s="3"/>
      <c r="J532" s="96"/>
      <c r="K532" s="3"/>
      <c r="L532" s="96"/>
      <c r="M532" s="3"/>
      <c r="N532" s="96"/>
      <c r="O532" s="3"/>
      <c r="P532" s="96"/>
      <c r="Q532" s="1265"/>
      <c r="R532" s="3"/>
      <c r="S532" s="3"/>
      <c r="T532" s="1685"/>
      <c r="U532" s="3"/>
      <c r="V532" s="96"/>
      <c r="W532" s="1265"/>
      <c r="X532" s="3"/>
      <c r="Y532" s="3"/>
      <c r="Z532" s="1569"/>
      <c r="AA532" s="96"/>
    </row>
    <row r="533" spans="1:27" ht="15">
      <c r="A533" s="3"/>
      <c r="B533" s="3"/>
      <c r="C533" s="1536"/>
      <c r="D533" s="96"/>
      <c r="E533" s="3"/>
      <c r="F533" s="96"/>
      <c r="G533" s="3"/>
      <c r="H533" s="96"/>
      <c r="I533" s="3"/>
      <c r="J533" s="96"/>
      <c r="K533" s="3"/>
      <c r="L533" s="96"/>
      <c r="M533" s="3"/>
      <c r="N533" s="96"/>
      <c r="O533" s="3"/>
      <c r="P533" s="96"/>
      <c r="Q533" s="1265"/>
      <c r="R533" s="3"/>
      <c r="S533" s="3"/>
      <c r="T533" s="1685"/>
      <c r="U533" s="3"/>
      <c r="V533" s="96"/>
      <c r="W533" s="1265"/>
      <c r="X533" s="3"/>
      <c r="Y533" s="3"/>
      <c r="Z533" s="1569"/>
      <c r="AA533" s="96"/>
    </row>
    <row r="534" spans="1:27" ht="15">
      <c r="A534" s="3"/>
      <c r="B534" s="3"/>
      <c r="C534" s="1536"/>
      <c r="D534" s="96"/>
      <c r="E534" s="3"/>
      <c r="F534" s="96"/>
      <c r="G534" s="3"/>
      <c r="H534" s="96"/>
      <c r="I534" s="3"/>
      <c r="J534" s="96"/>
      <c r="K534" s="3"/>
      <c r="L534" s="96"/>
      <c r="M534" s="3"/>
      <c r="N534" s="96"/>
      <c r="O534" s="3"/>
      <c r="P534" s="96"/>
      <c r="Q534" s="1265"/>
      <c r="R534" s="3"/>
      <c r="S534" s="3"/>
      <c r="T534" s="1685"/>
      <c r="U534" s="3"/>
      <c r="V534" s="96"/>
      <c r="W534" s="1265"/>
      <c r="X534" s="3"/>
      <c r="Y534" s="3"/>
      <c r="Z534" s="1569"/>
      <c r="AA534" s="96"/>
    </row>
    <row r="535" spans="1:27" ht="15">
      <c r="A535" s="3"/>
      <c r="B535" s="3"/>
      <c r="C535" s="1536"/>
      <c r="D535" s="96"/>
      <c r="E535" s="3"/>
      <c r="F535" s="96"/>
      <c r="G535" s="3"/>
      <c r="H535" s="96"/>
      <c r="I535" s="3"/>
      <c r="J535" s="96"/>
      <c r="K535" s="3"/>
      <c r="L535" s="96"/>
      <c r="M535" s="3"/>
      <c r="N535" s="96"/>
      <c r="O535" s="3"/>
      <c r="P535" s="96"/>
      <c r="Q535" s="1265"/>
      <c r="R535" s="3"/>
      <c r="S535" s="3"/>
      <c r="T535" s="1685"/>
      <c r="U535" s="3"/>
      <c r="V535" s="96"/>
      <c r="W535" s="1265"/>
      <c r="X535" s="3"/>
      <c r="Y535" s="3"/>
      <c r="Z535" s="1569"/>
      <c r="AA535" s="96"/>
    </row>
    <row r="536" spans="1:27" ht="15">
      <c r="A536" s="3"/>
      <c r="B536" s="3"/>
      <c r="C536" s="1536"/>
      <c r="D536" s="96"/>
      <c r="E536" s="3"/>
      <c r="F536" s="96"/>
      <c r="G536" s="3"/>
      <c r="H536" s="96"/>
      <c r="I536" s="3"/>
      <c r="J536" s="96"/>
      <c r="K536" s="3"/>
      <c r="L536" s="96"/>
      <c r="M536" s="3"/>
      <c r="N536" s="96"/>
      <c r="O536" s="3"/>
      <c r="P536" s="96"/>
      <c r="Q536" s="1265"/>
      <c r="R536" s="3"/>
      <c r="S536" s="3"/>
      <c r="T536" s="1685"/>
      <c r="U536" s="3"/>
      <c r="V536" s="96"/>
      <c r="W536" s="1265"/>
      <c r="X536" s="3"/>
      <c r="Y536" s="3"/>
      <c r="Z536" s="1569"/>
      <c r="AA536" s="96"/>
    </row>
    <row r="537" spans="1:27" ht="15">
      <c r="A537" s="3"/>
      <c r="B537" s="3"/>
      <c r="C537" s="1536"/>
      <c r="D537" s="96"/>
      <c r="E537" s="3"/>
      <c r="F537" s="96"/>
      <c r="G537" s="3"/>
      <c r="H537" s="96"/>
      <c r="I537" s="3"/>
      <c r="J537" s="96"/>
      <c r="K537" s="3"/>
      <c r="L537" s="96"/>
      <c r="M537" s="3"/>
      <c r="N537" s="96"/>
      <c r="O537" s="3"/>
      <c r="P537" s="96"/>
      <c r="Q537" s="1265"/>
      <c r="R537" s="3"/>
      <c r="S537" s="3"/>
      <c r="T537" s="1685"/>
      <c r="U537" s="3"/>
      <c r="V537" s="96"/>
      <c r="W537" s="1265"/>
      <c r="X537" s="3"/>
      <c r="Y537" s="3"/>
      <c r="Z537" s="1569"/>
      <c r="AA537" s="96"/>
    </row>
    <row r="538" spans="1:27" ht="15">
      <c r="A538" s="3"/>
      <c r="B538" s="3"/>
      <c r="C538" s="1536"/>
      <c r="D538" s="96"/>
      <c r="E538" s="3"/>
      <c r="F538" s="96"/>
      <c r="G538" s="3"/>
      <c r="H538" s="96"/>
      <c r="I538" s="3"/>
      <c r="J538" s="96"/>
      <c r="K538" s="3"/>
      <c r="L538" s="96"/>
      <c r="M538" s="3"/>
      <c r="N538" s="96"/>
      <c r="O538" s="3"/>
      <c r="P538" s="96"/>
      <c r="Q538" s="1265"/>
      <c r="R538" s="3"/>
      <c r="S538" s="3"/>
      <c r="T538" s="1685"/>
      <c r="U538" s="3"/>
      <c r="V538" s="96"/>
      <c r="W538" s="1265"/>
      <c r="X538" s="3"/>
      <c r="Y538" s="3"/>
      <c r="Z538" s="1569"/>
      <c r="AA538" s="96"/>
    </row>
    <row r="539" spans="1:27" ht="15">
      <c r="A539" s="3"/>
      <c r="B539" s="3"/>
      <c r="C539" s="1536"/>
      <c r="D539" s="96"/>
      <c r="E539" s="3"/>
      <c r="F539" s="96"/>
      <c r="G539" s="3"/>
      <c r="H539" s="96"/>
      <c r="I539" s="3"/>
      <c r="J539" s="96"/>
      <c r="K539" s="3"/>
      <c r="L539" s="96"/>
      <c r="M539" s="3"/>
      <c r="N539" s="96"/>
      <c r="O539" s="3"/>
      <c r="P539" s="96"/>
      <c r="Q539" s="1265"/>
      <c r="R539" s="3"/>
      <c r="S539" s="3"/>
      <c r="T539" s="1685"/>
      <c r="U539" s="3"/>
      <c r="V539" s="96"/>
      <c r="W539" s="1265"/>
      <c r="X539" s="3"/>
      <c r="Y539" s="3"/>
      <c r="Z539" s="1569"/>
      <c r="AA539" s="96"/>
    </row>
    <row r="540" spans="1:27" ht="15">
      <c r="A540" s="3"/>
      <c r="B540" s="3"/>
      <c r="C540" s="1536"/>
      <c r="D540" s="96"/>
      <c r="E540" s="3"/>
      <c r="F540" s="96"/>
      <c r="G540" s="3"/>
      <c r="H540" s="96"/>
      <c r="I540" s="3"/>
      <c r="J540" s="96"/>
      <c r="K540" s="3"/>
      <c r="L540" s="96"/>
      <c r="M540" s="3"/>
      <c r="N540" s="96"/>
      <c r="O540" s="3"/>
      <c r="P540" s="96"/>
      <c r="Q540" s="1265"/>
      <c r="R540" s="3"/>
      <c r="S540" s="3"/>
      <c r="T540" s="1685"/>
      <c r="U540" s="3"/>
      <c r="V540" s="96"/>
      <c r="W540" s="1265"/>
      <c r="X540" s="3"/>
      <c r="Y540" s="3"/>
      <c r="Z540" s="1569"/>
      <c r="AA540" s="96"/>
    </row>
    <row r="541" spans="1:27" ht="15">
      <c r="A541" s="3"/>
      <c r="B541" s="3"/>
      <c r="C541" s="1536"/>
      <c r="D541" s="96"/>
      <c r="E541" s="3"/>
      <c r="F541" s="96"/>
      <c r="G541" s="3"/>
      <c r="H541" s="96"/>
      <c r="I541" s="3"/>
      <c r="J541" s="96"/>
      <c r="K541" s="3"/>
      <c r="L541" s="96"/>
      <c r="M541" s="3"/>
      <c r="N541" s="96"/>
      <c r="O541" s="3"/>
      <c r="P541" s="96"/>
      <c r="Q541" s="1265"/>
      <c r="R541" s="3"/>
      <c r="S541" s="3"/>
      <c r="T541" s="1685"/>
      <c r="U541" s="3"/>
      <c r="V541" s="96"/>
      <c r="W541" s="1265"/>
      <c r="X541" s="3"/>
      <c r="Y541" s="3"/>
      <c r="Z541" s="1569"/>
      <c r="AA541" s="96"/>
    </row>
    <row r="542" spans="1:27" ht="15">
      <c r="A542" s="3"/>
      <c r="B542" s="3"/>
      <c r="C542" s="1536"/>
      <c r="D542" s="96"/>
      <c r="E542" s="3"/>
      <c r="F542" s="96"/>
      <c r="G542" s="3"/>
      <c r="H542" s="96"/>
      <c r="I542" s="3"/>
      <c r="J542" s="96"/>
      <c r="K542" s="3"/>
      <c r="L542" s="96"/>
      <c r="M542" s="3"/>
      <c r="N542" s="96"/>
      <c r="O542" s="3"/>
      <c r="P542" s="96"/>
      <c r="Q542" s="1265"/>
      <c r="R542" s="3"/>
      <c r="S542" s="3"/>
      <c r="T542" s="1685"/>
      <c r="U542" s="3"/>
      <c r="V542" s="96"/>
      <c r="W542" s="1265"/>
      <c r="X542" s="3"/>
      <c r="Y542" s="3"/>
      <c r="Z542" s="1569"/>
      <c r="AA542" s="96"/>
    </row>
    <row r="543" spans="1:27" ht="15">
      <c r="A543" s="3"/>
      <c r="B543" s="3"/>
      <c r="C543" s="1536"/>
      <c r="D543" s="96"/>
      <c r="E543" s="3"/>
      <c r="F543" s="96"/>
      <c r="G543" s="3"/>
      <c r="H543" s="96"/>
      <c r="I543" s="3"/>
      <c r="J543" s="96"/>
      <c r="K543" s="3"/>
      <c r="L543" s="96"/>
      <c r="M543" s="3"/>
      <c r="N543" s="96"/>
      <c r="O543" s="3"/>
      <c r="P543" s="96"/>
      <c r="Q543" s="1265"/>
      <c r="R543" s="3"/>
      <c r="S543" s="3"/>
      <c r="T543" s="1685"/>
      <c r="U543" s="3"/>
      <c r="V543" s="96"/>
      <c r="W543" s="1265"/>
      <c r="X543" s="3"/>
      <c r="Y543" s="3"/>
      <c r="Z543" s="1569"/>
      <c r="AA543" s="96"/>
    </row>
    <row r="544" spans="1:27" ht="15">
      <c r="A544" s="3"/>
      <c r="B544" s="3"/>
      <c r="C544" s="1536"/>
      <c r="D544" s="96"/>
      <c r="E544" s="3"/>
      <c r="F544" s="96"/>
      <c r="G544" s="3"/>
      <c r="H544" s="96"/>
      <c r="I544" s="3"/>
      <c r="J544" s="96"/>
      <c r="K544" s="3"/>
      <c r="L544" s="96"/>
      <c r="M544" s="3"/>
      <c r="N544" s="96"/>
      <c r="O544" s="3"/>
      <c r="P544" s="96"/>
      <c r="Q544" s="1265"/>
      <c r="R544" s="3"/>
      <c r="S544" s="3"/>
      <c r="T544" s="1685"/>
      <c r="U544" s="3"/>
      <c r="V544" s="96"/>
      <c r="W544" s="1265"/>
      <c r="X544" s="3"/>
      <c r="Y544" s="3"/>
      <c r="Z544" s="1569"/>
      <c r="AA544" s="96"/>
    </row>
    <row r="545" spans="1:27" ht="15">
      <c r="A545" s="3"/>
      <c r="B545" s="3"/>
      <c r="C545" s="1536"/>
      <c r="D545" s="96"/>
      <c r="E545" s="3"/>
      <c r="F545" s="96"/>
      <c r="G545" s="3"/>
      <c r="H545" s="96"/>
      <c r="I545" s="3"/>
      <c r="J545" s="96"/>
      <c r="K545" s="3"/>
      <c r="L545" s="96"/>
      <c r="M545" s="3"/>
      <c r="N545" s="96"/>
      <c r="O545" s="3"/>
      <c r="P545" s="96"/>
      <c r="Q545" s="1265"/>
      <c r="R545" s="3"/>
      <c r="S545" s="3"/>
      <c r="T545" s="1685"/>
      <c r="U545" s="3"/>
      <c r="V545" s="96"/>
      <c r="W545" s="1265"/>
      <c r="X545" s="3"/>
      <c r="Y545" s="3"/>
      <c r="Z545" s="1569"/>
      <c r="AA545" s="96"/>
    </row>
    <row r="546" spans="1:27" ht="15">
      <c r="A546" s="3"/>
      <c r="B546" s="3"/>
      <c r="C546" s="1536"/>
      <c r="D546" s="96"/>
      <c r="E546" s="3"/>
      <c r="F546" s="96"/>
      <c r="G546" s="3"/>
      <c r="H546" s="96"/>
      <c r="I546" s="3"/>
      <c r="J546" s="96"/>
      <c r="K546" s="3"/>
      <c r="L546" s="96"/>
      <c r="M546" s="3"/>
      <c r="N546" s="96"/>
      <c r="O546" s="3"/>
      <c r="P546" s="96"/>
      <c r="Q546" s="1265"/>
      <c r="R546" s="3"/>
      <c r="S546" s="3"/>
      <c r="T546" s="1685"/>
      <c r="U546" s="3"/>
      <c r="V546" s="96"/>
      <c r="W546" s="1265"/>
      <c r="X546" s="3"/>
      <c r="Y546" s="3"/>
      <c r="Z546" s="1569"/>
      <c r="AA546" s="96"/>
    </row>
    <row r="547" spans="1:27" ht="15">
      <c r="A547" s="3"/>
      <c r="B547" s="3"/>
      <c r="C547" s="1536"/>
      <c r="D547" s="96"/>
      <c r="E547" s="3"/>
      <c r="F547" s="96"/>
      <c r="G547" s="3"/>
      <c r="H547" s="96"/>
      <c r="I547" s="3"/>
      <c r="J547" s="96"/>
      <c r="K547" s="3"/>
      <c r="L547" s="96"/>
      <c r="M547" s="3"/>
      <c r="N547" s="96"/>
      <c r="O547" s="3"/>
      <c r="P547" s="96"/>
      <c r="Q547" s="1265"/>
      <c r="R547" s="3"/>
      <c r="S547" s="3"/>
      <c r="T547" s="1685"/>
      <c r="U547" s="3"/>
      <c r="V547" s="96"/>
      <c r="W547" s="1265"/>
      <c r="X547" s="3"/>
      <c r="Y547" s="3"/>
      <c r="Z547" s="1569"/>
      <c r="AA547" s="96"/>
    </row>
    <row r="548" spans="1:27" ht="15">
      <c r="A548" s="3"/>
      <c r="B548" s="3"/>
      <c r="C548" s="1536"/>
      <c r="D548" s="96"/>
      <c r="E548" s="3"/>
      <c r="F548" s="96"/>
      <c r="G548" s="3"/>
      <c r="H548" s="96"/>
      <c r="I548" s="3"/>
      <c r="J548" s="96"/>
      <c r="K548" s="3"/>
      <c r="L548" s="96"/>
      <c r="M548" s="3"/>
      <c r="N548" s="96"/>
      <c r="O548" s="3"/>
      <c r="P548" s="96"/>
      <c r="Q548" s="1265"/>
      <c r="R548" s="3"/>
      <c r="S548" s="3"/>
      <c r="T548" s="1685"/>
      <c r="U548" s="3"/>
      <c r="V548" s="96"/>
      <c r="W548" s="1265"/>
      <c r="X548" s="3"/>
      <c r="Y548" s="3"/>
      <c r="Z548" s="1569"/>
      <c r="AA548" s="96"/>
    </row>
    <row r="549" spans="1:27" ht="15">
      <c r="A549" s="3"/>
      <c r="B549" s="3"/>
      <c r="C549" s="1536"/>
      <c r="D549" s="96"/>
      <c r="E549" s="3"/>
      <c r="F549" s="96"/>
      <c r="G549" s="3"/>
      <c r="H549" s="96"/>
      <c r="I549" s="3"/>
      <c r="J549" s="96"/>
      <c r="K549" s="3"/>
      <c r="L549" s="96"/>
      <c r="M549" s="3"/>
      <c r="N549" s="96"/>
      <c r="O549" s="3"/>
      <c r="P549" s="96"/>
      <c r="Q549" s="1265"/>
      <c r="R549" s="3"/>
      <c r="S549" s="3"/>
      <c r="T549" s="1685"/>
      <c r="U549" s="3"/>
      <c r="V549" s="96"/>
      <c r="W549" s="1265"/>
      <c r="X549" s="3"/>
      <c r="Y549" s="3"/>
      <c r="Z549" s="1569"/>
      <c r="AA549" s="96"/>
    </row>
    <row r="550" spans="1:27" ht="15">
      <c r="A550" s="3"/>
      <c r="B550" s="3"/>
      <c r="C550" s="1536"/>
      <c r="D550" s="96"/>
      <c r="E550" s="3"/>
      <c r="F550" s="96"/>
      <c r="G550" s="3"/>
      <c r="H550" s="96"/>
      <c r="I550" s="3"/>
      <c r="J550" s="96"/>
      <c r="K550" s="3"/>
      <c r="L550" s="96"/>
      <c r="M550" s="3"/>
      <c r="N550" s="96"/>
      <c r="O550" s="3"/>
      <c r="P550" s="96"/>
      <c r="Q550" s="1265"/>
      <c r="R550" s="3"/>
      <c r="S550" s="3"/>
      <c r="T550" s="1685"/>
      <c r="U550" s="3"/>
      <c r="V550" s="96"/>
      <c r="W550" s="1265"/>
      <c r="X550" s="3"/>
      <c r="Y550" s="3"/>
      <c r="Z550" s="1569"/>
      <c r="AA550" s="96"/>
    </row>
    <row r="551" spans="1:27" ht="15">
      <c r="A551" s="3"/>
      <c r="B551" s="3"/>
      <c r="C551" s="1536"/>
      <c r="D551" s="96"/>
      <c r="E551" s="3"/>
      <c r="F551" s="96"/>
      <c r="G551" s="3"/>
      <c r="H551" s="96"/>
      <c r="I551" s="3"/>
      <c r="J551" s="96"/>
      <c r="K551" s="3"/>
      <c r="L551" s="96"/>
      <c r="M551" s="3"/>
      <c r="N551" s="96"/>
      <c r="O551" s="3"/>
      <c r="P551" s="96"/>
      <c r="Q551" s="1265"/>
      <c r="R551" s="3"/>
      <c r="S551" s="3"/>
      <c r="T551" s="1685"/>
      <c r="U551" s="3"/>
      <c r="V551" s="96"/>
      <c r="W551" s="1265"/>
      <c r="X551" s="3"/>
      <c r="Y551" s="3"/>
      <c r="Z551" s="1569"/>
      <c r="AA551" s="96"/>
    </row>
    <row r="552" spans="1:27" ht="15">
      <c r="A552" s="3"/>
      <c r="B552" s="3"/>
      <c r="C552" s="1536"/>
      <c r="D552" s="96"/>
      <c r="E552" s="3"/>
      <c r="F552" s="96"/>
      <c r="G552" s="3"/>
      <c r="H552" s="96"/>
      <c r="I552" s="3"/>
      <c r="J552" s="96"/>
      <c r="K552" s="3"/>
      <c r="L552" s="96"/>
      <c r="M552" s="3"/>
      <c r="N552" s="96"/>
      <c r="O552" s="3"/>
      <c r="P552" s="96"/>
      <c r="Q552" s="1265"/>
      <c r="R552" s="3"/>
      <c r="S552" s="3"/>
      <c r="T552" s="1685"/>
      <c r="U552" s="3"/>
      <c r="V552" s="96"/>
      <c r="W552" s="1265"/>
      <c r="X552" s="3"/>
      <c r="Y552" s="3"/>
      <c r="Z552" s="1569"/>
      <c r="AA552" s="96"/>
    </row>
    <row r="553" spans="1:27" ht="15">
      <c r="A553" s="3"/>
      <c r="B553" s="3"/>
      <c r="C553" s="1536"/>
      <c r="D553" s="96"/>
      <c r="E553" s="3"/>
      <c r="F553" s="96"/>
      <c r="G553" s="3"/>
      <c r="H553" s="96"/>
      <c r="I553" s="3"/>
      <c r="J553" s="96"/>
      <c r="K553" s="3"/>
      <c r="L553" s="96"/>
      <c r="M553" s="3"/>
      <c r="N553" s="96"/>
      <c r="O553" s="3"/>
      <c r="P553" s="96"/>
      <c r="Q553" s="1265"/>
      <c r="R553" s="3"/>
      <c r="S553" s="3"/>
      <c r="T553" s="1685"/>
      <c r="U553" s="3"/>
      <c r="V553" s="96"/>
      <c r="W553" s="1265"/>
      <c r="X553" s="3"/>
      <c r="Y553" s="3"/>
      <c r="Z553" s="1569"/>
      <c r="AA553" s="96"/>
    </row>
    <row r="554" spans="1:27" ht="15">
      <c r="A554" s="3"/>
      <c r="B554" s="3"/>
      <c r="C554" s="1536"/>
      <c r="D554" s="96"/>
      <c r="E554" s="3"/>
      <c r="F554" s="96"/>
      <c r="G554" s="3"/>
      <c r="H554" s="96"/>
      <c r="I554" s="3"/>
      <c r="J554" s="96"/>
      <c r="K554" s="3"/>
      <c r="L554" s="96"/>
      <c r="M554" s="3"/>
      <c r="N554" s="96"/>
      <c r="O554" s="3"/>
      <c r="P554" s="96"/>
      <c r="Q554" s="1265"/>
      <c r="R554" s="3"/>
      <c r="S554" s="3"/>
      <c r="T554" s="1685"/>
      <c r="U554" s="3"/>
      <c r="V554" s="96"/>
      <c r="W554" s="1265"/>
      <c r="X554" s="3"/>
      <c r="Y554" s="3"/>
      <c r="Z554" s="1569"/>
      <c r="AA554" s="96"/>
    </row>
    <row r="555" spans="1:27" ht="15">
      <c r="A555" s="3"/>
      <c r="B555" s="3"/>
      <c r="C555" s="1536"/>
      <c r="D555" s="96"/>
      <c r="E555" s="3"/>
      <c r="F555" s="96"/>
      <c r="G555" s="3"/>
      <c r="H555" s="96"/>
      <c r="I555" s="3"/>
      <c r="J555" s="96"/>
      <c r="K555" s="3"/>
      <c r="L555" s="96"/>
      <c r="M555" s="3"/>
      <c r="N555" s="96"/>
      <c r="O555" s="3"/>
      <c r="P555" s="96"/>
      <c r="Q555" s="1265"/>
      <c r="R555" s="3"/>
      <c r="S555" s="3"/>
      <c r="T555" s="1685"/>
      <c r="U555" s="3"/>
      <c r="V555" s="96"/>
      <c r="W555" s="1265"/>
      <c r="X555" s="3"/>
      <c r="Y555" s="3"/>
      <c r="Z555" s="1569"/>
      <c r="AA555" s="96"/>
    </row>
    <row r="556" spans="1:27" ht="15">
      <c r="A556" s="3"/>
      <c r="B556" s="3"/>
      <c r="C556" s="1536"/>
      <c r="D556" s="96"/>
      <c r="E556" s="3"/>
      <c r="F556" s="96"/>
      <c r="G556" s="3"/>
      <c r="H556" s="96"/>
      <c r="I556" s="3"/>
      <c r="J556" s="96"/>
      <c r="K556" s="3"/>
      <c r="L556" s="96"/>
      <c r="M556" s="3"/>
      <c r="N556" s="96"/>
      <c r="O556" s="3"/>
      <c r="P556" s="96"/>
      <c r="Q556" s="1265"/>
      <c r="R556" s="3"/>
      <c r="S556" s="3"/>
      <c r="T556" s="1685"/>
      <c r="U556" s="3"/>
      <c r="V556" s="96"/>
      <c r="W556" s="1265"/>
      <c r="X556" s="3"/>
      <c r="Y556" s="3"/>
      <c r="Z556" s="1569"/>
      <c r="AA556" s="96"/>
    </row>
    <row r="557" spans="1:27" ht="15">
      <c r="A557" s="3"/>
      <c r="B557" s="3"/>
      <c r="C557" s="1536"/>
      <c r="D557" s="96"/>
      <c r="E557" s="3"/>
      <c r="F557" s="96"/>
      <c r="G557" s="3"/>
      <c r="H557" s="96"/>
      <c r="I557" s="3"/>
      <c r="J557" s="96"/>
      <c r="K557" s="3"/>
      <c r="L557" s="96"/>
      <c r="M557" s="3"/>
      <c r="N557" s="96"/>
      <c r="O557" s="3"/>
      <c r="P557" s="96"/>
      <c r="Q557" s="1265"/>
      <c r="R557" s="3"/>
      <c r="S557" s="3"/>
      <c r="T557" s="1685"/>
      <c r="U557" s="3"/>
      <c r="V557" s="96"/>
      <c r="W557" s="1265"/>
      <c r="X557" s="3"/>
      <c r="Y557" s="3"/>
      <c r="Z557" s="1569"/>
      <c r="AA557" s="96"/>
    </row>
    <row r="558" spans="1:27" ht="15">
      <c r="A558" s="3"/>
      <c r="B558" s="3"/>
      <c r="C558" s="1536"/>
      <c r="D558" s="96"/>
      <c r="E558" s="3"/>
      <c r="F558" s="96"/>
      <c r="G558" s="3"/>
      <c r="H558" s="96"/>
      <c r="I558" s="3"/>
      <c r="J558" s="96"/>
      <c r="K558" s="3"/>
      <c r="L558" s="96"/>
      <c r="M558" s="3"/>
      <c r="N558" s="96"/>
      <c r="O558" s="3"/>
      <c r="P558" s="96"/>
      <c r="Q558" s="1265"/>
      <c r="R558" s="3"/>
      <c r="S558" s="3"/>
      <c r="T558" s="1685"/>
      <c r="U558" s="3"/>
      <c r="V558" s="96"/>
      <c r="W558" s="1265"/>
      <c r="X558" s="3"/>
      <c r="Y558" s="3"/>
      <c r="Z558" s="1569"/>
      <c r="AA558" s="96"/>
    </row>
    <row r="559" spans="1:27" ht="15">
      <c r="A559" s="3"/>
      <c r="B559" s="3"/>
      <c r="C559" s="1536"/>
      <c r="D559" s="96"/>
      <c r="E559" s="3"/>
      <c r="F559" s="96"/>
      <c r="G559" s="3"/>
      <c r="H559" s="96"/>
      <c r="I559" s="3"/>
      <c r="J559" s="96"/>
      <c r="K559" s="3"/>
      <c r="L559" s="96"/>
      <c r="M559" s="3"/>
      <c r="N559" s="96"/>
      <c r="O559" s="3"/>
      <c r="P559" s="96"/>
      <c r="Q559" s="1265"/>
      <c r="R559" s="3"/>
      <c r="S559" s="3"/>
      <c r="T559" s="1685"/>
      <c r="U559" s="3"/>
      <c r="V559" s="96"/>
      <c r="W559" s="1265"/>
      <c r="X559" s="3"/>
      <c r="Y559" s="3"/>
      <c r="Z559" s="1569"/>
      <c r="AA559" s="96"/>
    </row>
    <row r="560" spans="1:27" ht="15">
      <c r="A560" s="3"/>
      <c r="B560" s="3"/>
      <c r="C560" s="1536"/>
      <c r="D560" s="96"/>
      <c r="E560" s="3"/>
      <c r="F560" s="96"/>
      <c r="G560" s="3"/>
      <c r="H560" s="96"/>
      <c r="I560" s="3"/>
      <c r="J560" s="96"/>
      <c r="K560" s="3"/>
      <c r="L560" s="96"/>
      <c r="M560" s="3"/>
      <c r="N560" s="96"/>
      <c r="O560" s="3"/>
      <c r="P560" s="96"/>
      <c r="Q560" s="1265"/>
      <c r="R560" s="3"/>
      <c r="S560" s="3"/>
      <c r="T560" s="1685"/>
      <c r="U560" s="3"/>
      <c r="V560" s="96"/>
      <c r="W560" s="1265"/>
      <c r="X560" s="3"/>
      <c r="Y560" s="3"/>
      <c r="Z560" s="1569"/>
      <c r="AA560" s="96"/>
    </row>
    <row r="561" spans="1:27" ht="15">
      <c r="A561" s="3"/>
      <c r="B561" s="3"/>
      <c r="C561" s="1536"/>
      <c r="D561" s="96"/>
      <c r="E561" s="3"/>
      <c r="F561" s="96"/>
      <c r="G561" s="3"/>
      <c r="H561" s="96"/>
      <c r="I561" s="3"/>
      <c r="J561" s="96"/>
      <c r="K561" s="3"/>
      <c r="L561" s="96"/>
      <c r="M561" s="3"/>
      <c r="N561" s="96"/>
      <c r="O561" s="3"/>
      <c r="P561" s="96"/>
      <c r="Q561" s="1265"/>
      <c r="R561" s="3"/>
      <c r="S561" s="3"/>
      <c r="T561" s="1685"/>
      <c r="U561" s="3"/>
      <c r="V561" s="96"/>
      <c r="W561" s="1265"/>
      <c r="X561" s="3"/>
      <c r="Y561" s="3"/>
      <c r="Z561" s="1569"/>
      <c r="AA561" s="96"/>
    </row>
    <row r="562" spans="1:27" ht="15">
      <c r="A562" s="3"/>
      <c r="B562" s="3"/>
      <c r="C562" s="1536"/>
      <c r="D562" s="96"/>
      <c r="E562" s="3"/>
      <c r="F562" s="96"/>
      <c r="G562" s="3"/>
      <c r="H562" s="96"/>
      <c r="I562" s="3"/>
      <c r="J562" s="96"/>
      <c r="K562" s="3"/>
      <c r="L562" s="96"/>
      <c r="M562" s="3"/>
      <c r="N562" s="96"/>
      <c r="O562" s="3"/>
      <c r="P562" s="96"/>
      <c r="Q562" s="1265"/>
      <c r="R562" s="3"/>
      <c r="S562" s="3"/>
      <c r="T562" s="1685"/>
      <c r="U562" s="3"/>
      <c r="V562" s="96"/>
      <c r="W562" s="1265"/>
      <c r="X562" s="3"/>
      <c r="Y562" s="3"/>
      <c r="Z562" s="1569"/>
      <c r="AA562" s="96"/>
    </row>
    <row r="563" spans="1:27" ht="15">
      <c r="A563" s="3"/>
      <c r="B563" s="3"/>
      <c r="C563" s="1536"/>
      <c r="D563" s="96"/>
      <c r="E563" s="3"/>
      <c r="F563" s="96"/>
      <c r="G563" s="3"/>
      <c r="H563" s="96"/>
      <c r="I563" s="3"/>
      <c r="J563" s="96"/>
      <c r="K563" s="3"/>
      <c r="L563" s="96"/>
      <c r="M563" s="3"/>
      <c r="N563" s="96"/>
      <c r="O563" s="3"/>
      <c r="P563" s="96"/>
      <c r="Q563" s="1265"/>
      <c r="R563" s="3"/>
      <c r="S563" s="3"/>
      <c r="T563" s="1685"/>
      <c r="U563" s="3"/>
      <c r="V563" s="96"/>
      <c r="W563" s="1265"/>
      <c r="X563" s="3"/>
      <c r="Y563" s="3"/>
      <c r="Z563" s="1569"/>
      <c r="AA563" s="96"/>
    </row>
    <row r="564" spans="1:27" ht="15">
      <c r="A564" s="3"/>
      <c r="B564" s="3"/>
      <c r="C564" s="1536"/>
      <c r="D564" s="96"/>
      <c r="E564" s="3"/>
      <c r="F564" s="96"/>
      <c r="G564" s="3"/>
      <c r="H564" s="96"/>
      <c r="I564" s="3"/>
      <c r="J564" s="96"/>
      <c r="K564" s="3"/>
      <c r="L564" s="96"/>
      <c r="M564" s="3"/>
      <c r="N564" s="96"/>
      <c r="O564" s="3"/>
      <c r="P564" s="96"/>
      <c r="Q564" s="1265"/>
      <c r="R564" s="3"/>
      <c r="S564" s="3"/>
      <c r="T564" s="1685"/>
      <c r="U564" s="3"/>
      <c r="V564" s="96"/>
      <c r="W564" s="1265"/>
      <c r="X564" s="3"/>
      <c r="Y564" s="3"/>
      <c r="Z564" s="1569"/>
      <c r="AA564" s="96"/>
    </row>
    <row r="565" spans="1:27" ht="15">
      <c r="A565" s="3"/>
      <c r="B565" s="3"/>
      <c r="C565" s="1536"/>
      <c r="D565" s="96"/>
      <c r="E565" s="3"/>
      <c r="F565" s="96"/>
      <c r="G565" s="3"/>
      <c r="H565" s="96"/>
      <c r="I565" s="3"/>
      <c r="J565" s="96"/>
      <c r="K565" s="3"/>
      <c r="L565" s="96"/>
      <c r="M565" s="3"/>
      <c r="N565" s="96"/>
      <c r="O565" s="3"/>
      <c r="P565" s="96"/>
      <c r="Q565" s="1265"/>
      <c r="R565" s="3"/>
      <c r="S565" s="3"/>
      <c r="T565" s="1685"/>
      <c r="U565" s="3"/>
      <c r="V565" s="96"/>
      <c r="W565" s="1265"/>
      <c r="X565" s="3"/>
      <c r="Y565" s="3"/>
      <c r="Z565" s="1569"/>
      <c r="AA565" s="96"/>
    </row>
    <row r="566" spans="1:27" ht="15">
      <c r="A566" s="3"/>
      <c r="B566" s="3"/>
      <c r="C566" s="1536"/>
      <c r="D566" s="96"/>
      <c r="E566" s="3"/>
      <c r="F566" s="96"/>
      <c r="G566" s="3"/>
      <c r="H566" s="96"/>
      <c r="I566" s="3"/>
      <c r="J566" s="96"/>
      <c r="K566" s="3"/>
      <c r="L566" s="96"/>
      <c r="M566" s="3"/>
      <c r="N566" s="96"/>
      <c r="O566" s="3"/>
      <c r="P566" s="96"/>
      <c r="Q566" s="1265"/>
      <c r="R566" s="3"/>
      <c r="S566" s="3"/>
      <c r="T566" s="1685"/>
      <c r="U566" s="3"/>
      <c r="V566" s="96"/>
      <c r="W566" s="1265"/>
      <c r="X566" s="3"/>
      <c r="Y566" s="3"/>
      <c r="Z566" s="1569"/>
      <c r="AA566" s="96"/>
    </row>
    <row r="567" spans="1:27" ht="15">
      <c r="A567" s="3"/>
      <c r="B567" s="3"/>
      <c r="C567" s="1536"/>
      <c r="D567" s="96"/>
      <c r="E567" s="3"/>
      <c r="F567" s="96"/>
      <c r="G567" s="3"/>
      <c r="H567" s="96"/>
      <c r="I567" s="3"/>
      <c r="J567" s="96"/>
      <c r="K567" s="3"/>
      <c r="L567" s="96"/>
      <c r="M567" s="3"/>
      <c r="N567" s="96"/>
      <c r="O567" s="3"/>
      <c r="P567" s="96"/>
      <c r="Q567" s="1265"/>
      <c r="R567" s="3"/>
      <c r="S567" s="3"/>
      <c r="T567" s="1685"/>
      <c r="U567" s="3"/>
      <c r="V567" s="96"/>
      <c r="W567" s="1265"/>
      <c r="X567" s="3"/>
      <c r="Y567" s="3"/>
      <c r="Z567" s="1569"/>
      <c r="AA567" s="96"/>
    </row>
    <row r="568" spans="1:27" ht="15">
      <c r="A568" s="3"/>
      <c r="B568" s="3"/>
      <c r="C568" s="1536"/>
      <c r="D568" s="96"/>
      <c r="E568" s="3"/>
      <c r="F568" s="96"/>
      <c r="G568" s="3"/>
      <c r="H568" s="96"/>
      <c r="I568" s="3"/>
      <c r="J568" s="96"/>
      <c r="K568" s="3"/>
      <c r="L568" s="96"/>
      <c r="M568" s="3"/>
      <c r="N568" s="96"/>
      <c r="O568" s="3"/>
      <c r="P568" s="96"/>
      <c r="Q568" s="1265"/>
      <c r="R568" s="3"/>
      <c r="S568" s="3"/>
      <c r="T568" s="1685"/>
      <c r="U568" s="3"/>
      <c r="V568" s="96"/>
      <c r="W568" s="1265"/>
      <c r="X568" s="3"/>
      <c r="Y568" s="3"/>
      <c r="Z568" s="1569"/>
      <c r="AA568" s="96"/>
    </row>
    <row r="569" spans="1:27" ht="15">
      <c r="A569" s="3"/>
      <c r="B569" s="3"/>
      <c r="C569" s="1536"/>
      <c r="D569" s="96"/>
      <c r="E569" s="3"/>
      <c r="F569" s="96"/>
      <c r="G569" s="3"/>
      <c r="H569" s="96"/>
      <c r="I569" s="3"/>
      <c r="J569" s="96"/>
      <c r="K569" s="3"/>
      <c r="L569" s="96"/>
      <c r="M569" s="3"/>
      <c r="N569" s="96"/>
      <c r="O569" s="3"/>
      <c r="P569" s="96"/>
      <c r="Q569" s="1265"/>
      <c r="R569" s="3"/>
      <c r="S569" s="3"/>
      <c r="T569" s="1685"/>
      <c r="U569" s="3"/>
      <c r="V569" s="96"/>
      <c r="W569" s="1265"/>
      <c r="X569" s="3"/>
      <c r="Y569" s="3"/>
      <c r="Z569" s="1569"/>
      <c r="AA569" s="96"/>
    </row>
    <row r="570" spans="1:27" ht="15">
      <c r="A570" s="3"/>
      <c r="B570" s="3"/>
      <c r="C570" s="1536"/>
      <c r="D570" s="96"/>
      <c r="E570" s="3"/>
      <c r="F570" s="96"/>
      <c r="G570" s="3"/>
      <c r="H570" s="96"/>
      <c r="I570" s="3"/>
      <c r="J570" s="96"/>
      <c r="K570" s="3"/>
      <c r="L570" s="96"/>
      <c r="M570" s="3"/>
      <c r="N570" s="96"/>
      <c r="O570" s="3"/>
      <c r="P570" s="96"/>
      <c r="Q570" s="1265"/>
      <c r="R570" s="3"/>
      <c r="S570" s="3"/>
      <c r="T570" s="1685"/>
      <c r="U570" s="3"/>
      <c r="V570" s="96"/>
      <c r="W570" s="1265"/>
      <c r="X570" s="3"/>
      <c r="Y570" s="3"/>
      <c r="Z570" s="1569"/>
      <c r="AA570" s="96"/>
    </row>
    <row r="571" spans="1:27" ht="15">
      <c r="A571" s="3"/>
      <c r="B571" s="3"/>
      <c r="C571" s="1536"/>
      <c r="D571" s="96"/>
      <c r="E571" s="3"/>
      <c r="F571" s="96"/>
      <c r="G571" s="3"/>
      <c r="H571" s="96"/>
      <c r="I571" s="3"/>
      <c r="J571" s="96"/>
      <c r="K571" s="3"/>
      <c r="L571" s="96"/>
      <c r="M571" s="3"/>
      <c r="N571" s="96"/>
      <c r="O571" s="3"/>
      <c r="P571" s="96"/>
      <c r="Q571" s="1265"/>
      <c r="R571" s="3"/>
      <c r="S571" s="3"/>
      <c r="T571" s="1685"/>
      <c r="U571" s="3"/>
      <c r="V571" s="96"/>
      <c r="W571" s="1265"/>
      <c r="X571" s="3"/>
      <c r="Y571" s="3"/>
      <c r="Z571" s="1569"/>
      <c r="AA571" s="96"/>
    </row>
    <row r="572" spans="1:27" ht="15">
      <c r="A572" s="3"/>
      <c r="B572" s="3"/>
      <c r="C572" s="1536"/>
      <c r="D572" s="96"/>
      <c r="E572" s="3"/>
      <c r="F572" s="96"/>
      <c r="G572" s="3"/>
      <c r="H572" s="96"/>
      <c r="I572" s="3"/>
      <c r="J572" s="96"/>
      <c r="K572" s="3"/>
      <c r="L572" s="96"/>
      <c r="M572" s="3"/>
      <c r="N572" s="96"/>
      <c r="O572" s="3"/>
      <c r="P572" s="96"/>
      <c r="Q572" s="1265"/>
      <c r="R572" s="3"/>
      <c r="S572" s="3"/>
      <c r="T572" s="1685"/>
      <c r="U572" s="3"/>
      <c r="V572" s="96"/>
      <c r="W572" s="1265"/>
      <c r="X572" s="3"/>
      <c r="Y572" s="3"/>
      <c r="Z572" s="1569"/>
      <c r="AA572" s="96"/>
    </row>
    <row r="573" spans="1:27" ht="15">
      <c r="A573" s="3"/>
      <c r="B573" s="3"/>
      <c r="C573" s="1536"/>
      <c r="D573" s="96"/>
      <c r="E573" s="3"/>
      <c r="F573" s="96"/>
      <c r="G573" s="3"/>
      <c r="H573" s="96"/>
      <c r="I573" s="3"/>
      <c r="J573" s="96"/>
      <c r="K573" s="3"/>
      <c r="L573" s="96"/>
      <c r="M573" s="3"/>
      <c r="N573" s="96"/>
      <c r="O573" s="3"/>
      <c r="P573" s="96"/>
      <c r="Q573" s="1265"/>
      <c r="R573" s="3"/>
      <c r="S573" s="3"/>
      <c r="T573" s="1685"/>
      <c r="U573" s="3"/>
      <c r="V573" s="96"/>
      <c r="W573" s="1265"/>
      <c r="X573" s="3"/>
      <c r="Y573" s="3"/>
      <c r="Z573" s="1569"/>
      <c r="AA573" s="96"/>
    </row>
    <row r="574" spans="1:27" ht="15">
      <c r="A574" s="3"/>
      <c r="B574" s="3"/>
      <c r="C574" s="1536"/>
      <c r="D574" s="96"/>
      <c r="E574" s="3"/>
      <c r="F574" s="96"/>
      <c r="G574" s="3"/>
      <c r="H574" s="96"/>
      <c r="I574" s="3"/>
      <c r="J574" s="96"/>
      <c r="K574" s="3"/>
      <c r="L574" s="96"/>
      <c r="M574" s="3"/>
      <c r="N574" s="96"/>
      <c r="O574" s="3"/>
      <c r="P574" s="96"/>
      <c r="Q574" s="1265"/>
      <c r="R574" s="3"/>
      <c r="S574" s="3"/>
      <c r="T574" s="1685"/>
      <c r="U574" s="3"/>
      <c r="V574" s="96"/>
      <c r="W574" s="1265"/>
      <c r="X574" s="3"/>
      <c r="Y574" s="3"/>
      <c r="Z574" s="1569"/>
      <c r="AA574" s="96"/>
    </row>
    <row r="575" spans="1:27" ht="15">
      <c r="A575" s="3"/>
      <c r="B575" s="3"/>
      <c r="C575" s="1536"/>
      <c r="D575" s="96"/>
      <c r="E575" s="3"/>
      <c r="F575" s="96"/>
      <c r="G575" s="3"/>
      <c r="H575" s="96"/>
      <c r="I575" s="3"/>
      <c r="J575" s="96"/>
      <c r="K575" s="3"/>
      <c r="L575" s="96"/>
      <c r="M575" s="3"/>
      <c r="N575" s="96"/>
      <c r="O575" s="3"/>
      <c r="P575" s="96"/>
      <c r="Q575" s="1265"/>
      <c r="R575" s="3"/>
      <c r="S575" s="3"/>
      <c r="T575" s="1685"/>
      <c r="U575" s="3"/>
      <c r="V575" s="96"/>
      <c r="W575" s="1265"/>
      <c r="X575" s="3"/>
      <c r="Y575" s="3"/>
      <c r="Z575" s="1569"/>
      <c r="AA575" s="96"/>
    </row>
    <row r="576" spans="1:27" ht="15">
      <c r="A576" s="3"/>
      <c r="B576" s="3"/>
      <c r="C576" s="1536"/>
      <c r="D576" s="96"/>
      <c r="E576" s="3"/>
      <c r="F576" s="96"/>
      <c r="G576" s="3"/>
      <c r="H576" s="96"/>
      <c r="I576" s="3"/>
      <c r="J576" s="96"/>
      <c r="K576" s="3"/>
      <c r="L576" s="96"/>
      <c r="M576" s="3"/>
      <c r="N576" s="96"/>
      <c r="O576" s="3"/>
      <c r="P576" s="96"/>
      <c r="Q576" s="1265"/>
      <c r="R576" s="3"/>
      <c r="S576" s="3"/>
      <c r="T576" s="1685"/>
      <c r="U576" s="3"/>
      <c r="V576" s="96"/>
      <c r="W576" s="1265"/>
      <c r="X576" s="3"/>
      <c r="Y576" s="3"/>
      <c r="Z576" s="1569"/>
      <c r="AA576" s="96"/>
    </row>
    <row r="577" spans="1:27" ht="15">
      <c r="A577" s="3"/>
      <c r="B577" s="3"/>
      <c r="C577" s="1536"/>
      <c r="D577" s="96"/>
      <c r="E577" s="3"/>
      <c r="F577" s="96"/>
      <c r="G577" s="3"/>
      <c r="H577" s="96"/>
      <c r="I577" s="3"/>
      <c r="J577" s="96"/>
      <c r="K577" s="3"/>
      <c r="L577" s="96"/>
      <c r="M577" s="3"/>
      <c r="N577" s="96"/>
      <c r="O577" s="3"/>
      <c r="P577" s="96"/>
      <c r="Q577" s="1265"/>
      <c r="R577" s="3"/>
      <c r="S577" s="3"/>
      <c r="T577" s="1685"/>
      <c r="U577" s="3"/>
      <c r="V577" s="96"/>
      <c r="W577" s="1265"/>
      <c r="X577" s="3"/>
      <c r="Y577" s="3"/>
      <c r="Z577" s="1569"/>
      <c r="AA577" s="96"/>
    </row>
    <row r="578" spans="1:27" ht="15">
      <c r="A578" s="3"/>
      <c r="B578" s="3"/>
      <c r="C578" s="1536"/>
      <c r="D578" s="96"/>
      <c r="E578" s="3"/>
      <c r="F578" s="96"/>
      <c r="G578" s="3"/>
      <c r="H578" s="96"/>
      <c r="I578" s="3"/>
      <c r="J578" s="96"/>
      <c r="K578" s="3"/>
      <c r="L578" s="96"/>
      <c r="M578" s="3"/>
      <c r="N578" s="96"/>
      <c r="O578" s="3"/>
      <c r="P578" s="96"/>
      <c r="Q578" s="1265"/>
      <c r="R578" s="3"/>
      <c r="S578" s="3"/>
      <c r="T578" s="1685"/>
      <c r="U578" s="3"/>
      <c r="V578" s="96"/>
      <c r="W578" s="1265"/>
      <c r="X578" s="3"/>
      <c r="Y578" s="3"/>
      <c r="Z578" s="1569"/>
      <c r="AA578" s="96"/>
    </row>
    <row r="579" spans="1:27" ht="15">
      <c r="A579" s="3"/>
      <c r="B579" s="3"/>
      <c r="C579" s="1536"/>
      <c r="D579" s="96"/>
      <c r="E579" s="3"/>
      <c r="F579" s="96"/>
      <c r="G579" s="3"/>
      <c r="H579" s="96"/>
      <c r="I579" s="3"/>
      <c r="J579" s="96"/>
      <c r="K579" s="3"/>
      <c r="L579" s="96"/>
      <c r="M579" s="3"/>
      <c r="N579" s="96"/>
      <c r="O579" s="3"/>
      <c r="P579" s="96"/>
      <c r="Q579" s="1265"/>
      <c r="R579" s="3"/>
      <c r="S579" s="3"/>
      <c r="T579" s="1685"/>
      <c r="U579" s="3"/>
      <c r="V579" s="96"/>
      <c r="W579" s="1265"/>
      <c r="X579" s="3"/>
      <c r="Y579" s="3"/>
      <c r="Z579" s="1569"/>
      <c r="AA579" s="96"/>
    </row>
    <row r="580" spans="1:27" ht="15">
      <c r="A580" s="3"/>
      <c r="B580" s="3"/>
      <c r="C580" s="1536"/>
      <c r="D580" s="96"/>
      <c r="E580" s="3"/>
      <c r="F580" s="96"/>
      <c r="G580" s="3"/>
      <c r="H580" s="96"/>
      <c r="I580" s="3"/>
      <c r="J580" s="96"/>
      <c r="K580" s="3"/>
      <c r="L580" s="96"/>
      <c r="M580" s="3"/>
      <c r="N580" s="96"/>
      <c r="O580" s="3"/>
      <c r="P580" s="96"/>
      <c r="Q580" s="1265"/>
      <c r="R580" s="3"/>
      <c r="S580" s="3"/>
      <c r="T580" s="1685"/>
      <c r="U580" s="3"/>
      <c r="V580" s="96"/>
      <c r="W580" s="1265"/>
      <c r="X580" s="3"/>
      <c r="Y580" s="3"/>
      <c r="Z580" s="1569"/>
      <c r="AA580" s="96"/>
    </row>
    <row r="581" spans="1:27" ht="15">
      <c r="A581" s="3"/>
      <c r="B581" s="3"/>
      <c r="C581" s="1536"/>
      <c r="D581" s="96"/>
      <c r="E581" s="3"/>
      <c r="F581" s="96"/>
      <c r="G581" s="3"/>
      <c r="H581" s="96"/>
      <c r="I581" s="3"/>
      <c r="J581" s="96"/>
      <c r="K581" s="3"/>
      <c r="L581" s="96"/>
      <c r="M581" s="3"/>
      <c r="N581" s="96"/>
      <c r="O581" s="3"/>
      <c r="P581" s="96"/>
      <c r="Q581" s="1265"/>
      <c r="R581" s="3"/>
      <c r="S581" s="3"/>
      <c r="T581" s="1685"/>
      <c r="U581" s="3"/>
      <c r="V581" s="96"/>
      <c r="W581" s="1265"/>
      <c r="X581" s="3"/>
      <c r="Y581" s="3"/>
      <c r="Z581" s="1569"/>
      <c r="AA581" s="96"/>
    </row>
    <row r="582" spans="1:27" ht="15">
      <c r="A582" s="3"/>
      <c r="B582" s="3"/>
      <c r="C582" s="1536"/>
      <c r="D582" s="96"/>
      <c r="E582" s="3"/>
      <c r="F582" s="96"/>
      <c r="G582" s="3"/>
      <c r="H582" s="96"/>
      <c r="I582" s="3"/>
      <c r="J582" s="96"/>
      <c r="K582" s="3"/>
      <c r="L582" s="96"/>
      <c r="M582" s="3"/>
      <c r="N582" s="96"/>
      <c r="O582" s="3"/>
      <c r="P582" s="96"/>
      <c r="Q582" s="1265"/>
      <c r="R582" s="3"/>
      <c r="S582" s="3"/>
      <c r="T582" s="1685"/>
      <c r="U582" s="3"/>
      <c r="V582" s="96"/>
      <c r="W582" s="1265"/>
      <c r="X582" s="3"/>
      <c r="Y582" s="3"/>
      <c r="Z582" s="1569"/>
      <c r="AA582" s="96"/>
    </row>
    <row r="583" spans="1:27" ht="15">
      <c r="A583" s="3"/>
      <c r="B583" s="3"/>
      <c r="C583" s="1536"/>
      <c r="D583" s="96"/>
      <c r="E583" s="3"/>
      <c r="F583" s="96"/>
      <c r="G583" s="3"/>
      <c r="H583" s="96"/>
      <c r="I583" s="3"/>
      <c r="J583" s="96"/>
      <c r="K583" s="3"/>
      <c r="L583" s="96"/>
      <c r="M583" s="3"/>
      <c r="N583" s="96"/>
      <c r="O583" s="3"/>
      <c r="P583" s="96"/>
      <c r="Q583" s="1265"/>
      <c r="R583" s="3"/>
      <c r="S583" s="3"/>
      <c r="T583" s="1685"/>
      <c r="U583" s="3"/>
      <c r="V583" s="96"/>
      <c r="W583" s="1265"/>
      <c r="X583" s="3"/>
      <c r="Y583" s="3"/>
      <c r="Z583" s="1569"/>
      <c r="AA583" s="96"/>
    </row>
    <row r="584" spans="1:27" ht="15">
      <c r="A584" s="3"/>
      <c r="B584" s="3"/>
      <c r="C584" s="1536"/>
      <c r="D584" s="96"/>
      <c r="E584" s="3"/>
      <c r="F584" s="96"/>
      <c r="G584" s="3"/>
      <c r="H584" s="96"/>
      <c r="I584" s="3"/>
      <c r="J584" s="96"/>
      <c r="K584" s="3"/>
      <c r="L584" s="96"/>
      <c r="M584" s="3"/>
      <c r="N584" s="96"/>
      <c r="O584" s="3"/>
      <c r="P584" s="96"/>
      <c r="Q584" s="1265"/>
      <c r="R584" s="3"/>
      <c r="S584" s="3"/>
      <c r="T584" s="1685"/>
      <c r="U584" s="3"/>
      <c r="V584" s="96"/>
      <c r="W584" s="1265"/>
      <c r="X584" s="3"/>
      <c r="Y584" s="3"/>
      <c r="Z584" s="1569"/>
      <c r="AA584" s="96"/>
    </row>
    <row r="585" spans="1:27" ht="15">
      <c r="A585" s="3"/>
      <c r="B585" s="3"/>
      <c r="C585" s="1536"/>
      <c r="D585" s="96"/>
      <c r="E585" s="3"/>
      <c r="F585" s="96"/>
      <c r="G585" s="3"/>
      <c r="H585" s="96"/>
      <c r="I585" s="3"/>
      <c r="J585" s="96"/>
      <c r="K585" s="3"/>
      <c r="L585" s="96"/>
      <c r="M585" s="3"/>
      <c r="N585" s="96"/>
      <c r="O585" s="3"/>
      <c r="P585" s="96"/>
      <c r="Q585" s="1265"/>
      <c r="R585" s="3"/>
      <c r="S585" s="3"/>
      <c r="T585" s="1685"/>
      <c r="U585" s="3"/>
      <c r="V585" s="96"/>
      <c r="W585" s="1265"/>
      <c r="X585" s="3"/>
      <c r="Y585" s="3"/>
      <c r="Z585" s="1569"/>
      <c r="AA585" s="96"/>
    </row>
    <row r="586" spans="1:27" ht="15">
      <c r="A586" s="3"/>
      <c r="B586" s="3"/>
      <c r="C586" s="1536"/>
      <c r="D586" s="96"/>
      <c r="E586" s="3"/>
      <c r="F586" s="96"/>
      <c r="G586" s="3"/>
      <c r="H586" s="96"/>
      <c r="I586" s="3"/>
      <c r="J586" s="96"/>
      <c r="K586" s="3"/>
      <c r="L586" s="96"/>
      <c r="M586" s="3"/>
      <c r="N586" s="96"/>
      <c r="O586" s="3"/>
      <c r="P586" s="96"/>
      <c r="Q586" s="1265"/>
      <c r="R586" s="3"/>
      <c r="S586" s="3"/>
      <c r="T586" s="1685"/>
      <c r="U586" s="3"/>
      <c r="V586" s="96"/>
      <c r="W586" s="1265"/>
      <c r="X586" s="3"/>
      <c r="Y586" s="3"/>
      <c r="Z586" s="1569"/>
      <c r="AA586" s="96"/>
    </row>
    <row r="587" spans="1:27" ht="15">
      <c r="A587" s="3"/>
      <c r="B587" s="3"/>
      <c r="C587" s="1536"/>
      <c r="D587" s="96"/>
      <c r="E587" s="3"/>
      <c r="F587" s="96"/>
      <c r="G587" s="3"/>
      <c r="H587" s="96"/>
      <c r="I587" s="3"/>
      <c r="J587" s="96"/>
      <c r="K587" s="3"/>
      <c r="L587" s="96"/>
      <c r="M587" s="3"/>
      <c r="N587" s="96"/>
      <c r="O587" s="3"/>
      <c r="P587" s="96"/>
      <c r="Q587" s="1265"/>
      <c r="R587" s="3"/>
      <c r="S587" s="3"/>
      <c r="T587" s="1685"/>
      <c r="U587" s="3"/>
      <c r="V587" s="96"/>
      <c r="W587" s="1265"/>
      <c r="X587" s="3"/>
      <c r="Y587" s="3"/>
      <c r="Z587" s="1569"/>
      <c r="AA587" s="96"/>
    </row>
    <row r="588" spans="1:27" ht="15">
      <c r="A588" s="3"/>
      <c r="B588" s="3"/>
      <c r="C588" s="1536"/>
      <c r="D588" s="96"/>
      <c r="E588" s="3"/>
      <c r="F588" s="96"/>
      <c r="G588" s="3"/>
      <c r="H588" s="96"/>
      <c r="I588" s="3"/>
      <c r="J588" s="96"/>
      <c r="K588" s="3"/>
      <c r="L588" s="96"/>
      <c r="M588" s="3"/>
      <c r="N588" s="96"/>
      <c r="O588" s="3"/>
      <c r="P588" s="96"/>
      <c r="Q588" s="1265"/>
      <c r="R588" s="3"/>
      <c r="S588" s="3"/>
      <c r="T588" s="1685"/>
      <c r="U588" s="3"/>
      <c r="V588" s="96"/>
      <c r="W588" s="1265"/>
      <c r="X588" s="3"/>
      <c r="Y588" s="3"/>
      <c r="Z588" s="1569"/>
      <c r="AA588" s="96"/>
    </row>
    <row r="589" spans="1:27" ht="15">
      <c r="A589" s="3"/>
      <c r="B589" s="3"/>
      <c r="C589" s="1536"/>
      <c r="D589" s="96"/>
      <c r="E589" s="3"/>
      <c r="F589" s="96"/>
      <c r="G589" s="3"/>
      <c r="H589" s="96"/>
      <c r="I589" s="3"/>
      <c r="J589" s="96"/>
      <c r="K589" s="3"/>
      <c r="L589" s="96"/>
      <c r="M589" s="3"/>
      <c r="N589" s="96"/>
      <c r="O589" s="3"/>
      <c r="P589" s="96"/>
      <c r="Q589" s="1265"/>
      <c r="R589" s="3"/>
      <c r="S589" s="3"/>
      <c r="T589" s="1685"/>
      <c r="U589" s="3"/>
      <c r="V589" s="96"/>
      <c r="W589" s="1265"/>
      <c r="X589" s="3"/>
      <c r="Y589" s="3"/>
      <c r="Z589" s="1569"/>
      <c r="AA589" s="96"/>
    </row>
    <row r="590" spans="1:27" ht="15">
      <c r="A590" s="3"/>
      <c r="B590" s="3"/>
      <c r="C590" s="1536"/>
      <c r="D590" s="96"/>
      <c r="E590" s="3"/>
      <c r="F590" s="96"/>
      <c r="G590" s="3"/>
      <c r="H590" s="96"/>
      <c r="I590" s="3"/>
      <c r="J590" s="96"/>
      <c r="K590" s="3"/>
      <c r="L590" s="96"/>
      <c r="M590" s="3"/>
      <c r="N590" s="96"/>
      <c r="O590" s="3"/>
      <c r="P590" s="96"/>
      <c r="Q590" s="1265"/>
      <c r="R590" s="3"/>
      <c r="S590" s="3"/>
      <c r="T590" s="1685"/>
      <c r="U590" s="3"/>
      <c r="V590" s="96"/>
      <c r="W590" s="1265"/>
      <c r="X590" s="3"/>
      <c r="Y590" s="3"/>
      <c r="Z590" s="1569"/>
      <c r="AA590" s="96"/>
    </row>
    <row r="591" spans="1:27" ht="15">
      <c r="A591" s="3"/>
      <c r="B591" s="3"/>
      <c r="C591" s="1536"/>
      <c r="D591" s="96"/>
      <c r="E591" s="3"/>
      <c r="F591" s="96"/>
      <c r="G591" s="3"/>
      <c r="H591" s="96"/>
      <c r="I591" s="3"/>
      <c r="J591" s="96"/>
      <c r="K591" s="3"/>
      <c r="L591" s="96"/>
      <c r="M591" s="3"/>
      <c r="N591" s="96"/>
      <c r="O591" s="3"/>
      <c r="P591" s="96"/>
      <c r="Q591" s="1265"/>
      <c r="R591" s="3"/>
      <c r="S591" s="3"/>
      <c r="T591" s="1685"/>
      <c r="U591" s="3"/>
      <c r="V591" s="96"/>
      <c r="W591" s="1265"/>
      <c r="X591" s="3"/>
      <c r="Y591" s="3"/>
      <c r="Z591" s="1569"/>
      <c r="AA591" s="96"/>
    </row>
    <row r="592" spans="1:27" ht="15">
      <c r="A592" s="3"/>
      <c r="B592" s="3"/>
      <c r="C592" s="1536"/>
      <c r="D592" s="96"/>
      <c r="E592" s="3"/>
      <c r="F592" s="96"/>
      <c r="G592" s="3"/>
      <c r="H592" s="96"/>
      <c r="I592" s="3"/>
      <c r="J592" s="96"/>
      <c r="K592" s="3"/>
      <c r="L592" s="96"/>
      <c r="M592" s="3"/>
      <c r="N592" s="96"/>
      <c r="O592" s="3"/>
      <c r="P592" s="96"/>
      <c r="Q592" s="1265"/>
      <c r="R592" s="3"/>
      <c r="S592" s="3"/>
      <c r="T592" s="1685"/>
      <c r="U592" s="3"/>
      <c r="V592" s="96"/>
      <c r="W592" s="1265"/>
      <c r="X592" s="3"/>
      <c r="Y592" s="3"/>
      <c r="Z592" s="1569"/>
      <c r="AA592" s="96"/>
    </row>
    <row r="593" spans="1:27" ht="15">
      <c r="A593" s="3"/>
      <c r="B593" s="3"/>
      <c r="C593" s="1536"/>
      <c r="D593" s="96"/>
      <c r="E593" s="3"/>
      <c r="F593" s="96"/>
      <c r="G593" s="3"/>
      <c r="H593" s="96"/>
      <c r="I593" s="3"/>
      <c r="J593" s="96"/>
      <c r="K593" s="3"/>
      <c r="L593" s="96"/>
      <c r="M593" s="3"/>
      <c r="N593" s="96"/>
      <c r="O593" s="3"/>
      <c r="P593" s="96"/>
      <c r="Q593" s="1265"/>
      <c r="R593" s="3"/>
      <c r="S593" s="3"/>
      <c r="T593" s="1685"/>
      <c r="U593" s="3"/>
      <c r="V593" s="96"/>
      <c r="W593" s="1265"/>
      <c r="X593" s="3"/>
      <c r="Y593" s="3"/>
      <c r="Z593" s="1569"/>
      <c r="AA593" s="96"/>
    </row>
    <row r="594" spans="1:27" ht="15">
      <c r="A594" s="3"/>
      <c r="B594" s="3"/>
      <c r="C594" s="1536"/>
      <c r="D594" s="96"/>
      <c r="E594" s="3"/>
      <c r="F594" s="96"/>
      <c r="G594" s="3"/>
      <c r="H594" s="96"/>
      <c r="I594" s="3"/>
      <c r="J594" s="96"/>
      <c r="K594" s="3"/>
      <c r="L594" s="96"/>
      <c r="M594" s="3"/>
      <c r="N594" s="96"/>
      <c r="O594" s="3"/>
      <c r="P594" s="96"/>
      <c r="Q594" s="1265"/>
      <c r="R594" s="3"/>
      <c r="S594" s="3"/>
      <c r="T594" s="1685"/>
      <c r="U594" s="3"/>
      <c r="V594" s="96"/>
      <c r="W594" s="1265"/>
      <c r="X594" s="3"/>
      <c r="Y594" s="3"/>
      <c r="Z594" s="1569"/>
      <c r="AA594" s="96"/>
    </row>
    <row r="595" spans="1:27" ht="15">
      <c r="A595" s="3"/>
      <c r="B595" s="3"/>
      <c r="C595" s="1536"/>
      <c r="D595" s="96"/>
      <c r="E595" s="3"/>
      <c r="F595" s="96"/>
      <c r="G595" s="3"/>
      <c r="H595" s="96"/>
      <c r="I595" s="3"/>
      <c r="J595" s="96"/>
      <c r="K595" s="3"/>
      <c r="L595" s="96"/>
      <c r="M595" s="3"/>
      <c r="N595" s="96"/>
      <c r="O595" s="3"/>
      <c r="P595" s="96"/>
      <c r="Q595" s="1265"/>
      <c r="R595" s="3"/>
      <c r="S595" s="3"/>
      <c r="T595" s="1685"/>
      <c r="U595" s="3"/>
      <c r="V595" s="96"/>
      <c r="W595" s="1265"/>
      <c r="X595" s="3"/>
      <c r="Y595" s="3"/>
      <c r="Z595" s="1569"/>
      <c r="AA595" s="96"/>
    </row>
    <row r="596" spans="1:27" ht="15">
      <c r="A596" s="3"/>
      <c r="B596" s="3"/>
      <c r="C596" s="1536"/>
      <c r="D596" s="96"/>
      <c r="E596" s="3"/>
      <c r="F596" s="96"/>
      <c r="G596" s="3"/>
      <c r="H596" s="96"/>
      <c r="I596" s="3"/>
      <c r="J596" s="96"/>
      <c r="K596" s="3"/>
      <c r="L596" s="96"/>
      <c r="M596" s="3"/>
      <c r="N596" s="96"/>
      <c r="O596" s="3"/>
      <c r="P596" s="96"/>
      <c r="Q596" s="1265"/>
      <c r="R596" s="3"/>
      <c r="S596" s="3"/>
      <c r="T596" s="1685"/>
      <c r="U596" s="3"/>
      <c r="V596" s="96"/>
      <c r="W596" s="1265"/>
      <c r="X596" s="3"/>
      <c r="Y596" s="3"/>
      <c r="Z596" s="1569"/>
      <c r="AA596" s="96"/>
    </row>
    <row r="597" spans="1:27" ht="15">
      <c r="A597" s="3"/>
      <c r="B597" s="3"/>
      <c r="C597" s="1536"/>
      <c r="D597" s="96"/>
      <c r="E597" s="3"/>
      <c r="F597" s="96"/>
      <c r="G597" s="3"/>
      <c r="H597" s="96"/>
      <c r="I597" s="3"/>
      <c r="J597" s="96"/>
      <c r="K597" s="3"/>
      <c r="L597" s="96"/>
      <c r="M597" s="3"/>
      <c r="N597" s="96"/>
      <c r="O597" s="3"/>
      <c r="P597" s="96"/>
      <c r="Q597" s="1265"/>
      <c r="R597" s="3"/>
      <c r="S597" s="3"/>
      <c r="T597" s="1685"/>
      <c r="U597" s="3"/>
      <c r="V597" s="96"/>
      <c r="W597" s="1265"/>
      <c r="X597" s="3"/>
      <c r="Y597" s="3"/>
      <c r="Z597" s="1569"/>
      <c r="AA597" s="96"/>
    </row>
    <row r="598" spans="1:27" ht="15">
      <c r="A598" s="3"/>
      <c r="B598" s="3"/>
      <c r="C598" s="1536"/>
      <c r="D598" s="96"/>
      <c r="E598" s="3"/>
      <c r="F598" s="96"/>
      <c r="G598" s="3"/>
      <c r="H598" s="96"/>
      <c r="I598" s="3"/>
      <c r="J598" s="96"/>
      <c r="K598" s="3"/>
      <c r="L598" s="96"/>
      <c r="M598" s="3"/>
      <c r="N598" s="96"/>
      <c r="O598" s="3"/>
      <c r="P598" s="96"/>
      <c r="Q598" s="1265"/>
      <c r="R598" s="3"/>
      <c r="S598" s="3"/>
      <c r="T598" s="1685"/>
      <c r="U598" s="3"/>
      <c r="V598" s="96"/>
      <c r="W598" s="1265"/>
      <c r="X598" s="3"/>
      <c r="Y598" s="3"/>
      <c r="Z598" s="1569"/>
      <c r="AA598" s="96"/>
    </row>
    <row r="599" spans="1:27" ht="15">
      <c r="A599" s="3"/>
      <c r="B599" s="3"/>
      <c r="C599" s="1536"/>
      <c r="D599" s="96"/>
      <c r="E599" s="3"/>
      <c r="F599" s="96"/>
      <c r="G599" s="3"/>
      <c r="H599" s="96"/>
      <c r="I599" s="3"/>
      <c r="J599" s="96"/>
      <c r="K599" s="3"/>
      <c r="L599" s="96"/>
      <c r="M599" s="3"/>
      <c r="N599" s="96"/>
      <c r="O599" s="3"/>
      <c r="P599" s="96"/>
      <c r="Q599" s="1265"/>
      <c r="R599" s="3"/>
      <c r="S599" s="3"/>
      <c r="T599" s="1685"/>
      <c r="U599" s="3"/>
      <c r="V599" s="96"/>
      <c r="W599" s="1265"/>
      <c r="X599" s="3"/>
      <c r="Y599" s="3"/>
      <c r="Z599" s="1569"/>
      <c r="AA599" s="96"/>
    </row>
    <row r="600" spans="1:27" ht="15">
      <c r="A600" s="3"/>
      <c r="B600" s="3"/>
      <c r="C600" s="1536"/>
      <c r="D600" s="96"/>
      <c r="E600" s="3"/>
      <c r="F600" s="96"/>
      <c r="G600" s="3"/>
      <c r="H600" s="96"/>
      <c r="I600" s="3"/>
      <c r="J600" s="96"/>
      <c r="K600" s="3"/>
      <c r="L600" s="96"/>
      <c r="M600" s="3"/>
      <c r="N600" s="96"/>
      <c r="O600" s="3"/>
      <c r="P600" s="96"/>
      <c r="Q600" s="1265"/>
      <c r="R600" s="3"/>
      <c r="S600" s="3"/>
      <c r="T600" s="1685"/>
      <c r="U600" s="3"/>
      <c r="V600" s="96"/>
      <c r="W600" s="1265"/>
      <c r="X600" s="3"/>
      <c r="Y600" s="3"/>
      <c r="Z600" s="1569"/>
      <c r="AA600" s="96"/>
    </row>
    <row r="601" spans="1:27" ht="15">
      <c r="A601" s="3"/>
      <c r="B601" s="3"/>
      <c r="C601" s="1536"/>
      <c r="D601" s="96"/>
      <c r="E601" s="3"/>
      <c r="F601" s="96"/>
      <c r="G601" s="3"/>
      <c r="H601" s="96"/>
      <c r="I601" s="3"/>
      <c r="J601" s="96"/>
      <c r="K601" s="3"/>
      <c r="L601" s="96"/>
      <c r="M601" s="3"/>
      <c r="N601" s="96"/>
      <c r="O601" s="3"/>
      <c r="P601" s="96"/>
      <c r="Q601" s="1265"/>
      <c r="R601" s="3"/>
      <c r="S601" s="3"/>
      <c r="T601" s="1685"/>
      <c r="U601" s="3"/>
      <c r="V601" s="96"/>
      <c r="W601" s="1265"/>
      <c r="X601" s="3"/>
      <c r="Y601" s="3"/>
      <c r="Z601" s="1569"/>
      <c r="AA601" s="96"/>
    </row>
    <row r="602" spans="1:27" ht="15">
      <c r="A602" s="3"/>
      <c r="B602" s="3"/>
      <c r="C602" s="1536"/>
      <c r="D602" s="96"/>
      <c r="E602" s="3"/>
      <c r="F602" s="96"/>
      <c r="G602" s="3"/>
      <c r="H602" s="96"/>
      <c r="I602" s="3"/>
      <c r="J602" s="96"/>
      <c r="K602" s="3"/>
      <c r="L602" s="96"/>
      <c r="M602" s="3"/>
      <c r="N602" s="96"/>
      <c r="O602" s="3"/>
      <c r="P602" s="96"/>
      <c r="Q602" s="1265"/>
      <c r="R602" s="3"/>
      <c r="S602" s="3"/>
      <c r="T602" s="1685"/>
      <c r="U602" s="3"/>
      <c r="V602" s="96"/>
      <c r="W602" s="1265"/>
      <c r="X602" s="3"/>
      <c r="Y602" s="3"/>
      <c r="Z602" s="1569"/>
      <c r="AA602" s="96"/>
    </row>
    <row r="603" spans="1:27" ht="15">
      <c r="A603" s="3"/>
      <c r="B603" s="3"/>
      <c r="C603" s="1536"/>
      <c r="D603" s="96"/>
      <c r="E603" s="3"/>
      <c r="F603" s="96"/>
      <c r="G603" s="3"/>
      <c r="H603" s="96"/>
      <c r="I603" s="3"/>
      <c r="J603" s="96"/>
      <c r="K603" s="3"/>
      <c r="L603" s="96"/>
      <c r="M603" s="3"/>
      <c r="N603" s="96"/>
      <c r="O603" s="3"/>
      <c r="P603" s="96"/>
      <c r="Q603" s="1265"/>
      <c r="R603" s="3"/>
      <c r="S603" s="3"/>
      <c r="T603" s="1685"/>
      <c r="U603" s="3"/>
      <c r="V603" s="96"/>
      <c r="W603" s="1265"/>
      <c r="X603" s="3"/>
      <c r="Y603" s="3"/>
      <c r="Z603" s="1569"/>
      <c r="AA603" s="96"/>
    </row>
    <row r="604" spans="1:27" ht="15">
      <c r="A604" s="3"/>
      <c r="B604" s="3"/>
      <c r="C604" s="1536"/>
      <c r="D604" s="96"/>
      <c r="E604" s="3"/>
      <c r="F604" s="96"/>
      <c r="G604" s="3"/>
      <c r="H604" s="96"/>
      <c r="I604" s="3"/>
      <c r="J604" s="96"/>
      <c r="K604" s="3"/>
      <c r="L604" s="96"/>
      <c r="M604" s="3"/>
      <c r="N604" s="96"/>
      <c r="O604" s="3"/>
      <c r="P604" s="96"/>
      <c r="Q604" s="1265"/>
      <c r="R604" s="3"/>
      <c r="S604" s="3"/>
      <c r="T604" s="1685"/>
      <c r="U604" s="3"/>
      <c r="V604" s="96"/>
      <c r="W604" s="1265"/>
      <c r="X604" s="3"/>
      <c r="Y604" s="3"/>
      <c r="Z604" s="1569"/>
      <c r="AA604" s="96"/>
    </row>
    <row r="605" spans="1:27" ht="15">
      <c r="A605" s="3"/>
      <c r="B605" s="3"/>
      <c r="C605" s="1536"/>
      <c r="D605" s="96"/>
      <c r="E605" s="3"/>
      <c r="F605" s="96"/>
      <c r="G605" s="3"/>
      <c r="H605" s="96"/>
      <c r="I605" s="3"/>
      <c r="J605" s="96"/>
      <c r="K605" s="3"/>
      <c r="L605" s="96"/>
      <c r="M605" s="3"/>
      <c r="N605" s="96"/>
      <c r="O605" s="3"/>
      <c r="P605" s="96"/>
      <c r="Q605" s="1265"/>
      <c r="R605" s="3"/>
      <c r="S605" s="3"/>
      <c r="T605" s="1685"/>
      <c r="U605" s="3"/>
      <c r="V605" s="96"/>
      <c r="W605" s="1265"/>
      <c r="X605" s="3"/>
      <c r="Y605" s="3"/>
      <c r="Z605" s="1569"/>
      <c r="AA605" s="96"/>
    </row>
    <row r="606" spans="1:27" ht="15">
      <c r="A606" s="3"/>
      <c r="B606" s="3"/>
      <c r="C606" s="1536"/>
      <c r="D606" s="96"/>
      <c r="E606" s="3"/>
      <c r="F606" s="96"/>
      <c r="G606" s="3"/>
      <c r="H606" s="96"/>
      <c r="I606" s="3"/>
      <c r="J606" s="96"/>
      <c r="K606" s="3"/>
      <c r="L606" s="96"/>
      <c r="M606" s="3"/>
      <c r="N606" s="96"/>
      <c r="O606" s="3"/>
      <c r="P606" s="96"/>
      <c r="Q606" s="1265"/>
      <c r="R606" s="3"/>
      <c r="S606" s="3"/>
      <c r="T606" s="1685"/>
      <c r="U606" s="3"/>
      <c r="V606" s="96"/>
      <c r="W606" s="1265"/>
      <c r="X606" s="3"/>
      <c r="Y606" s="3"/>
      <c r="Z606" s="1569"/>
      <c r="AA606" s="96"/>
    </row>
    <row r="607" spans="1:27" ht="15">
      <c r="A607" s="3"/>
      <c r="B607" s="3"/>
      <c r="C607" s="1536"/>
      <c r="D607" s="96"/>
      <c r="E607" s="3"/>
      <c r="F607" s="96"/>
      <c r="G607" s="3"/>
      <c r="H607" s="96"/>
      <c r="I607" s="3"/>
      <c r="J607" s="96"/>
      <c r="K607" s="3"/>
      <c r="L607" s="96"/>
      <c r="M607" s="3"/>
      <c r="N607" s="96"/>
      <c r="O607" s="3"/>
      <c r="P607" s="96"/>
      <c r="Q607" s="1265"/>
      <c r="R607" s="3"/>
      <c r="S607" s="3"/>
      <c r="T607" s="1685"/>
      <c r="U607" s="3"/>
      <c r="V607" s="96"/>
      <c r="W607" s="1265"/>
      <c r="X607" s="3"/>
      <c r="Y607" s="3"/>
      <c r="Z607" s="1569"/>
      <c r="AA607" s="96"/>
    </row>
    <row r="608" spans="1:27" ht="15">
      <c r="A608" s="3"/>
      <c r="B608" s="3"/>
      <c r="C608" s="1536"/>
      <c r="D608" s="96"/>
      <c r="E608" s="3"/>
      <c r="F608" s="96"/>
      <c r="G608" s="3"/>
      <c r="H608" s="96"/>
      <c r="I608" s="3"/>
      <c r="J608" s="96"/>
      <c r="K608" s="3"/>
      <c r="L608" s="96"/>
      <c r="M608" s="3"/>
      <c r="N608" s="96"/>
      <c r="O608" s="3"/>
      <c r="P608" s="96"/>
      <c r="Q608" s="1265"/>
      <c r="R608" s="3"/>
      <c r="S608" s="3"/>
      <c r="T608" s="1685"/>
      <c r="U608" s="3"/>
      <c r="V608" s="96"/>
      <c r="W608" s="1265"/>
      <c r="X608" s="3"/>
      <c r="Y608" s="3"/>
      <c r="Z608" s="1569"/>
      <c r="AA608" s="96"/>
    </row>
    <row r="609" spans="1:27" ht="15">
      <c r="A609" s="3"/>
      <c r="B609" s="3"/>
      <c r="C609" s="1536"/>
      <c r="D609" s="96"/>
      <c r="E609" s="3"/>
      <c r="F609" s="96"/>
      <c r="G609" s="3"/>
      <c r="H609" s="96"/>
      <c r="I609" s="3"/>
      <c r="J609" s="96"/>
      <c r="K609" s="3"/>
      <c r="L609" s="96"/>
      <c r="M609" s="3"/>
      <c r="N609" s="96"/>
      <c r="O609" s="3"/>
      <c r="P609" s="96"/>
      <c r="Q609" s="1265"/>
      <c r="R609" s="3"/>
      <c r="S609" s="3"/>
      <c r="T609" s="1685"/>
      <c r="U609" s="3"/>
      <c r="V609" s="96"/>
      <c r="W609" s="1265"/>
      <c r="X609" s="3"/>
      <c r="Y609" s="3"/>
      <c r="Z609" s="1569"/>
      <c r="AA609" s="96"/>
    </row>
    <row r="610" spans="1:27" ht="15">
      <c r="A610" s="3"/>
      <c r="B610" s="3"/>
      <c r="C610" s="1536"/>
      <c r="D610" s="96"/>
      <c r="E610" s="3"/>
      <c r="F610" s="96"/>
      <c r="G610" s="3"/>
      <c r="H610" s="96"/>
      <c r="I610" s="3"/>
      <c r="J610" s="96"/>
      <c r="K610" s="3"/>
      <c r="L610" s="96"/>
      <c r="M610" s="3"/>
      <c r="N610" s="96"/>
      <c r="O610" s="3"/>
      <c r="P610" s="96"/>
      <c r="Q610" s="1265"/>
      <c r="R610" s="3"/>
      <c r="S610" s="3"/>
      <c r="T610" s="1685"/>
      <c r="U610" s="3"/>
      <c r="V610" s="96"/>
      <c r="W610" s="1265"/>
      <c r="X610" s="3"/>
      <c r="Y610" s="3"/>
      <c r="Z610" s="1569"/>
      <c r="AA610" s="96"/>
    </row>
    <row r="611" spans="1:27" ht="15">
      <c r="A611" s="3"/>
      <c r="B611" s="3"/>
      <c r="C611" s="1536"/>
      <c r="D611" s="96"/>
      <c r="E611" s="3"/>
      <c r="F611" s="96"/>
      <c r="G611" s="3"/>
      <c r="H611" s="96"/>
      <c r="I611" s="3"/>
      <c r="J611" s="96"/>
      <c r="K611" s="3"/>
      <c r="L611" s="96"/>
      <c r="M611" s="3"/>
      <c r="N611" s="96"/>
      <c r="O611" s="3"/>
      <c r="P611" s="96"/>
      <c r="Q611" s="1265"/>
      <c r="R611" s="3"/>
      <c r="S611" s="3"/>
      <c r="T611" s="1685"/>
      <c r="U611" s="3"/>
      <c r="V611" s="96"/>
      <c r="W611" s="1265"/>
      <c r="X611" s="3"/>
      <c r="Y611" s="3"/>
      <c r="Z611" s="1569"/>
      <c r="AA611" s="96"/>
    </row>
    <row r="612" spans="1:27" ht="15">
      <c r="A612" s="3"/>
      <c r="B612" s="3"/>
      <c r="C612" s="1536"/>
      <c r="D612" s="96"/>
      <c r="E612" s="3"/>
      <c r="F612" s="96"/>
      <c r="G612" s="3"/>
      <c r="H612" s="96"/>
      <c r="I612" s="3"/>
      <c r="J612" s="96"/>
      <c r="K612" s="3"/>
      <c r="L612" s="96"/>
      <c r="M612" s="3"/>
      <c r="N612" s="96"/>
      <c r="O612" s="3"/>
      <c r="P612" s="96"/>
      <c r="Q612" s="1265"/>
      <c r="R612" s="3"/>
      <c r="S612" s="3"/>
      <c r="T612" s="1685"/>
      <c r="U612" s="3"/>
      <c r="V612" s="96"/>
      <c r="W612" s="1265"/>
      <c r="X612" s="3"/>
      <c r="Y612" s="3"/>
      <c r="Z612" s="1569"/>
      <c r="AA612" s="96"/>
    </row>
    <row r="613" spans="1:27" ht="15">
      <c r="A613" s="3"/>
      <c r="B613" s="3"/>
      <c r="C613" s="1536"/>
      <c r="D613" s="96"/>
      <c r="E613" s="3"/>
      <c r="F613" s="96"/>
      <c r="G613" s="3"/>
      <c r="H613" s="96"/>
      <c r="I613" s="3"/>
      <c r="J613" s="96"/>
      <c r="K613" s="3"/>
      <c r="L613" s="96"/>
      <c r="M613" s="3"/>
      <c r="N613" s="96"/>
      <c r="O613" s="3"/>
      <c r="P613" s="96"/>
      <c r="Q613" s="1265"/>
      <c r="R613" s="3"/>
      <c r="S613" s="3"/>
      <c r="T613" s="1685"/>
      <c r="U613" s="3"/>
      <c r="V613" s="96"/>
      <c r="W613" s="1265"/>
      <c r="X613" s="3"/>
      <c r="Y613" s="3"/>
      <c r="Z613" s="1569"/>
      <c r="AA613" s="96"/>
    </row>
    <row r="614" spans="1:27" ht="15">
      <c r="A614" s="3"/>
      <c r="B614" s="3"/>
      <c r="C614" s="1536"/>
      <c r="D614" s="96"/>
      <c r="E614" s="3"/>
      <c r="F614" s="96"/>
      <c r="G614" s="3"/>
      <c r="H614" s="96"/>
      <c r="I614" s="3"/>
      <c r="J614" s="96"/>
      <c r="K614" s="3"/>
      <c r="L614" s="96"/>
      <c r="M614" s="3"/>
      <c r="N614" s="96"/>
      <c r="O614" s="3"/>
      <c r="P614" s="96"/>
      <c r="Q614" s="1265"/>
      <c r="R614" s="3"/>
      <c r="S614" s="3"/>
      <c r="T614" s="1685"/>
      <c r="U614" s="3"/>
      <c r="V614" s="96"/>
      <c r="W614" s="1265"/>
      <c r="X614" s="3"/>
      <c r="Y614" s="3"/>
      <c r="Z614" s="1569"/>
      <c r="AA614" s="96"/>
    </row>
    <row r="615" spans="1:27" ht="15">
      <c r="A615" s="3"/>
      <c r="B615" s="3"/>
      <c r="C615" s="1536"/>
      <c r="D615" s="96"/>
      <c r="E615" s="3"/>
      <c r="F615" s="96"/>
      <c r="G615" s="3"/>
      <c r="H615" s="96"/>
      <c r="I615" s="3"/>
      <c r="J615" s="96"/>
      <c r="K615" s="3"/>
      <c r="L615" s="96"/>
      <c r="M615" s="3"/>
      <c r="N615" s="96"/>
      <c r="O615" s="3"/>
      <c r="P615" s="96"/>
      <c r="Q615" s="1265"/>
      <c r="R615" s="3"/>
      <c r="S615" s="3"/>
      <c r="T615" s="1685"/>
      <c r="U615" s="3"/>
      <c r="V615" s="96"/>
      <c r="W615" s="1265"/>
      <c r="X615" s="3"/>
      <c r="Y615" s="3"/>
      <c r="Z615" s="1569"/>
      <c r="AA615" s="96"/>
    </row>
    <row r="616" spans="1:27" ht="15">
      <c r="A616" s="3"/>
      <c r="B616" s="3"/>
      <c r="C616" s="1536"/>
      <c r="D616" s="96"/>
      <c r="E616" s="3"/>
      <c r="F616" s="96"/>
      <c r="G616" s="3"/>
      <c r="H616" s="96"/>
      <c r="I616" s="3"/>
      <c r="J616" s="96"/>
      <c r="K616" s="3"/>
      <c r="L616" s="96"/>
      <c r="M616" s="3"/>
      <c r="N616" s="96"/>
      <c r="O616" s="3"/>
      <c r="P616" s="96"/>
      <c r="Q616" s="1265"/>
      <c r="R616" s="3"/>
      <c r="S616" s="3"/>
      <c r="T616" s="1685"/>
      <c r="U616" s="3"/>
      <c r="V616" s="96"/>
      <c r="W616" s="1265"/>
      <c r="X616" s="3"/>
      <c r="Y616" s="3"/>
      <c r="Z616" s="1569"/>
      <c r="AA616" s="96"/>
    </row>
    <row r="617" spans="1:27" ht="15">
      <c r="A617" s="3"/>
      <c r="B617" s="3"/>
      <c r="C617" s="1536"/>
      <c r="D617" s="96"/>
      <c r="E617" s="3"/>
      <c r="F617" s="96"/>
      <c r="G617" s="3"/>
      <c r="H617" s="96"/>
      <c r="I617" s="3"/>
      <c r="J617" s="96"/>
      <c r="K617" s="3"/>
      <c r="L617" s="96"/>
      <c r="M617" s="3"/>
      <c r="N617" s="96"/>
      <c r="O617" s="3"/>
      <c r="P617" s="96"/>
      <c r="Q617" s="1265"/>
      <c r="R617" s="3"/>
      <c r="S617" s="3"/>
      <c r="T617" s="1685"/>
      <c r="U617" s="3"/>
      <c r="V617" s="96"/>
      <c r="W617" s="1265"/>
      <c r="X617" s="3"/>
      <c r="Y617" s="3"/>
      <c r="Z617" s="1569"/>
      <c r="AA617" s="96"/>
    </row>
    <row r="618" spans="1:27" ht="15">
      <c r="A618" s="3"/>
      <c r="B618" s="3"/>
      <c r="C618" s="1536"/>
      <c r="D618" s="96"/>
      <c r="E618" s="3"/>
      <c r="F618" s="96"/>
      <c r="G618" s="3"/>
      <c r="H618" s="96"/>
      <c r="I618" s="3"/>
      <c r="J618" s="96"/>
      <c r="K618" s="3"/>
      <c r="L618" s="96"/>
      <c r="M618" s="3"/>
      <c r="N618" s="96"/>
      <c r="O618" s="3"/>
      <c r="P618" s="96"/>
      <c r="Q618" s="1265"/>
      <c r="R618" s="3"/>
      <c r="S618" s="3"/>
      <c r="T618" s="1685"/>
      <c r="U618" s="3"/>
      <c r="V618" s="96"/>
      <c r="W618" s="1265"/>
      <c r="X618" s="3"/>
      <c r="Y618" s="3"/>
      <c r="Z618" s="1569"/>
      <c r="AA618" s="96"/>
    </row>
    <row r="619" spans="1:27" ht="15">
      <c r="A619" s="3"/>
      <c r="B619" s="3"/>
      <c r="C619" s="1536"/>
      <c r="D619" s="96"/>
      <c r="E619" s="3"/>
      <c r="F619" s="96"/>
      <c r="G619" s="3"/>
      <c r="H619" s="96"/>
      <c r="I619" s="3"/>
      <c r="J619" s="96"/>
      <c r="K619" s="3"/>
      <c r="L619" s="96"/>
      <c r="M619" s="3"/>
      <c r="N619" s="96"/>
      <c r="O619" s="3"/>
      <c r="P619" s="96"/>
      <c r="Q619" s="1265"/>
      <c r="R619" s="3"/>
      <c r="S619" s="3"/>
      <c r="T619" s="1685"/>
      <c r="U619" s="3"/>
      <c r="V619" s="96"/>
      <c r="W619" s="1265"/>
      <c r="X619" s="3"/>
      <c r="Y619" s="3"/>
      <c r="Z619" s="1569"/>
      <c r="AA619" s="96"/>
    </row>
    <row r="620" spans="1:27" ht="15">
      <c r="A620" s="3"/>
      <c r="B620" s="3"/>
      <c r="C620" s="1536"/>
      <c r="D620" s="96"/>
      <c r="E620" s="3"/>
      <c r="F620" s="96"/>
      <c r="G620" s="3"/>
      <c r="H620" s="96"/>
      <c r="I620" s="3"/>
      <c r="J620" s="96"/>
      <c r="K620" s="3"/>
      <c r="L620" s="96"/>
      <c r="M620" s="3"/>
      <c r="N620" s="96"/>
      <c r="O620" s="3"/>
      <c r="P620" s="96"/>
      <c r="Q620" s="1265"/>
      <c r="R620" s="3"/>
      <c r="S620" s="3"/>
      <c r="T620" s="1685"/>
      <c r="U620" s="3"/>
      <c r="V620" s="96"/>
      <c r="W620" s="1265"/>
      <c r="X620" s="3"/>
      <c r="Y620" s="3"/>
      <c r="Z620" s="1569"/>
      <c r="AA620" s="96"/>
    </row>
    <row r="621" spans="1:27" ht="15">
      <c r="A621" s="3"/>
      <c r="B621" s="3"/>
      <c r="C621" s="1536"/>
      <c r="D621" s="96"/>
      <c r="E621" s="3"/>
      <c r="F621" s="96"/>
      <c r="G621" s="3"/>
      <c r="H621" s="96"/>
      <c r="I621" s="3"/>
      <c r="J621" s="96"/>
      <c r="K621" s="3"/>
      <c r="L621" s="96"/>
      <c r="M621" s="3"/>
      <c r="N621" s="96"/>
      <c r="O621" s="3"/>
      <c r="P621" s="96"/>
      <c r="Q621" s="1265"/>
      <c r="R621" s="3"/>
      <c r="S621" s="3"/>
      <c r="T621" s="1685"/>
      <c r="U621" s="3"/>
      <c r="V621" s="96"/>
      <c r="W621" s="1265"/>
      <c r="X621" s="3"/>
      <c r="Y621" s="3"/>
      <c r="Z621" s="1569"/>
      <c r="AA621" s="96"/>
    </row>
    <row r="622" spans="1:27" ht="15">
      <c r="A622" s="3"/>
      <c r="B622" s="3"/>
      <c r="C622" s="1536"/>
      <c r="D622" s="96"/>
      <c r="E622" s="3"/>
      <c r="F622" s="96"/>
      <c r="G622" s="3"/>
      <c r="H622" s="96"/>
      <c r="I622" s="3"/>
      <c r="J622" s="96"/>
      <c r="K622" s="3"/>
      <c r="L622" s="96"/>
      <c r="M622" s="3"/>
      <c r="N622" s="96"/>
      <c r="O622" s="3"/>
      <c r="P622" s="96"/>
      <c r="Q622" s="1265"/>
      <c r="R622" s="3"/>
      <c r="S622" s="3"/>
      <c r="T622" s="1685"/>
      <c r="U622" s="3"/>
      <c r="V622" s="96"/>
      <c r="W622" s="1265"/>
      <c r="X622" s="3"/>
      <c r="Y622" s="3"/>
      <c r="Z622" s="1569"/>
      <c r="AA622" s="96"/>
    </row>
    <row r="623" spans="1:27" ht="15">
      <c r="A623" s="3"/>
      <c r="B623" s="3"/>
      <c r="C623" s="1536"/>
      <c r="D623" s="96"/>
      <c r="E623" s="3"/>
      <c r="F623" s="96"/>
      <c r="G623" s="3"/>
      <c r="H623" s="96"/>
      <c r="I623" s="3"/>
      <c r="J623" s="96"/>
      <c r="K623" s="3"/>
      <c r="L623" s="96"/>
      <c r="M623" s="3"/>
      <c r="N623" s="96"/>
      <c r="O623" s="3"/>
      <c r="P623" s="96"/>
      <c r="Q623" s="1265"/>
      <c r="R623" s="3"/>
      <c r="S623" s="3"/>
      <c r="T623" s="1685"/>
      <c r="U623" s="3"/>
      <c r="V623" s="96"/>
      <c r="W623" s="1265"/>
      <c r="X623" s="3"/>
      <c r="Y623" s="3"/>
      <c r="Z623" s="1569"/>
      <c r="AA623" s="96"/>
    </row>
    <row r="624" spans="1:27" ht="15">
      <c r="A624" s="3"/>
      <c r="B624" s="3"/>
      <c r="C624" s="1536"/>
      <c r="D624" s="96"/>
      <c r="E624" s="3"/>
      <c r="F624" s="96"/>
      <c r="G624" s="3"/>
      <c r="H624" s="96"/>
      <c r="I624" s="3"/>
      <c r="J624" s="96"/>
      <c r="K624" s="3"/>
      <c r="L624" s="96"/>
      <c r="M624" s="3"/>
      <c r="N624" s="96"/>
      <c r="O624" s="3"/>
      <c r="P624" s="96"/>
      <c r="Q624" s="1265"/>
      <c r="R624" s="3"/>
      <c r="S624" s="3"/>
      <c r="T624" s="1685"/>
      <c r="U624" s="3"/>
      <c r="V624" s="96"/>
      <c r="W624" s="1265"/>
      <c r="X624" s="3"/>
      <c r="Y624" s="3"/>
      <c r="Z624" s="1569"/>
      <c r="AA624" s="96"/>
    </row>
    <row r="625" spans="1:27" ht="15">
      <c r="A625" s="3"/>
      <c r="B625" s="3"/>
      <c r="C625" s="1536"/>
      <c r="D625" s="96"/>
      <c r="E625" s="3"/>
      <c r="F625" s="96"/>
      <c r="G625" s="3"/>
      <c r="H625" s="96"/>
      <c r="I625" s="3"/>
      <c r="J625" s="96"/>
      <c r="K625" s="3"/>
      <c r="L625" s="96"/>
      <c r="M625" s="3"/>
      <c r="N625" s="96"/>
      <c r="O625" s="3"/>
      <c r="P625" s="96"/>
      <c r="Q625" s="1265"/>
      <c r="R625" s="3"/>
      <c r="S625" s="3"/>
      <c r="T625" s="1685"/>
      <c r="U625" s="3"/>
      <c r="V625" s="96"/>
      <c r="W625" s="1265"/>
      <c r="X625" s="3"/>
      <c r="Y625" s="3"/>
      <c r="Z625" s="1569"/>
      <c r="AA625" s="96"/>
    </row>
    <row r="626" spans="1:27" ht="15">
      <c r="A626" s="3"/>
      <c r="B626" s="3"/>
      <c r="C626" s="1536"/>
      <c r="D626" s="96"/>
      <c r="E626" s="3"/>
      <c r="F626" s="96"/>
      <c r="G626" s="3"/>
      <c r="H626" s="96"/>
      <c r="I626" s="3"/>
      <c r="J626" s="96"/>
      <c r="K626" s="3"/>
      <c r="L626" s="96"/>
      <c r="M626" s="3"/>
      <c r="N626" s="96"/>
      <c r="O626" s="3"/>
      <c r="P626" s="96"/>
      <c r="Q626" s="1265"/>
      <c r="R626" s="3"/>
      <c r="S626" s="3"/>
      <c r="T626" s="1685"/>
      <c r="U626" s="3"/>
      <c r="V626" s="96"/>
      <c r="W626" s="1265"/>
      <c r="X626" s="3"/>
      <c r="Y626" s="3"/>
      <c r="Z626" s="1569"/>
      <c r="AA626" s="96"/>
    </row>
    <row r="627" spans="1:27" ht="15">
      <c r="A627" s="3"/>
      <c r="B627" s="3"/>
      <c r="C627" s="1536"/>
      <c r="D627" s="96"/>
      <c r="E627" s="3"/>
      <c r="F627" s="96"/>
      <c r="G627" s="3"/>
      <c r="H627" s="96"/>
      <c r="I627" s="3"/>
      <c r="J627" s="96"/>
      <c r="K627" s="3"/>
      <c r="L627" s="96"/>
      <c r="M627" s="3"/>
      <c r="N627" s="96"/>
      <c r="O627" s="3"/>
      <c r="P627" s="96"/>
      <c r="Q627" s="1265"/>
      <c r="R627" s="3"/>
      <c r="S627" s="3"/>
      <c r="T627" s="1685"/>
      <c r="U627" s="3"/>
      <c r="V627" s="96"/>
      <c r="W627" s="1265"/>
      <c r="X627" s="3"/>
      <c r="Y627" s="3"/>
      <c r="Z627" s="1569"/>
      <c r="AA627" s="96"/>
    </row>
    <row r="628" spans="1:27" ht="15">
      <c r="A628" s="3"/>
      <c r="B628" s="3"/>
      <c r="C628" s="1536"/>
      <c r="D628" s="96"/>
      <c r="E628" s="3"/>
      <c r="F628" s="96"/>
      <c r="G628" s="3"/>
      <c r="H628" s="96"/>
      <c r="I628" s="3"/>
      <c r="J628" s="96"/>
      <c r="K628" s="3"/>
      <c r="L628" s="96"/>
      <c r="M628" s="3"/>
      <c r="N628" s="96"/>
      <c r="O628" s="3"/>
      <c r="P628" s="96"/>
      <c r="Q628" s="1265"/>
      <c r="R628" s="3"/>
      <c r="S628" s="3"/>
      <c r="T628" s="1685"/>
      <c r="U628" s="3"/>
      <c r="V628" s="96"/>
      <c r="W628" s="1265"/>
      <c r="X628" s="3"/>
      <c r="Y628" s="3"/>
      <c r="Z628" s="1569"/>
      <c r="AA628" s="96"/>
    </row>
    <row r="629" spans="1:27" ht="15">
      <c r="A629" s="3"/>
      <c r="B629" s="3"/>
      <c r="C629" s="1536"/>
      <c r="D629" s="96"/>
      <c r="E629" s="3"/>
      <c r="F629" s="96"/>
      <c r="G629" s="3"/>
      <c r="H629" s="96"/>
      <c r="I629" s="3"/>
      <c r="J629" s="96"/>
      <c r="K629" s="3"/>
      <c r="L629" s="96"/>
      <c r="M629" s="3"/>
      <c r="N629" s="96"/>
      <c r="O629" s="3"/>
      <c r="P629" s="96"/>
      <c r="Q629" s="1265"/>
      <c r="R629" s="3"/>
      <c r="S629" s="3"/>
      <c r="T629" s="1685"/>
      <c r="U629" s="3"/>
      <c r="V629" s="96"/>
      <c r="W629" s="1265"/>
      <c r="X629" s="3"/>
      <c r="Y629" s="3"/>
      <c r="Z629" s="1569"/>
      <c r="AA629" s="96"/>
    </row>
    <row r="630" spans="1:27" ht="15">
      <c r="A630" s="3"/>
      <c r="B630" s="3"/>
      <c r="C630" s="1536"/>
      <c r="D630" s="96"/>
      <c r="E630" s="3"/>
      <c r="F630" s="96"/>
      <c r="G630" s="3"/>
      <c r="H630" s="96"/>
      <c r="I630" s="3"/>
      <c r="J630" s="96"/>
      <c r="K630" s="3"/>
      <c r="L630" s="96"/>
      <c r="M630" s="3"/>
      <c r="N630" s="96"/>
      <c r="O630" s="3"/>
      <c r="P630" s="96"/>
      <c r="Q630" s="1265"/>
      <c r="R630" s="3"/>
      <c r="S630" s="3"/>
      <c r="T630" s="1685"/>
      <c r="U630" s="3"/>
      <c r="V630" s="96"/>
      <c r="W630" s="1265"/>
      <c r="X630" s="3"/>
      <c r="Y630" s="3"/>
      <c r="Z630" s="1569"/>
      <c r="AA630" s="96"/>
    </row>
    <row r="631" spans="1:27" ht="15">
      <c r="A631" s="3"/>
      <c r="B631" s="3"/>
      <c r="C631" s="1536"/>
      <c r="D631" s="96"/>
      <c r="E631" s="3"/>
      <c r="F631" s="96"/>
      <c r="G631" s="3"/>
      <c r="H631" s="96"/>
      <c r="I631" s="3"/>
      <c r="J631" s="96"/>
      <c r="K631" s="3"/>
      <c r="L631" s="96"/>
      <c r="M631" s="3"/>
      <c r="N631" s="96"/>
      <c r="O631" s="3"/>
      <c r="P631" s="96"/>
      <c r="Q631" s="1265"/>
      <c r="R631" s="3"/>
      <c r="S631" s="3"/>
      <c r="T631" s="1685"/>
      <c r="U631" s="3"/>
      <c r="V631" s="96"/>
      <c r="W631" s="1265"/>
      <c r="X631" s="3"/>
      <c r="Y631" s="3"/>
      <c r="Z631" s="1569"/>
      <c r="AA631" s="96"/>
    </row>
    <row r="632" spans="1:27" ht="15">
      <c r="A632" s="3"/>
      <c r="B632" s="3"/>
      <c r="C632" s="1536"/>
      <c r="D632" s="96"/>
      <c r="E632" s="3"/>
      <c r="F632" s="96"/>
      <c r="G632" s="3"/>
      <c r="H632" s="96"/>
      <c r="I632" s="3"/>
      <c r="J632" s="96"/>
      <c r="K632" s="3"/>
      <c r="L632" s="96"/>
      <c r="M632" s="3"/>
      <c r="N632" s="96"/>
      <c r="O632" s="3"/>
      <c r="P632" s="96"/>
      <c r="Q632" s="1265"/>
      <c r="R632" s="3"/>
      <c r="S632" s="3"/>
      <c r="T632" s="1685"/>
      <c r="U632" s="3"/>
      <c r="V632" s="96"/>
      <c r="W632" s="1265"/>
      <c r="X632" s="3"/>
      <c r="Y632" s="3"/>
      <c r="Z632" s="1569"/>
      <c r="AA632" s="96"/>
    </row>
    <row r="633" spans="1:27" ht="15">
      <c r="A633" s="3"/>
      <c r="B633" s="3"/>
      <c r="C633" s="1536"/>
      <c r="D633" s="96"/>
      <c r="E633" s="3"/>
      <c r="F633" s="96"/>
      <c r="G633" s="3"/>
      <c r="H633" s="96"/>
      <c r="I633" s="3"/>
      <c r="J633" s="96"/>
      <c r="K633" s="3"/>
      <c r="L633" s="96"/>
      <c r="M633" s="3"/>
      <c r="N633" s="96"/>
      <c r="O633" s="3"/>
      <c r="P633" s="96"/>
      <c r="Q633" s="1265"/>
      <c r="R633" s="3"/>
      <c r="S633" s="3"/>
      <c r="T633" s="1685"/>
      <c r="U633" s="3"/>
      <c r="V633" s="96"/>
      <c r="W633" s="1265"/>
      <c r="X633" s="3"/>
      <c r="Y633" s="3"/>
      <c r="Z633" s="1569"/>
      <c r="AA633" s="96"/>
    </row>
    <row r="634" spans="1:27" ht="15">
      <c r="A634" s="3"/>
      <c r="B634" s="3"/>
      <c r="C634" s="1536"/>
      <c r="D634" s="96"/>
      <c r="E634" s="3"/>
      <c r="F634" s="96"/>
      <c r="G634" s="3"/>
      <c r="H634" s="96"/>
      <c r="I634" s="3"/>
      <c r="J634" s="96"/>
      <c r="K634" s="3"/>
      <c r="L634" s="96"/>
      <c r="M634" s="3"/>
      <c r="N634" s="96"/>
      <c r="O634" s="3"/>
      <c r="P634" s="96"/>
      <c r="Q634" s="1265"/>
      <c r="R634" s="3"/>
      <c r="S634" s="3"/>
      <c r="T634" s="1685"/>
      <c r="U634" s="3"/>
      <c r="V634" s="96"/>
      <c r="W634" s="1265"/>
      <c r="X634" s="3"/>
      <c r="Y634" s="3"/>
      <c r="Z634" s="1569"/>
      <c r="AA634" s="96"/>
    </row>
    <row r="635" spans="1:27" ht="15">
      <c r="A635" s="3"/>
      <c r="B635" s="3"/>
      <c r="C635" s="1536"/>
      <c r="D635" s="96"/>
      <c r="E635" s="3"/>
      <c r="F635" s="96"/>
      <c r="G635" s="3"/>
      <c r="H635" s="96"/>
      <c r="I635" s="3"/>
      <c r="J635" s="96"/>
      <c r="K635" s="3"/>
      <c r="L635" s="96"/>
      <c r="M635" s="3"/>
      <c r="N635" s="96"/>
      <c r="O635" s="3"/>
      <c r="P635" s="96"/>
      <c r="Q635" s="1265"/>
      <c r="R635" s="3"/>
      <c r="S635" s="3"/>
      <c r="T635" s="1685"/>
      <c r="U635" s="3"/>
      <c r="V635" s="96"/>
      <c r="W635" s="1265"/>
      <c r="X635" s="3"/>
      <c r="Y635" s="3"/>
      <c r="Z635" s="1569"/>
      <c r="AA635" s="96"/>
    </row>
    <row r="636" spans="1:27" ht="15">
      <c r="A636" s="3"/>
      <c r="B636" s="3"/>
      <c r="C636" s="1536"/>
      <c r="D636" s="96"/>
      <c r="E636" s="3"/>
      <c r="F636" s="96"/>
      <c r="G636" s="3"/>
      <c r="H636" s="96"/>
      <c r="I636" s="3"/>
      <c r="J636" s="96"/>
      <c r="K636" s="3"/>
      <c r="L636" s="96"/>
      <c r="M636" s="3"/>
      <c r="N636" s="96"/>
      <c r="O636" s="3"/>
      <c r="P636" s="96"/>
      <c r="Q636" s="1265"/>
      <c r="R636" s="3"/>
      <c r="S636" s="3"/>
      <c r="T636" s="1685"/>
      <c r="U636" s="3"/>
      <c r="V636" s="96"/>
      <c r="W636" s="1265"/>
      <c r="X636" s="3"/>
      <c r="Y636" s="3"/>
      <c r="Z636" s="1569"/>
      <c r="AA636" s="96"/>
    </row>
    <row r="637" spans="1:27" ht="15">
      <c r="A637" s="3"/>
      <c r="B637" s="3"/>
      <c r="C637" s="1536"/>
      <c r="D637" s="96"/>
      <c r="E637" s="3"/>
      <c r="F637" s="96"/>
      <c r="G637" s="3"/>
      <c r="H637" s="96"/>
      <c r="I637" s="3"/>
      <c r="J637" s="96"/>
      <c r="K637" s="3"/>
      <c r="L637" s="96"/>
      <c r="M637" s="3"/>
      <c r="N637" s="96"/>
      <c r="O637" s="3"/>
      <c r="P637" s="96"/>
      <c r="Q637" s="1265"/>
      <c r="R637" s="3"/>
      <c r="S637" s="3"/>
      <c r="T637" s="1685"/>
      <c r="U637" s="3"/>
      <c r="V637" s="96"/>
      <c r="W637" s="1265"/>
      <c r="X637" s="3"/>
      <c r="Y637" s="3"/>
      <c r="Z637" s="1569"/>
      <c r="AA637" s="96"/>
    </row>
    <row r="638" spans="1:27" ht="15">
      <c r="A638" s="3"/>
      <c r="B638" s="3"/>
      <c r="C638" s="1536"/>
      <c r="D638" s="96"/>
      <c r="E638" s="3"/>
      <c r="F638" s="96"/>
      <c r="G638" s="3"/>
      <c r="H638" s="96"/>
      <c r="I638" s="3"/>
      <c r="J638" s="96"/>
      <c r="K638" s="3"/>
      <c r="L638" s="96"/>
      <c r="M638" s="3"/>
      <c r="N638" s="96"/>
      <c r="O638" s="3"/>
      <c r="P638" s="96"/>
      <c r="Q638" s="1265"/>
      <c r="R638" s="3"/>
      <c r="S638" s="3"/>
      <c r="T638" s="1685"/>
      <c r="U638" s="3"/>
      <c r="V638" s="96"/>
      <c r="W638" s="1265"/>
      <c r="X638" s="3"/>
      <c r="Y638" s="3"/>
      <c r="Z638" s="1569"/>
      <c r="AA638" s="96"/>
    </row>
    <row r="639" spans="1:27" ht="15">
      <c r="A639" s="3"/>
      <c r="B639" s="3"/>
      <c r="C639" s="1536"/>
      <c r="D639" s="96"/>
      <c r="E639" s="3"/>
      <c r="F639" s="96"/>
      <c r="G639" s="3"/>
      <c r="H639" s="96"/>
      <c r="I639" s="3"/>
      <c r="J639" s="96"/>
      <c r="K639" s="3"/>
      <c r="L639" s="96"/>
      <c r="M639" s="3"/>
      <c r="N639" s="96"/>
      <c r="O639" s="3"/>
      <c r="P639" s="96"/>
      <c r="Q639" s="1265"/>
      <c r="R639" s="3"/>
      <c r="S639" s="3"/>
      <c r="T639" s="1685"/>
      <c r="U639" s="3"/>
      <c r="V639" s="96"/>
      <c r="W639" s="1265"/>
      <c r="X639" s="3"/>
      <c r="Y639" s="3"/>
      <c r="Z639" s="1569"/>
      <c r="AA639" s="96"/>
    </row>
    <row r="640" spans="1:27" ht="15">
      <c r="A640" s="3"/>
      <c r="B640" s="3"/>
      <c r="C640" s="1536"/>
      <c r="D640" s="96"/>
      <c r="E640" s="3"/>
      <c r="F640" s="96"/>
      <c r="G640" s="3"/>
      <c r="H640" s="96"/>
      <c r="I640" s="3"/>
      <c r="J640" s="96"/>
      <c r="K640" s="3"/>
      <c r="L640" s="96"/>
      <c r="M640" s="3"/>
      <c r="N640" s="96"/>
      <c r="O640" s="3"/>
      <c r="P640" s="96"/>
      <c r="Q640" s="1265"/>
      <c r="R640" s="3"/>
      <c r="S640" s="3"/>
      <c r="T640" s="1685"/>
      <c r="U640" s="3"/>
      <c r="V640" s="96"/>
      <c r="W640" s="1265"/>
      <c r="X640" s="3"/>
      <c r="Y640" s="3"/>
      <c r="Z640" s="1569"/>
      <c r="AA640" s="96"/>
    </row>
    <row r="641" spans="1:27" ht="15">
      <c r="A641" s="3"/>
      <c r="B641" s="3"/>
      <c r="C641" s="1536"/>
      <c r="D641" s="96"/>
      <c r="E641" s="3"/>
      <c r="F641" s="96"/>
      <c r="G641" s="3"/>
      <c r="H641" s="96"/>
      <c r="I641" s="3"/>
      <c r="J641" s="96"/>
      <c r="K641" s="3"/>
      <c r="L641" s="96"/>
      <c r="M641" s="3"/>
      <c r="N641" s="96"/>
      <c r="O641" s="3"/>
      <c r="P641" s="96"/>
      <c r="Q641" s="1265"/>
      <c r="R641" s="3"/>
      <c r="S641" s="3"/>
      <c r="T641" s="1685"/>
      <c r="U641" s="3"/>
      <c r="V641" s="96"/>
      <c r="W641" s="1265"/>
      <c r="X641" s="3"/>
      <c r="Y641" s="3"/>
      <c r="Z641" s="1569"/>
      <c r="AA641" s="96"/>
    </row>
    <row r="642" spans="1:27" ht="15">
      <c r="A642" s="3"/>
      <c r="B642" s="3"/>
      <c r="C642" s="1536"/>
      <c r="D642" s="96"/>
      <c r="E642" s="3"/>
      <c r="F642" s="96"/>
      <c r="G642" s="3"/>
      <c r="H642" s="96"/>
      <c r="I642" s="3"/>
      <c r="J642" s="96"/>
      <c r="K642" s="3"/>
      <c r="L642" s="96"/>
      <c r="M642" s="3"/>
      <c r="N642" s="96"/>
      <c r="O642" s="3"/>
      <c r="P642" s="96"/>
      <c r="Q642" s="1265"/>
      <c r="R642" s="3"/>
      <c r="S642" s="3"/>
      <c r="T642" s="1685"/>
      <c r="U642" s="3"/>
      <c r="V642" s="96"/>
      <c r="W642" s="1265"/>
      <c r="X642" s="3"/>
      <c r="Y642" s="3"/>
      <c r="Z642" s="1569"/>
      <c r="AA642" s="96"/>
    </row>
    <row r="643" spans="1:27" ht="15">
      <c r="A643" s="3"/>
      <c r="B643" s="3"/>
      <c r="C643" s="1536"/>
      <c r="D643" s="96"/>
      <c r="E643" s="3"/>
      <c r="F643" s="96"/>
      <c r="G643" s="3"/>
      <c r="H643" s="96"/>
      <c r="I643" s="3"/>
      <c r="J643" s="96"/>
      <c r="K643" s="3"/>
      <c r="L643" s="96"/>
      <c r="M643" s="3"/>
      <c r="N643" s="96"/>
      <c r="O643" s="3"/>
      <c r="P643" s="96"/>
      <c r="Q643" s="1265"/>
      <c r="R643" s="3"/>
      <c r="S643" s="3"/>
      <c r="T643" s="1685"/>
      <c r="U643" s="3"/>
      <c r="V643" s="96"/>
      <c r="W643" s="1265"/>
      <c r="X643" s="3"/>
      <c r="Y643" s="3"/>
      <c r="Z643" s="1569"/>
      <c r="AA643" s="96"/>
    </row>
    <row r="644" spans="1:27" ht="15">
      <c r="A644" s="3"/>
      <c r="B644" s="3"/>
      <c r="C644" s="1536"/>
      <c r="D644" s="96"/>
      <c r="E644" s="3"/>
      <c r="F644" s="96"/>
      <c r="G644" s="3"/>
      <c r="H644" s="96"/>
      <c r="I644" s="3"/>
      <c r="J644" s="96"/>
      <c r="K644" s="3"/>
      <c r="L644" s="96"/>
      <c r="M644" s="3"/>
      <c r="N644" s="96"/>
      <c r="O644" s="3"/>
      <c r="P644" s="96"/>
      <c r="Q644" s="1265"/>
      <c r="R644" s="3"/>
      <c r="S644" s="3"/>
      <c r="T644" s="1685"/>
      <c r="U644" s="3"/>
      <c r="V644" s="96"/>
      <c r="W644" s="1265"/>
      <c r="X644" s="3"/>
      <c r="Y644" s="3"/>
      <c r="Z644" s="1569"/>
      <c r="AA644" s="96"/>
    </row>
    <row r="645" spans="1:27" ht="15">
      <c r="A645" s="3"/>
      <c r="B645" s="3"/>
      <c r="C645" s="1536"/>
      <c r="D645" s="96"/>
      <c r="E645" s="3"/>
      <c r="F645" s="96"/>
      <c r="G645" s="3"/>
      <c r="H645" s="96"/>
      <c r="I645" s="3"/>
      <c r="J645" s="96"/>
      <c r="K645" s="3"/>
      <c r="L645" s="96"/>
      <c r="M645" s="3"/>
      <c r="N645" s="96"/>
      <c r="O645" s="3"/>
      <c r="P645" s="96"/>
      <c r="Q645" s="1265"/>
      <c r="R645" s="3"/>
      <c r="S645" s="3"/>
      <c r="T645" s="1685"/>
      <c r="U645" s="3"/>
      <c r="V645" s="96"/>
      <c r="W645" s="1265"/>
      <c r="X645" s="3"/>
      <c r="Y645" s="3"/>
      <c r="Z645" s="1569"/>
      <c r="AA645" s="96"/>
    </row>
    <row r="646" spans="1:27" ht="15">
      <c r="A646" s="3"/>
      <c r="B646" s="3"/>
      <c r="C646" s="1536"/>
      <c r="D646" s="96"/>
      <c r="E646" s="3"/>
      <c r="F646" s="96"/>
      <c r="G646" s="3"/>
      <c r="H646" s="96"/>
      <c r="I646" s="3"/>
      <c r="J646" s="96"/>
      <c r="K646" s="3"/>
      <c r="L646" s="96"/>
      <c r="M646" s="3"/>
      <c r="N646" s="96"/>
      <c r="O646" s="3"/>
      <c r="P646" s="96"/>
      <c r="Q646" s="1265"/>
      <c r="R646" s="3"/>
      <c r="S646" s="3"/>
      <c r="T646" s="1685"/>
      <c r="U646" s="3"/>
      <c r="V646" s="96"/>
      <c r="W646" s="1265"/>
      <c r="X646" s="3"/>
      <c r="Y646" s="3"/>
      <c r="Z646" s="1569"/>
      <c r="AA646" s="96"/>
    </row>
    <row r="647" spans="1:27" ht="15">
      <c r="A647" s="3"/>
      <c r="B647" s="3"/>
      <c r="C647" s="1536"/>
      <c r="D647" s="96"/>
      <c r="E647" s="3"/>
      <c r="F647" s="96"/>
      <c r="G647" s="3"/>
      <c r="H647" s="96"/>
      <c r="I647" s="3"/>
      <c r="J647" s="96"/>
      <c r="K647" s="3"/>
      <c r="L647" s="96"/>
      <c r="M647" s="3"/>
      <c r="N647" s="96"/>
      <c r="O647" s="3"/>
      <c r="P647" s="96"/>
      <c r="Q647" s="1265"/>
      <c r="R647" s="3"/>
      <c r="S647" s="3"/>
      <c r="T647" s="1685"/>
      <c r="U647" s="3"/>
      <c r="V647" s="96"/>
      <c r="W647" s="1265"/>
      <c r="X647" s="3"/>
      <c r="Y647" s="3"/>
      <c r="Z647" s="1569"/>
      <c r="AA647" s="96"/>
    </row>
    <row r="648" spans="1:27" ht="15">
      <c r="A648" s="3"/>
      <c r="B648" s="3"/>
      <c r="C648" s="1536"/>
      <c r="D648" s="96"/>
      <c r="E648" s="3"/>
      <c r="F648" s="96"/>
      <c r="G648" s="3"/>
      <c r="H648" s="96"/>
      <c r="I648" s="3"/>
      <c r="J648" s="96"/>
      <c r="K648" s="3"/>
      <c r="L648" s="96"/>
      <c r="M648" s="3"/>
      <c r="N648" s="96"/>
      <c r="O648" s="3"/>
      <c r="P648" s="96"/>
      <c r="Q648" s="1265"/>
      <c r="R648" s="3"/>
      <c r="S648" s="3"/>
      <c r="T648" s="1685"/>
      <c r="U648" s="3"/>
      <c r="V648" s="96"/>
      <c r="W648" s="1265"/>
      <c r="X648" s="3"/>
      <c r="Y648" s="3"/>
      <c r="Z648" s="1569"/>
      <c r="AA648" s="96"/>
    </row>
    <row r="649" spans="1:27" ht="15">
      <c r="A649" s="3"/>
      <c r="B649" s="3"/>
      <c r="C649" s="1536"/>
      <c r="D649" s="96"/>
      <c r="E649" s="3"/>
      <c r="F649" s="96"/>
      <c r="G649" s="3"/>
      <c r="H649" s="96"/>
      <c r="I649" s="3"/>
      <c r="J649" s="96"/>
      <c r="K649" s="3"/>
      <c r="L649" s="96"/>
      <c r="M649" s="3"/>
      <c r="N649" s="96"/>
      <c r="O649" s="3"/>
      <c r="P649" s="96"/>
      <c r="Q649" s="1265"/>
      <c r="R649" s="3"/>
      <c r="S649" s="3"/>
      <c r="T649" s="1685"/>
      <c r="U649" s="3"/>
      <c r="V649" s="96"/>
      <c r="W649" s="1265"/>
      <c r="X649" s="3"/>
      <c r="Y649" s="3"/>
      <c r="Z649" s="1569"/>
      <c r="AA649" s="96"/>
    </row>
    <row r="650" spans="1:27" ht="15">
      <c r="A650" s="3"/>
      <c r="B650" s="3"/>
      <c r="C650" s="1536"/>
      <c r="D650" s="96"/>
      <c r="E650" s="3"/>
      <c r="F650" s="96"/>
      <c r="G650" s="3"/>
      <c r="H650" s="96"/>
      <c r="I650" s="3"/>
      <c r="J650" s="96"/>
      <c r="K650" s="3"/>
      <c r="L650" s="96"/>
      <c r="M650" s="3"/>
      <c r="N650" s="96"/>
      <c r="O650" s="3"/>
      <c r="P650" s="96"/>
      <c r="Q650" s="1265"/>
      <c r="R650" s="3"/>
      <c r="S650" s="3"/>
      <c r="T650" s="1685"/>
      <c r="U650" s="3"/>
      <c r="V650" s="96"/>
      <c r="W650" s="1265"/>
      <c r="X650" s="3"/>
      <c r="Y650" s="3"/>
      <c r="Z650" s="1569"/>
      <c r="AA650" s="96"/>
    </row>
    <row r="651" spans="1:27" ht="15">
      <c r="A651" s="3"/>
      <c r="B651" s="3"/>
      <c r="C651" s="1536"/>
      <c r="D651" s="96"/>
      <c r="E651" s="3"/>
      <c r="F651" s="96"/>
      <c r="G651" s="3"/>
      <c r="H651" s="96"/>
      <c r="I651" s="3"/>
      <c r="J651" s="96"/>
      <c r="K651" s="3"/>
      <c r="L651" s="96"/>
      <c r="M651" s="3"/>
      <c r="N651" s="96"/>
      <c r="O651" s="3"/>
      <c r="P651" s="96"/>
      <c r="Q651" s="1265"/>
      <c r="R651" s="3"/>
      <c r="S651" s="3"/>
      <c r="T651" s="1685"/>
      <c r="U651" s="3"/>
      <c r="V651" s="96"/>
      <c r="W651" s="1265"/>
      <c r="X651" s="3"/>
      <c r="Y651" s="3"/>
      <c r="Z651" s="1569"/>
      <c r="AA651" s="96"/>
    </row>
    <row r="652" spans="1:27" ht="15">
      <c r="A652" s="3"/>
      <c r="B652" s="3"/>
      <c r="C652" s="1536"/>
      <c r="D652" s="96"/>
      <c r="E652" s="3"/>
      <c r="F652" s="96"/>
      <c r="G652" s="3"/>
      <c r="H652" s="96"/>
      <c r="I652" s="3"/>
      <c r="J652" s="96"/>
      <c r="K652" s="3"/>
      <c r="L652" s="96"/>
      <c r="M652" s="3"/>
      <c r="N652" s="96"/>
      <c r="O652" s="3"/>
      <c r="P652" s="96"/>
      <c r="Q652" s="1265"/>
      <c r="R652" s="3"/>
      <c r="S652" s="3"/>
      <c r="T652" s="1685"/>
      <c r="U652" s="3"/>
      <c r="V652" s="96"/>
      <c r="W652" s="1265"/>
      <c r="X652" s="3"/>
      <c r="Y652" s="3"/>
      <c r="Z652" s="1569"/>
      <c r="AA652" s="96"/>
    </row>
    <row r="653" spans="1:27" ht="15">
      <c r="A653" s="3"/>
      <c r="B653" s="3"/>
      <c r="C653" s="1536"/>
      <c r="D653" s="96"/>
      <c r="E653" s="3"/>
      <c r="F653" s="96"/>
      <c r="G653" s="3"/>
      <c r="H653" s="96"/>
      <c r="I653" s="3"/>
      <c r="J653" s="96"/>
      <c r="K653" s="3"/>
      <c r="L653" s="96"/>
      <c r="M653" s="3"/>
      <c r="N653" s="96"/>
      <c r="O653" s="3"/>
      <c r="P653" s="96"/>
      <c r="Q653" s="1265"/>
      <c r="R653" s="3"/>
      <c r="S653" s="3"/>
      <c r="T653" s="1685"/>
      <c r="U653" s="3"/>
      <c r="V653" s="96"/>
      <c r="W653" s="1265"/>
      <c r="X653" s="3"/>
      <c r="Y653" s="3"/>
      <c r="Z653" s="1569"/>
      <c r="AA653" s="96"/>
    </row>
    <row r="654" spans="1:27" ht="15">
      <c r="A654" s="3"/>
      <c r="B654" s="3"/>
      <c r="C654" s="1536"/>
      <c r="D654" s="96"/>
      <c r="E654" s="3"/>
      <c r="F654" s="96"/>
      <c r="G654" s="3"/>
      <c r="H654" s="96"/>
      <c r="I654" s="3"/>
      <c r="J654" s="96"/>
      <c r="K654" s="3"/>
      <c r="L654" s="96"/>
      <c r="M654" s="3"/>
      <c r="N654" s="96"/>
      <c r="O654" s="3"/>
      <c r="P654" s="96"/>
      <c r="Q654" s="1265"/>
      <c r="R654" s="3"/>
      <c r="S654" s="3"/>
      <c r="T654" s="1685"/>
      <c r="U654" s="3"/>
      <c r="V654" s="96"/>
      <c r="W654" s="1265"/>
      <c r="X654" s="3"/>
      <c r="Y654" s="3"/>
      <c r="Z654" s="1569"/>
      <c r="AA654" s="96"/>
    </row>
    <row r="655" spans="1:27" ht="15">
      <c r="A655" s="3"/>
      <c r="B655" s="3"/>
      <c r="C655" s="1536"/>
      <c r="D655" s="96"/>
      <c r="E655" s="3"/>
      <c r="F655" s="96"/>
      <c r="G655" s="3"/>
      <c r="H655" s="96"/>
      <c r="I655" s="3"/>
      <c r="J655" s="96"/>
      <c r="K655" s="3"/>
      <c r="L655" s="96"/>
      <c r="M655" s="3"/>
      <c r="N655" s="96"/>
      <c r="O655" s="3"/>
      <c r="P655" s="96"/>
      <c r="Q655" s="1265"/>
      <c r="R655" s="3"/>
      <c r="S655" s="3"/>
      <c r="T655" s="1685"/>
      <c r="U655" s="3"/>
      <c r="V655" s="96"/>
      <c r="W655" s="1265"/>
      <c r="X655" s="3"/>
      <c r="Y655" s="3"/>
      <c r="Z655" s="1569"/>
      <c r="AA655" s="96"/>
    </row>
    <row r="656" spans="1:27" ht="15">
      <c r="A656" s="3"/>
      <c r="B656" s="3"/>
      <c r="C656" s="1536"/>
      <c r="D656" s="96"/>
      <c r="E656" s="3"/>
      <c r="F656" s="96"/>
      <c r="G656" s="3"/>
      <c r="H656" s="96"/>
      <c r="I656" s="3"/>
      <c r="J656" s="96"/>
      <c r="K656" s="3"/>
      <c r="L656" s="96"/>
      <c r="M656" s="3"/>
      <c r="N656" s="96"/>
      <c r="O656" s="3"/>
      <c r="P656" s="96"/>
      <c r="Q656" s="1265"/>
      <c r="R656" s="3"/>
      <c r="S656" s="3"/>
      <c r="T656" s="1685"/>
      <c r="U656" s="3"/>
      <c r="V656" s="96"/>
      <c r="W656" s="1265"/>
      <c r="X656" s="3"/>
      <c r="Y656" s="3"/>
      <c r="Z656" s="1569"/>
      <c r="AA656" s="96"/>
    </row>
    <row r="657" spans="1:27" ht="15">
      <c r="A657" s="3"/>
      <c r="B657" s="3"/>
      <c r="C657" s="1536"/>
      <c r="D657" s="96"/>
      <c r="E657" s="3"/>
      <c r="F657" s="96"/>
      <c r="G657" s="3"/>
      <c r="H657" s="96"/>
      <c r="I657" s="3"/>
      <c r="J657" s="96"/>
      <c r="K657" s="3"/>
      <c r="L657" s="96"/>
      <c r="M657" s="3"/>
      <c r="N657" s="96"/>
      <c r="O657" s="3"/>
      <c r="P657" s="96"/>
      <c r="Q657" s="1265"/>
      <c r="R657" s="3"/>
      <c r="S657" s="3"/>
      <c r="T657" s="1685"/>
      <c r="U657" s="3"/>
      <c r="V657" s="96"/>
      <c r="W657" s="1265"/>
      <c r="X657" s="3"/>
      <c r="Y657" s="3"/>
      <c r="Z657" s="1569"/>
      <c r="AA657" s="96"/>
    </row>
    <row r="658" spans="1:27" ht="15">
      <c r="A658" s="3"/>
      <c r="B658" s="3"/>
      <c r="C658" s="1536"/>
      <c r="D658" s="96"/>
      <c r="E658" s="3"/>
      <c r="F658" s="96"/>
      <c r="G658" s="3"/>
      <c r="H658" s="96"/>
      <c r="I658" s="3"/>
      <c r="J658" s="96"/>
      <c r="K658" s="3"/>
      <c r="L658" s="96"/>
      <c r="M658" s="3"/>
      <c r="N658" s="96"/>
      <c r="O658" s="3"/>
      <c r="P658" s="96"/>
      <c r="Q658" s="1265"/>
      <c r="R658" s="3"/>
      <c r="S658" s="3"/>
      <c r="T658" s="1685"/>
      <c r="U658" s="3"/>
      <c r="V658" s="96"/>
      <c r="W658" s="1265"/>
      <c r="X658" s="3"/>
      <c r="Y658" s="3"/>
      <c r="Z658" s="1569"/>
      <c r="AA658" s="96"/>
    </row>
    <row r="659" spans="1:27" ht="15">
      <c r="A659" s="3"/>
      <c r="B659" s="3"/>
      <c r="C659" s="1536"/>
      <c r="D659" s="96"/>
      <c r="E659" s="3"/>
      <c r="F659" s="96"/>
      <c r="G659" s="3"/>
      <c r="H659" s="96"/>
      <c r="I659" s="3"/>
      <c r="J659" s="96"/>
      <c r="K659" s="3"/>
      <c r="L659" s="96"/>
      <c r="M659" s="3"/>
      <c r="N659" s="96"/>
      <c r="O659" s="3"/>
      <c r="P659" s="96"/>
      <c r="Q659" s="1265"/>
      <c r="R659" s="3"/>
      <c r="S659" s="3"/>
      <c r="T659" s="1685"/>
      <c r="U659" s="3"/>
      <c r="V659" s="96"/>
      <c r="W659" s="1265"/>
      <c r="X659" s="3"/>
      <c r="Y659" s="3"/>
      <c r="Z659" s="1569"/>
      <c r="AA659" s="96"/>
    </row>
    <row r="660" spans="1:27" ht="15">
      <c r="A660" s="3"/>
      <c r="B660" s="3"/>
      <c r="C660" s="1536"/>
      <c r="D660" s="96"/>
      <c r="E660" s="3"/>
      <c r="F660" s="96"/>
      <c r="G660" s="3"/>
      <c r="H660" s="96"/>
      <c r="I660" s="3"/>
      <c r="J660" s="96"/>
      <c r="K660" s="3"/>
      <c r="L660" s="96"/>
      <c r="M660" s="3"/>
      <c r="N660" s="96"/>
      <c r="O660" s="3"/>
      <c r="P660" s="96"/>
      <c r="Q660" s="1265"/>
      <c r="R660" s="3"/>
      <c r="S660" s="3"/>
      <c r="T660" s="1685"/>
      <c r="U660" s="3"/>
      <c r="V660" s="96"/>
      <c r="W660" s="1265"/>
      <c r="X660" s="3"/>
      <c r="Y660" s="3"/>
      <c r="Z660" s="1569"/>
      <c r="AA660" s="96"/>
    </row>
    <row r="661" spans="1:27" ht="15">
      <c r="A661" s="3"/>
      <c r="B661" s="3"/>
      <c r="C661" s="1536"/>
      <c r="D661" s="96"/>
      <c r="E661" s="3"/>
      <c r="F661" s="96"/>
      <c r="G661" s="3"/>
      <c r="H661" s="96"/>
      <c r="I661" s="3"/>
      <c r="J661" s="96"/>
      <c r="K661" s="3"/>
      <c r="L661" s="96"/>
      <c r="M661" s="3"/>
      <c r="N661" s="96"/>
      <c r="O661" s="3"/>
      <c r="P661" s="96"/>
      <c r="Q661" s="1265"/>
      <c r="R661" s="3"/>
      <c r="S661" s="3"/>
      <c r="T661" s="1685"/>
      <c r="U661" s="3"/>
      <c r="V661" s="96"/>
      <c r="W661" s="1265"/>
      <c r="X661" s="3"/>
      <c r="Y661" s="3"/>
      <c r="Z661" s="1569"/>
      <c r="AA661" s="96"/>
    </row>
    <row r="662" spans="1:27" ht="15">
      <c r="A662" s="3"/>
      <c r="B662" s="3"/>
      <c r="C662" s="1536"/>
      <c r="D662" s="96"/>
      <c r="E662" s="3"/>
      <c r="F662" s="96"/>
      <c r="G662" s="3"/>
      <c r="H662" s="96"/>
      <c r="I662" s="3"/>
      <c r="J662" s="96"/>
      <c r="K662" s="3"/>
      <c r="L662" s="96"/>
      <c r="M662" s="3"/>
      <c r="N662" s="96"/>
      <c r="O662" s="3"/>
      <c r="P662" s="96"/>
      <c r="Q662" s="1265"/>
      <c r="R662" s="3"/>
      <c r="S662" s="3"/>
      <c r="T662" s="1685"/>
      <c r="U662" s="3"/>
      <c r="V662" s="96"/>
      <c r="W662" s="1265"/>
      <c r="X662" s="3"/>
      <c r="Y662" s="3"/>
      <c r="Z662" s="1569"/>
      <c r="AA662" s="96"/>
    </row>
    <row r="663" spans="1:27" ht="15">
      <c r="A663" s="3"/>
      <c r="B663" s="3"/>
      <c r="C663" s="1536"/>
      <c r="D663" s="96"/>
      <c r="E663" s="3"/>
      <c r="F663" s="96"/>
      <c r="G663" s="3"/>
      <c r="H663" s="96"/>
      <c r="I663" s="3"/>
      <c r="J663" s="96"/>
      <c r="K663" s="3"/>
      <c r="L663" s="96"/>
      <c r="M663" s="3"/>
      <c r="N663" s="96"/>
      <c r="O663" s="3"/>
      <c r="P663" s="96"/>
      <c r="Q663" s="1265"/>
      <c r="R663" s="3"/>
      <c r="S663" s="3"/>
      <c r="T663" s="1685"/>
      <c r="U663" s="3"/>
      <c r="V663" s="96"/>
      <c r="W663" s="1265"/>
      <c r="X663" s="3"/>
      <c r="Y663" s="3"/>
      <c r="Z663" s="1569"/>
      <c r="AA663" s="96"/>
    </row>
    <row r="664" spans="1:27" ht="15">
      <c r="A664" s="3"/>
      <c r="B664" s="3"/>
      <c r="C664" s="1536"/>
      <c r="D664" s="96"/>
      <c r="E664" s="3"/>
      <c r="F664" s="96"/>
      <c r="G664" s="3"/>
      <c r="H664" s="96"/>
      <c r="I664" s="3"/>
      <c r="J664" s="96"/>
      <c r="K664" s="3"/>
      <c r="L664" s="96"/>
      <c r="M664" s="3"/>
      <c r="N664" s="96"/>
      <c r="O664" s="3"/>
      <c r="P664" s="96"/>
      <c r="Q664" s="1265"/>
      <c r="R664" s="3"/>
      <c r="S664" s="3"/>
      <c r="T664" s="1685"/>
      <c r="U664" s="3"/>
      <c r="V664" s="96"/>
      <c r="W664" s="1265"/>
      <c r="X664" s="3"/>
      <c r="Y664" s="3"/>
      <c r="Z664" s="1569"/>
      <c r="AA664" s="96"/>
    </row>
    <row r="665" spans="1:27" ht="15">
      <c r="A665" s="3"/>
      <c r="B665" s="3"/>
      <c r="C665" s="1536"/>
      <c r="D665" s="96"/>
      <c r="E665" s="3"/>
      <c r="F665" s="96"/>
      <c r="G665" s="3"/>
      <c r="H665" s="96"/>
      <c r="I665" s="3"/>
      <c r="J665" s="96"/>
      <c r="K665" s="3"/>
      <c r="L665" s="96"/>
      <c r="M665" s="3"/>
      <c r="N665" s="96"/>
      <c r="O665" s="3"/>
      <c r="P665" s="96"/>
      <c r="Q665" s="1265"/>
      <c r="R665" s="3"/>
      <c r="S665" s="3"/>
      <c r="T665" s="1685"/>
      <c r="U665" s="3"/>
      <c r="V665" s="96"/>
      <c r="W665" s="1265"/>
      <c r="X665" s="3"/>
      <c r="Y665" s="3"/>
      <c r="Z665" s="1569"/>
      <c r="AA665" s="96"/>
    </row>
    <row r="666" spans="1:27" ht="15">
      <c r="A666" s="3"/>
      <c r="B666" s="3"/>
      <c r="C666" s="1536"/>
      <c r="D666" s="96"/>
      <c r="E666" s="3"/>
      <c r="F666" s="96"/>
      <c r="G666" s="3"/>
      <c r="H666" s="96"/>
      <c r="I666" s="3"/>
      <c r="J666" s="96"/>
      <c r="K666" s="3"/>
      <c r="L666" s="96"/>
      <c r="M666" s="3"/>
      <c r="N666" s="96"/>
      <c r="O666" s="3"/>
      <c r="P666" s="96"/>
      <c r="Q666" s="1265"/>
      <c r="R666" s="3"/>
      <c r="S666" s="3"/>
      <c r="T666" s="1685"/>
      <c r="U666" s="3"/>
      <c r="V666" s="96"/>
      <c r="W666" s="1265"/>
      <c r="X666" s="3"/>
      <c r="Y666" s="3"/>
      <c r="Z666" s="1569"/>
      <c r="AA666" s="96"/>
    </row>
    <row r="667" spans="1:27" ht="15">
      <c r="A667" s="3"/>
      <c r="B667" s="3"/>
      <c r="C667" s="1536"/>
      <c r="D667" s="96"/>
      <c r="E667" s="3"/>
      <c r="F667" s="96"/>
      <c r="G667" s="3"/>
      <c r="H667" s="96"/>
      <c r="I667" s="3"/>
      <c r="J667" s="96"/>
      <c r="K667" s="3"/>
      <c r="L667" s="96"/>
      <c r="M667" s="3"/>
      <c r="N667" s="96"/>
      <c r="O667" s="3"/>
      <c r="P667" s="96"/>
      <c r="Q667" s="1265"/>
      <c r="R667" s="3"/>
      <c r="S667" s="3"/>
      <c r="T667" s="1685"/>
      <c r="U667" s="3"/>
      <c r="V667" s="96"/>
      <c r="W667" s="1265"/>
      <c r="X667" s="3"/>
      <c r="Y667" s="3"/>
      <c r="Z667" s="1569"/>
      <c r="AA667" s="96"/>
    </row>
    <row r="668" spans="1:27" ht="15">
      <c r="A668" s="3"/>
      <c r="B668" s="3"/>
      <c r="C668" s="1536"/>
      <c r="D668" s="96"/>
      <c r="E668" s="3"/>
      <c r="F668" s="96"/>
      <c r="G668" s="3"/>
      <c r="H668" s="96"/>
      <c r="I668" s="3"/>
      <c r="J668" s="96"/>
      <c r="K668" s="3"/>
      <c r="L668" s="96"/>
      <c r="M668" s="3"/>
      <c r="N668" s="96"/>
      <c r="O668" s="3"/>
      <c r="P668" s="96"/>
      <c r="Q668" s="1265"/>
      <c r="R668" s="3"/>
      <c r="S668" s="3"/>
      <c r="T668" s="1685"/>
      <c r="U668" s="3"/>
      <c r="V668" s="96"/>
      <c r="W668" s="1265"/>
      <c r="X668" s="3"/>
      <c r="Y668" s="3"/>
      <c r="Z668" s="1569"/>
      <c r="AA668" s="96"/>
    </row>
    <row r="669" spans="1:27" ht="15">
      <c r="A669" s="3"/>
      <c r="B669" s="3"/>
      <c r="C669" s="1536"/>
      <c r="D669" s="96"/>
      <c r="E669" s="3"/>
      <c r="F669" s="96"/>
      <c r="G669" s="3"/>
      <c r="H669" s="96"/>
      <c r="I669" s="3"/>
      <c r="J669" s="96"/>
      <c r="K669" s="3"/>
      <c r="L669" s="96"/>
      <c r="M669" s="3"/>
      <c r="N669" s="96"/>
      <c r="O669" s="3"/>
      <c r="P669" s="96"/>
      <c r="Q669" s="1265"/>
      <c r="R669" s="3"/>
      <c r="S669" s="3"/>
      <c r="T669" s="1685"/>
      <c r="U669" s="3"/>
      <c r="V669" s="96"/>
      <c r="W669" s="1265"/>
      <c r="X669" s="3"/>
      <c r="Y669" s="3"/>
      <c r="Z669" s="1569"/>
      <c r="AA669" s="96"/>
    </row>
    <row r="670" spans="1:27" ht="15">
      <c r="A670" s="3"/>
      <c r="B670" s="3"/>
      <c r="C670" s="1536"/>
      <c r="D670" s="96"/>
      <c r="E670" s="3"/>
      <c r="F670" s="96"/>
      <c r="G670" s="3"/>
      <c r="H670" s="96"/>
      <c r="I670" s="3"/>
      <c r="J670" s="96"/>
      <c r="K670" s="3"/>
      <c r="L670" s="96"/>
      <c r="M670" s="3"/>
      <c r="N670" s="96"/>
      <c r="O670" s="3"/>
      <c r="P670" s="96"/>
      <c r="Q670" s="1265"/>
      <c r="R670" s="3"/>
      <c r="S670" s="3"/>
      <c r="T670" s="1685"/>
      <c r="U670" s="3"/>
      <c r="V670" s="96"/>
      <c r="W670" s="1265"/>
      <c r="X670" s="3"/>
      <c r="Y670" s="3"/>
      <c r="Z670" s="1569"/>
      <c r="AA670" s="96"/>
    </row>
    <row r="671" spans="1:27" ht="15">
      <c r="A671" s="3"/>
      <c r="B671" s="3"/>
      <c r="C671" s="1536"/>
      <c r="D671" s="96"/>
      <c r="E671" s="3"/>
      <c r="F671" s="96"/>
      <c r="G671" s="3"/>
      <c r="H671" s="96"/>
      <c r="I671" s="3"/>
      <c r="J671" s="96"/>
      <c r="K671" s="3"/>
      <c r="L671" s="96"/>
      <c r="M671" s="3"/>
      <c r="N671" s="96"/>
      <c r="O671" s="3"/>
      <c r="P671" s="96"/>
      <c r="Q671" s="1265"/>
      <c r="R671" s="3"/>
      <c r="S671" s="3"/>
      <c r="T671" s="1685"/>
      <c r="U671" s="3"/>
      <c r="V671" s="96"/>
      <c r="W671" s="1265"/>
      <c r="X671" s="3"/>
      <c r="Y671" s="3"/>
      <c r="Z671" s="1569"/>
      <c r="AA671" s="96"/>
    </row>
    <row r="672" spans="1:27" ht="15">
      <c r="A672" s="3"/>
      <c r="B672" s="3"/>
      <c r="C672" s="1536"/>
      <c r="D672" s="96"/>
      <c r="E672" s="3"/>
      <c r="F672" s="96"/>
      <c r="G672" s="3"/>
      <c r="H672" s="96"/>
      <c r="I672" s="3"/>
      <c r="J672" s="96"/>
      <c r="K672" s="3"/>
      <c r="L672" s="96"/>
      <c r="M672" s="3"/>
      <c r="N672" s="96"/>
      <c r="O672" s="3"/>
      <c r="P672" s="96"/>
      <c r="Q672" s="1265"/>
      <c r="R672" s="3"/>
      <c r="S672" s="3"/>
      <c r="T672" s="1685"/>
      <c r="U672" s="3"/>
      <c r="V672" s="96"/>
      <c r="W672" s="1265"/>
      <c r="X672" s="3"/>
      <c r="Y672" s="3"/>
      <c r="Z672" s="1569"/>
      <c r="AA672" s="96"/>
    </row>
    <row r="673" spans="1:27" ht="15">
      <c r="A673" s="3"/>
      <c r="B673" s="3"/>
      <c r="C673" s="1536"/>
      <c r="D673" s="96"/>
      <c r="E673" s="3"/>
      <c r="F673" s="96"/>
      <c r="G673" s="3"/>
      <c r="H673" s="96"/>
      <c r="I673" s="3"/>
      <c r="J673" s="96"/>
      <c r="K673" s="3"/>
      <c r="L673" s="96"/>
      <c r="M673" s="3"/>
      <c r="N673" s="96"/>
      <c r="O673" s="3"/>
      <c r="P673" s="96"/>
      <c r="Q673" s="1265"/>
      <c r="R673" s="3"/>
      <c r="S673" s="3"/>
      <c r="T673" s="1685"/>
      <c r="U673" s="3"/>
      <c r="V673" s="96"/>
      <c r="W673" s="1265"/>
      <c r="X673" s="3"/>
      <c r="Y673" s="3"/>
      <c r="Z673" s="1569"/>
      <c r="AA673" s="96"/>
    </row>
    <row r="674" spans="1:27" ht="15">
      <c r="A674" s="3"/>
      <c r="B674" s="3"/>
      <c r="C674" s="1536"/>
      <c r="D674" s="96"/>
      <c r="E674" s="3"/>
      <c r="F674" s="96"/>
      <c r="G674" s="3"/>
      <c r="H674" s="96"/>
      <c r="I674" s="3"/>
      <c r="J674" s="96"/>
      <c r="K674" s="3"/>
      <c r="L674" s="96"/>
      <c r="M674" s="3"/>
      <c r="N674" s="96"/>
      <c r="O674" s="3"/>
      <c r="P674" s="96"/>
      <c r="Q674" s="1265"/>
      <c r="R674" s="3"/>
      <c r="S674" s="3"/>
      <c r="T674" s="1685"/>
      <c r="U674" s="3"/>
      <c r="V674" s="96"/>
      <c r="W674" s="1265"/>
      <c r="X674" s="3"/>
      <c r="Y674" s="3"/>
      <c r="Z674" s="1569"/>
      <c r="AA674" s="96"/>
    </row>
    <row r="675" spans="1:27" ht="15">
      <c r="A675" s="3"/>
      <c r="B675" s="3"/>
      <c r="C675" s="1536"/>
      <c r="D675" s="96"/>
      <c r="E675" s="3"/>
      <c r="F675" s="96"/>
      <c r="G675" s="3"/>
      <c r="H675" s="96"/>
      <c r="I675" s="3"/>
      <c r="J675" s="96"/>
      <c r="K675" s="3"/>
      <c r="L675" s="96"/>
      <c r="M675" s="3"/>
      <c r="N675" s="96"/>
      <c r="O675" s="3"/>
      <c r="P675" s="96"/>
      <c r="Q675" s="1265"/>
      <c r="R675" s="3"/>
      <c r="S675" s="3"/>
      <c r="T675" s="1685"/>
      <c r="U675" s="3"/>
      <c r="V675" s="96"/>
      <c r="W675" s="1265"/>
      <c r="X675" s="3"/>
      <c r="Y675" s="3"/>
      <c r="Z675" s="1569"/>
      <c r="AA675" s="96"/>
    </row>
    <row r="676" spans="1:27" ht="15">
      <c r="A676" s="3"/>
      <c r="B676" s="3"/>
      <c r="C676" s="1536"/>
      <c r="D676" s="96"/>
      <c r="E676" s="3"/>
      <c r="F676" s="96"/>
      <c r="G676" s="3"/>
      <c r="H676" s="96"/>
      <c r="I676" s="3"/>
      <c r="J676" s="96"/>
      <c r="K676" s="3"/>
      <c r="L676" s="96"/>
      <c r="M676" s="3"/>
      <c r="N676" s="96"/>
      <c r="O676" s="3"/>
      <c r="P676" s="96"/>
      <c r="Q676" s="1265"/>
      <c r="R676" s="3"/>
      <c r="S676" s="3"/>
      <c r="T676" s="1685"/>
      <c r="U676" s="3"/>
      <c r="V676" s="96"/>
      <c r="W676" s="1265"/>
      <c r="X676" s="3"/>
      <c r="Y676" s="3"/>
      <c r="Z676" s="1569"/>
      <c r="AA676" s="96"/>
    </row>
    <row r="677" spans="1:27" ht="15">
      <c r="A677" s="3"/>
      <c r="B677" s="3"/>
      <c r="C677" s="1536"/>
      <c r="D677" s="96"/>
      <c r="E677" s="3"/>
      <c r="F677" s="96"/>
      <c r="G677" s="3"/>
      <c r="H677" s="96"/>
      <c r="I677" s="3"/>
      <c r="J677" s="96"/>
      <c r="K677" s="3"/>
      <c r="L677" s="96"/>
      <c r="M677" s="3"/>
      <c r="N677" s="96"/>
      <c r="O677" s="3"/>
      <c r="P677" s="96"/>
      <c r="Q677" s="1265"/>
      <c r="R677" s="3"/>
      <c r="S677" s="3"/>
      <c r="T677" s="1685"/>
      <c r="U677" s="3"/>
      <c r="V677" s="96"/>
      <c r="W677" s="1265"/>
      <c r="X677" s="3"/>
      <c r="Y677" s="3"/>
      <c r="Z677" s="1569"/>
      <c r="AA677" s="96"/>
    </row>
    <row r="678" spans="1:27" ht="15">
      <c r="A678" s="3"/>
      <c r="B678" s="3"/>
      <c r="C678" s="1536"/>
      <c r="D678" s="96"/>
      <c r="E678" s="3"/>
      <c r="F678" s="96"/>
      <c r="G678" s="3"/>
      <c r="H678" s="96"/>
      <c r="I678" s="3"/>
      <c r="J678" s="96"/>
      <c r="K678" s="3"/>
      <c r="L678" s="96"/>
      <c r="M678" s="3"/>
      <c r="N678" s="96"/>
      <c r="O678" s="3"/>
      <c r="P678" s="96"/>
      <c r="Q678" s="1265"/>
      <c r="R678" s="3"/>
      <c r="S678" s="3"/>
      <c r="T678" s="1685"/>
      <c r="U678" s="3"/>
      <c r="V678" s="96"/>
      <c r="W678" s="1265"/>
      <c r="X678" s="3"/>
      <c r="Y678" s="3"/>
      <c r="Z678" s="1569"/>
      <c r="AA678" s="96"/>
    </row>
    <row r="679" spans="1:27" ht="15">
      <c r="A679" s="3"/>
      <c r="B679" s="3"/>
      <c r="C679" s="1536"/>
      <c r="D679" s="96"/>
      <c r="E679" s="3"/>
      <c r="F679" s="96"/>
      <c r="G679" s="3"/>
      <c r="H679" s="96"/>
      <c r="I679" s="3"/>
      <c r="J679" s="96"/>
      <c r="K679" s="3"/>
      <c r="L679" s="96"/>
      <c r="M679" s="3"/>
      <c r="N679" s="96"/>
      <c r="O679" s="3"/>
      <c r="P679" s="96"/>
      <c r="Q679" s="1265"/>
      <c r="R679" s="3"/>
      <c r="S679" s="3"/>
      <c r="T679" s="1685"/>
      <c r="U679" s="3"/>
      <c r="V679" s="96"/>
      <c r="W679" s="1265"/>
      <c r="X679" s="3"/>
      <c r="Y679" s="3"/>
      <c r="Z679" s="1569"/>
      <c r="AA679" s="96"/>
    </row>
    <row r="680" spans="1:27" ht="15">
      <c r="A680" s="3"/>
      <c r="B680" s="3"/>
      <c r="C680" s="1536"/>
      <c r="D680" s="96"/>
      <c r="E680" s="3"/>
      <c r="F680" s="96"/>
      <c r="G680" s="3"/>
      <c r="H680" s="96"/>
      <c r="I680" s="3"/>
      <c r="J680" s="96"/>
      <c r="K680" s="3"/>
      <c r="L680" s="96"/>
      <c r="M680" s="3"/>
      <c r="N680" s="96"/>
      <c r="O680" s="3"/>
      <c r="P680" s="96"/>
      <c r="Q680" s="1265"/>
      <c r="R680" s="3"/>
      <c r="S680" s="3"/>
      <c r="T680" s="1685"/>
      <c r="U680" s="3"/>
      <c r="V680" s="96"/>
      <c r="W680" s="1265"/>
      <c r="X680" s="3"/>
      <c r="Y680" s="3"/>
      <c r="Z680" s="1569"/>
      <c r="AA680" s="96"/>
    </row>
    <row r="681" spans="1:27" ht="15">
      <c r="A681" s="3"/>
      <c r="B681" s="3"/>
      <c r="C681" s="1536"/>
      <c r="D681" s="96"/>
      <c r="E681" s="3"/>
      <c r="F681" s="96"/>
      <c r="G681" s="3"/>
      <c r="H681" s="96"/>
      <c r="I681" s="3"/>
      <c r="J681" s="96"/>
      <c r="K681" s="3"/>
      <c r="L681" s="96"/>
      <c r="M681" s="3"/>
      <c r="N681" s="96"/>
      <c r="O681" s="3"/>
      <c r="P681" s="96"/>
      <c r="Q681" s="1265"/>
      <c r="R681" s="3"/>
      <c r="S681" s="3"/>
      <c r="T681" s="1685"/>
      <c r="U681" s="3"/>
      <c r="V681" s="96"/>
      <c r="W681" s="1265"/>
      <c r="X681" s="3"/>
      <c r="Y681" s="3"/>
      <c r="Z681" s="1569"/>
      <c r="AA681" s="96"/>
    </row>
    <row r="682" spans="1:27" ht="15">
      <c r="A682" s="3"/>
      <c r="B682" s="3"/>
      <c r="C682" s="1536"/>
      <c r="D682" s="96"/>
      <c r="E682" s="3"/>
      <c r="F682" s="96"/>
      <c r="G682" s="3"/>
      <c r="H682" s="96"/>
      <c r="I682" s="3"/>
      <c r="J682" s="96"/>
      <c r="K682" s="3"/>
      <c r="L682" s="96"/>
      <c r="M682" s="3"/>
      <c r="N682" s="96"/>
      <c r="O682" s="3"/>
      <c r="P682" s="96"/>
      <c r="Q682" s="1265"/>
      <c r="R682" s="3"/>
      <c r="S682" s="3"/>
      <c r="T682" s="1685"/>
      <c r="U682" s="3"/>
      <c r="V682" s="96"/>
      <c r="W682" s="1265"/>
      <c r="X682" s="3"/>
      <c r="Y682" s="3"/>
      <c r="Z682" s="1569"/>
      <c r="AA682" s="96"/>
    </row>
    <row r="683" spans="1:27" ht="15">
      <c r="A683" s="3"/>
      <c r="B683" s="3"/>
      <c r="C683" s="1536"/>
      <c r="D683" s="96"/>
      <c r="E683" s="3"/>
      <c r="F683" s="96"/>
      <c r="G683" s="3"/>
      <c r="H683" s="96"/>
      <c r="I683" s="3"/>
      <c r="J683" s="96"/>
      <c r="K683" s="3"/>
      <c r="L683" s="96"/>
      <c r="M683" s="3"/>
      <c r="N683" s="96"/>
      <c r="O683" s="3"/>
      <c r="P683" s="96"/>
      <c r="Q683" s="1265"/>
      <c r="R683" s="3"/>
      <c r="S683" s="3"/>
      <c r="T683" s="1685"/>
      <c r="U683" s="3"/>
      <c r="V683" s="96"/>
      <c r="W683" s="1265"/>
      <c r="X683" s="3"/>
      <c r="Y683" s="3"/>
      <c r="Z683" s="1569"/>
      <c r="AA683" s="96"/>
    </row>
    <row r="684" spans="1:27" ht="15">
      <c r="A684" s="3"/>
      <c r="B684" s="3"/>
      <c r="C684" s="1536"/>
      <c r="D684" s="96"/>
      <c r="E684" s="3"/>
      <c r="F684" s="96"/>
      <c r="G684" s="3"/>
      <c r="H684" s="96"/>
      <c r="I684" s="3"/>
      <c r="J684" s="96"/>
      <c r="K684" s="3"/>
      <c r="L684" s="96"/>
      <c r="M684" s="3"/>
      <c r="N684" s="96"/>
      <c r="O684" s="3"/>
      <c r="P684" s="96"/>
      <c r="Q684" s="1265"/>
      <c r="R684" s="3"/>
      <c r="S684" s="3"/>
      <c r="T684" s="1685"/>
      <c r="U684" s="3"/>
      <c r="V684" s="96"/>
      <c r="W684" s="1265"/>
      <c r="X684" s="3"/>
      <c r="Y684" s="3"/>
      <c r="Z684" s="1569"/>
      <c r="AA684" s="96"/>
    </row>
    <row r="685" spans="1:27" ht="15">
      <c r="A685" s="3"/>
      <c r="B685" s="3"/>
      <c r="C685" s="1536"/>
      <c r="D685" s="96"/>
      <c r="E685" s="3"/>
      <c r="F685" s="96"/>
      <c r="G685" s="3"/>
      <c r="H685" s="96"/>
      <c r="I685" s="3"/>
      <c r="J685" s="96"/>
      <c r="K685" s="3"/>
      <c r="L685" s="96"/>
      <c r="M685" s="3"/>
      <c r="N685" s="96"/>
      <c r="O685" s="3"/>
      <c r="P685" s="96"/>
      <c r="Q685" s="1265"/>
      <c r="R685" s="3"/>
      <c r="S685" s="3"/>
      <c r="T685" s="1685"/>
      <c r="U685" s="3"/>
      <c r="V685" s="96"/>
      <c r="W685" s="1265"/>
      <c r="X685" s="3"/>
      <c r="Y685" s="3"/>
      <c r="Z685" s="1569"/>
      <c r="AA685" s="96"/>
    </row>
    <row r="686" spans="1:27" ht="15">
      <c r="A686" s="3"/>
      <c r="B686" s="3"/>
      <c r="C686" s="1536"/>
      <c r="D686" s="96"/>
      <c r="E686" s="3"/>
      <c r="F686" s="96"/>
      <c r="G686" s="3"/>
      <c r="H686" s="96"/>
      <c r="I686" s="3"/>
      <c r="J686" s="96"/>
      <c r="K686" s="3"/>
      <c r="L686" s="96"/>
      <c r="M686" s="3"/>
      <c r="N686" s="96"/>
      <c r="O686" s="3"/>
      <c r="P686" s="96"/>
      <c r="Q686" s="1265"/>
      <c r="R686" s="3"/>
      <c r="S686" s="3"/>
      <c r="T686" s="1685"/>
      <c r="U686" s="3"/>
      <c r="V686" s="96"/>
      <c r="W686" s="1265"/>
      <c r="X686" s="3"/>
      <c r="Y686" s="3"/>
      <c r="Z686" s="1569"/>
      <c r="AA686" s="96"/>
    </row>
    <row r="687" spans="1:27" ht="15">
      <c r="A687" s="3"/>
      <c r="B687" s="3"/>
      <c r="C687" s="1536"/>
      <c r="D687" s="96"/>
      <c r="E687" s="3"/>
      <c r="F687" s="96"/>
      <c r="G687" s="3"/>
      <c r="H687" s="96"/>
      <c r="I687" s="3"/>
      <c r="J687" s="96"/>
      <c r="K687" s="3"/>
      <c r="L687" s="96"/>
      <c r="M687" s="3"/>
      <c r="N687" s="96"/>
      <c r="O687" s="3"/>
      <c r="P687" s="96"/>
      <c r="Q687" s="1265"/>
      <c r="R687" s="3"/>
      <c r="S687" s="3"/>
      <c r="T687" s="1685"/>
      <c r="U687" s="3"/>
      <c r="V687" s="96"/>
      <c r="W687" s="1265"/>
      <c r="X687" s="3"/>
      <c r="Y687" s="3"/>
      <c r="Z687" s="1569"/>
      <c r="AA687" s="96"/>
    </row>
    <row r="688" spans="1:27" ht="15">
      <c r="A688" s="3"/>
      <c r="B688" s="3"/>
      <c r="C688" s="1536"/>
      <c r="D688" s="96"/>
      <c r="E688" s="3"/>
      <c r="F688" s="96"/>
      <c r="G688" s="3"/>
      <c r="H688" s="96"/>
      <c r="I688" s="3"/>
      <c r="J688" s="96"/>
      <c r="K688" s="3"/>
      <c r="L688" s="96"/>
      <c r="M688" s="3"/>
      <c r="N688" s="96"/>
      <c r="O688" s="3"/>
      <c r="P688" s="96"/>
      <c r="Q688" s="1265"/>
      <c r="R688" s="3"/>
      <c r="S688" s="3"/>
      <c r="T688" s="1685"/>
      <c r="U688" s="3"/>
      <c r="V688" s="96"/>
      <c r="W688" s="1265"/>
      <c r="X688" s="3"/>
      <c r="Y688" s="3"/>
      <c r="Z688" s="1569"/>
      <c r="AA688" s="96"/>
    </row>
    <row r="689" spans="1:27" ht="15">
      <c r="A689" s="3"/>
      <c r="B689" s="3"/>
      <c r="C689" s="1536"/>
      <c r="D689" s="96"/>
      <c r="E689" s="3"/>
      <c r="F689" s="96"/>
      <c r="G689" s="3"/>
      <c r="H689" s="96"/>
      <c r="I689" s="3"/>
      <c r="J689" s="96"/>
      <c r="K689" s="3"/>
      <c r="L689" s="96"/>
      <c r="M689" s="3"/>
      <c r="N689" s="96"/>
      <c r="O689" s="3"/>
      <c r="P689" s="96"/>
      <c r="Q689" s="1265"/>
      <c r="R689" s="3"/>
      <c r="S689" s="3"/>
      <c r="T689" s="1685"/>
      <c r="U689" s="3"/>
      <c r="V689" s="96"/>
      <c r="W689" s="1265"/>
      <c r="X689" s="3"/>
      <c r="Y689" s="3"/>
      <c r="Z689" s="1569"/>
      <c r="AA689" s="96"/>
    </row>
    <row r="690" spans="1:27" ht="15">
      <c r="A690" s="3"/>
      <c r="B690" s="3"/>
      <c r="C690" s="1536"/>
      <c r="D690" s="96"/>
      <c r="E690" s="3"/>
      <c r="F690" s="96"/>
      <c r="G690" s="3"/>
      <c r="H690" s="96"/>
      <c r="I690" s="3"/>
      <c r="J690" s="96"/>
      <c r="K690" s="3"/>
      <c r="L690" s="96"/>
      <c r="M690" s="3"/>
      <c r="N690" s="96"/>
      <c r="O690" s="3"/>
      <c r="P690" s="96"/>
      <c r="Q690" s="1265"/>
      <c r="R690" s="3"/>
      <c r="S690" s="3"/>
      <c r="T690" s="1685"/>
      <c r="U690" s="3"/>
      <c r="V690" s="96"/>
      <c r="W690" s="1265"/>
      <c r="X690" s="3"/>
      <c r="Y690" s="3"/>
      <c r="Z690" s="1569"/>
      <c r="AA690" s="96"/>
    </row>
    <row r="691" spans="1:27" ht="15">
      <c r="A691" s="3"/>
      <c r="B691" s="3"/>
      <c r="C691" s="1536"/>
      <c r="D691" s="96"/>
      <c r="E691" s="3"/>
      <c r="F691" s="96"/>
      <c r="G691" s="3"/>
      <c r="H691" s="96"/>
      <c r="I691" s="3"/>
      <c r="J691" s="96"/>
      <c r="K691" s="3"/>
      <c r="L691" s="96"/>
      <c r="M691" s="3"/>
      <c r="N691" s="96"/>
      <c r="O691" s="3"/>
      <c r="P691" s="96"/>
      <c r="Q691" s="1265"/>
      <c r="R691" s="3"/>
      <c r="S691" s="3"/>
      <c r="T691" s="1685"/>
      <c r="U691" s="3"/>
      <c r="V691" s="96"/>
      <c r="W691" s="1265"/>
      <c r="X691" s="3"/>
      <c r="Y691" s="3"/>
      <c r="Z691" s="1569"/>
      <c r="AA691" s="96"/>
    </row>
    <row r="692" spans="1:27" ht="15">
      <c r="A692" s="3"/>
      <c r="B692" s="3"/>
      <c r="C692" s="1536"/>
      <c r="D692" s="96"/>
      <c r="E692" s="3"/>
      <c r="F692" s="96"/>
      <c r="G692" s="3"/>
      <c r="H692" s="96"/>
      <c r="I692" s="3"/>
      <c r="J692" s="96"/>
      <c r="K692" s="3"/>
      <c r="L692" s="96"/>
      <c r="M692" s="3"/>
      <c r="N692" s="96"/>
      <c r="O692" s="3"/>
      <c r="P692" s="96"/>
      <c r="Q692" s="1265"/>
      <c r="R692" s="3"/>
      <c r="S692" s="3"/>
      <c r="T692" s="1685"/>
      <c r="U692" s="3"/>
      <c r="V692" s="96"/>
      <c r="W692" s="1265"/>
      <c r="X692" s="3"/>
      <c r="Y692" s="3"/>
      <c r="Z692" s="1569"/>
      <c r="AA692" s="96"/>
    </row>
    <row r="693" spans="1:27" ht="15">
      <c r="A693" s="3"/>
      <c r="B693" s="3"/>
      <c r="C693" s="1536"/>
      <c r="D693" s="96"/>
      <c r="E693" s="3"/>
      <c r="F693" s="96"/>
      <c r="G693" s="3"/>
      <c r="H693" s="96"/>
      <c r="I693" s="3"/>
      <c r="J693" s="96"/>
      <c r="K693" s="3"/>
      <c r="L693" s="96"/>
      <c r="M693" s="3"/>
      <c r="N693" s="96"/>
      <c r="O693" s="3"/>
      <c r="P693" s="96"/>
      <c r="Q693" s="1265"/>
      <c r="R693" s="3"/>
      <c r="S693" s="3"/>
      <c r="T693" s="1685"/>
      <c r="U693" s="3"/>
      <c r="V693" s="96"/>
      <c r="W693" s="1265"/>
      <c r="X693" s="3"/>
      <c r="Y693" s="3"/>
      <c r="Z693" s="1569"/>
      <c r="AA693" s="96"/>
    </row>
    <row r="694" spans="1:27" ht="15">
      <c r="A694" s="3"/>
      <c r="B694" s="3"/>
      <c r="C694" s="1536"/>
      <c r="D694" s="96"/>
      <c r="E694" s="3"/>
      <c r="F694" s="96"/>
      <c r="G694" s="3"/>
      <c r="H694" s="96"/>
      <c r="I694" s="3"/>
      <c r="J694" s="96"/>
      <c r="K694" s="3"/>
      <c r="L694" s="96"/>
      <c r="M694" s="3"/>
      <c r="N694" s="96"/>
      <c r="O694" s="3"/>
      <c r="P694" s="96"/>
      <c r="Q694" s="1265"/>
      <c r="R694" s="3"/>
      <c r="S694" s="3"/>
      <c r="T694" s="1685"/>
      <c r="U694" s="3"/>
      <c r="V694" s="96"/>
      <c r="W694" s="1265"/>
      <c r="X694" s="3"/>
      <c r="Y694" s="3"/>
      <c r="Z694" s="1569"/>
      <c r="AA694" s="96"/>
    </row>
    <row r="695" spans="1:27" ht="15">
      <c r="A695" s="3"/>
      <c r="B695" s="3"/>
      <c r="C695" s="1536"/>
      <c r="D695" s="96"/>
      <c r="E695" s="3"/>
      <c r="F695" s="96"/>
      <c r="G695" s="3"/>
      <c r="H695" s="96"/>
      <c r="I695" s="3"/>
      <c r="J695" s="96"/>
      <c r="K695" s="3"/>
      <c r="L695" s="96"/>
      <c r="M695" s="3"/>
      <c r="N695" s="96"/>
      <c r="O695" s="3"/>
      <c r="P695" s="96"/>
      <c r="Q695" s="1265"/>
      <c r="R695" s="3"/>
      <c r="S695" s="3"/>
      <c r="T695" s="1685"/>
      <c r="U695" s="3"/>
      <c r="V695" s="96"/>
      <c r="W695" s="1265"/>
      <c r="X695" s="3"/>
      <c r="Y695" s="3"/>
      <c r="Z695" s="1569"/>
      <c r="AA695" s="96"/>
    </row>
    <row r="696" spans="1:27" ht="15">
      <c r="A696" s="3"/>
      <c r="B696" s="3"/>
      <c r="C696" s="1536"/>
      <c r="D696" s="96"/>
      <c r="E696" s="3"/>
      <c r="F696" s="96"/>
      <c r="G696" s="3"/>
      <c r="H696" s="96"/>
      <c r="I696" s="3"/>
      <c r="J696" s="96"/>
      <c r="K696" s="3"/>
      <c r="L696" s="96"/>
      <c r="M696" s="3"/>
      <c r="N696" s="96"/>
      <c r="O696" s="3"/>
      <c r="P696" s="96"/>
      <c r="Q696" s="1265"/>
      <c r="R696" s="3"/>
      <c r="S696" s="3"/>
      <c r="T696" s="1685"/>
      <c r="U696" s="3"/>
      <c r="V696" s="96"/>
      <c r="W696" s="1265"/>
      <c r="X696" s="3"/>
      <c r="Y696" s="3"/>
      <c r="Z696" s="1569"/>
      <c r="AA696" s="96"/>
    </row>
    <row r="697" spans="1:27" ht="15">
      <c r="A697" s="3"/>
      <c r="B697" s="3"/>
      <c r="C697" s="1536"/>
      <c r="D697" s="96"/>
      <c r="E697" s="3"/>
      <c r="F697" s="96"/>
      <c r="G697" s="3"/>
      <c r="H697" s="96"/>
      <c r="I697" s="3"/>
      <c r="J697" s="96"/>
      <c r="K697" s="3"/>
      <c r="L697" s="96"/>
      <c r="M697" s="3"/>
      <c r="N697" s="96"/>
      <c r="O697" s="3"/>
      <c r="P697" s="96"/>
      <c r="Q697" s="1265"/>
      <c r="R697" s="3"/>
      <c r="S697" s="3"/>
      <c r="T697" s="1685"/>
      <c r="U697" s="3"/>
      <c r="V697" s="96"/>
      <c r="W697" s="1265"/>
      <c r="X697" s="3"/>
      <c r="Y697" s="3"/>
      <c r="Z697" s="1569"/>
      <c r="AA697" s="96"/>
    </row>
    <row r="698" spans="1:27" ht="15">
      <c r="A698" s="3"/>
      <c r="B698" s="3"/>
      <c r="C698" s="1536"/>
      <c r="D698" s="96"/>
      <c r="E698" s="3"/>
      <c r="F698" s="96"/>
      <c r="G698" s="3"/>
      <c r="H698" s="96"/>
      <c r="I698" s="3"/>
      <c r="J698" s="96"/>
      <c r="K698" s="3"/>
      <c r="L698" s="96"/>
      <c r="M698" s="3"/>
      <c r="N698" s="96"/>
      <c r="O698" s="3"/>
      <c r="P698" s="96"/>
      <c r="Q698" s="1265"/>
      <c r="R698" s="3"/>
      <c r="S698" s="3"/>
      <c r="T698" s="1685"/>
      <c r="U698" s="3"/>
      <c r="V698" s="96"/>
      <c r="W698" s="1265"/>
      <c r="X698" s="3"/>
      <c r="Y698" s="3"/>
      <c r="Z698" s="1569"/>
      <c r="AA698" s="96"/>
    </row>
    <row r="699" spans="1:27" ht="15">
      <c r="A699" s="3"/>
      <c r="B699" s="3"/>
      <c r="C699" s="1536"/>
      <c r="D699" s="96"/>
      <c r="E699" s="3"/>
      <c r="F699" s="96"/>
      <c r="G699" s="3"/>
      <c r="H699" s="96"/>
      <c r="I699" s="3"/>
      <c r="J699" s="96"/>
      <c r="K699" s="3"/>
      <c r="L699" s="96"/>
      <c r="M699" s="3"/>
      <c r="N699" s="96"/>
      <c r="O699" s="3"/>
      <c r="P699" s="96"/>
      <c r="Q699" s="1265"/>
      <c r="R699" s="3"/>
      <c r="S699" s="3"/>
      <c r="T699" s="1685"/>
      <c r="U699" s="3"/>
      <c r="V699" s="96"/>
      <c r="W699" s="1265"/>
      <c r="X699" s="3"/>
      <c r="Y699" s="3"/>
      <c r="Z699" s="1569"/>
      <c r="AA699" s="96"/>
    </row>
    <row r="700" spans="1:27" ht="15">
      <c r="A700" s="3"/>
      <c r="B700" s="3"/>
      <c r="C700" s="1536"/>
      <c r="D700" s="96"/>
      <c r="E700" s="3"/>
      <c r="F700" s="96"/>
      <c r="G700" s="3"/>
      <c r="H700" s="96"/>
      <c r="I700" s="3"/>
      <c r="J700" s="96"/>
      <c r="K700" s="3"/>
      <c r="L700" s="96"/>
      <c r="M700" s="3"/>
      <c r="N700" s="96"/>
      <c r="O700" s="3"/>
      <c r="P700" s="96"/>
      <c r="Q700" s="1265"/>
      <c r="R700" s="3"/>
      <c r="S700" s="3"/>
      <c r="T700" s="1685"/>
      <c r="U700" s="3"/>
      <c r="V700" s="96"/>
      <c r="W700" s="1265"/>
      <c r="X700" s="3"/>
      <c r="Y700" s="3"/>
      <c r="Z700" s="1569"/>
      <c r="AA700" s="96"/>
    </row>
    <row r="701" spans="1:27" ht="15">
      <c r="A701" s="3"/>
      <c r="B701" s="3"/>
      <c r="C701" s="1536"/>
      <c r="D701" s="96"/>
      <c r="E701" s="3"/>
      <c r="F701" s="96"/>
      <c r="G701" s="3"/>
      <c r="H701" s="96"/>
      <c r="I701" s="3"/>
      <c r="J701" s="96"/>
      <c r="K701" s="3"/>
      <c r="L701" s="96"/>
      <c r="M701" s="3"/>
      <c r="N701" s="96"/>
      <c r="O701" s="3"/>
      <c r="P701" s="96"/>
      <c r="Q701" s="1265"/>
      <c r="R701" s="3"/>
      <c r="S701" s="3"/>
      <c r="T701" s="1685"/>
      <c r="U701" s="3"/>
      <c r="V701" s="96"/>
      <c r="W701" s="1265"/>
      <c r="X701" s="3"/>
      <c r="Y701" s="3"/>
      <c r="Z701" s="1569"/>
      <c r="AA701" s="96"/>
    </row>
    <row r="702" spans="1:27" ht="15">
      <c r="A702" s="3"/>
      <c r="B702" s="3"/>
      <c r="C702" s="1536"/>
      <c r="D702" s="96"/>
      <c r="E702" s="3"/>
      <c r="F702" s="96"/>
      <c r="G702" s="3"/>
      <c r="H702" s="96"/>
      <c r="I702" s="3"/>
      <c r="J702" s="96"/>
      <c r="K702" s="3"/>
      <c r="L702" s="96"/>
      <c r="M702" s="3"/>
      <c r="N702" s="96"/>
      <c r="O702" s="3"/>
      <c r="P702" s="96"/>
      <c r="Q702" s="1265"/>
      <c r="R702" s="3"/>
      <c r="S702" s="3"/>
      <c r="T702" s="1685"/>
      <c r="U702" s="3"/>
      <c r="V702" s="96"/>
      <c r="W702" s="1265"/>
      <c r="X702" s="3"/>
      <c r="Y702" s="3"/>
      <c r="Z702" s="1569"/>
      <c r="AA702" s="96"/>
    </row>
    <row r="703" spans="1:27" ht="15">
      <c r="A703" s="3"/>
      <c r="B703" s="3"/>
      <c r="C703" s="1536"/>
      <c r="D703" s="96"/>
      <c r="E703" s="3"/>
      <c r="F703" s="96"/>
      <c r="G703" s="3"/>
      <c r="H703" s="96"/>
      <c r="I703" s="3"/>
      <c r="J703" s="96"/>
      <c r="K703" s="3"/>
      <c r="L703" s="96"/>
      <c r="M703" s="3"/>
      <c r="N703" s="96"/>
      <c r="O703" s="3"/>
      <c r="P703" s="96"/>
      <c r="Q703" s="1265"/>
      <c r="R703" s="3"/>
      <c r="S703" s="3"/>
      <c r="T703" s="1685"/>
      <c r="U703" s="3"/>
      <c r="V703" s="96"/>
      <c r="W703" s="1265"/>
      <c r="X703" s="3"/>
      <c r="Y703" s="3"/>
      <c r="Z703" s="1569"/>
      <c r="AA703" s="96"/>
    </row>
    <row r="704" spans="1:27" ht="15">
      <c r="A704" s="3"/>
      <c r="B704" s="3"/>
      <c r="C704" s="1536"/>
      <c r="D704" s="96"/>
      <c r="E704" s="3"/>
      <c r="F704" s="96"/>
      <c r="G704" s="3"/>
      <c r="H704" s="96"/>
      <c r="I704" s="3"/>
      <c r="J704" s="96"/>
      <c r="K704" s="3"/>
      <c r="L704" s="96"/>
      <c r="M704" s="3"/>
      <c r="N704" s="96"/>
      <c r="O704" s="3"/>
      <c r="P704" s="96"/>
      <c r="Q704" s="1265"/>
      <c r="R704" s="3"/>
      <c r="S704" s="3"/>
      <c r="T704" s="1685"/>
      <c r="U704" s="3"/>
      <c r="V704" s="96"/>
      <c r="W704" s="1265"/>
      <c r="X704" s="3"/>
      <c r="Y704" s="3"/>
      <c r="Z704" s="1569"/>
      <c r="AA704" s="96"/>
    </row>
    <row r="705" spans="1:27" ht="15">
      <c r="A705" s="3"/>
      <c r="B705" s="3"/>
      <c r="C705" s="1536"/>
      <c r="D705" s="96"/>
      <c r="E705" s="3"/>
      <c r="F705" s="96"/>
      <c r="G705" s="3"/>
      <c r="H705" s="96"/>
      <c r="I705" s="3"/>
      <c r="J705" s="96"/>
      <c r="K705" s="3"/>
      <c r="L705" s="96"/>
      <c r="M705" s="3"/>
      <c r="N705" s="96"/>
      <c r="O705" s="3"/>
      <c r="P705" s="96"/>
      <c r="Q705" s="1265"/>
      <c r="R705" s="3"/>
      <c r="S705" s="3"/>
      <c r="T705" s="1685"/>
      <c r="U705" s="3"/>
      <c r="V705" s="96"/>
      <c r="W705" s="1265"/>
      <c r="X705" s="3"/>
      <c r="Y705" s="3"/>
      <c r="Z705" s="1569"/>
      <c r="AA705" s="96"/>
    </row>
    <row r="706" spans="1:27" ht="15">
      <c r="A706" s="3"/>
      <c r="B706" s="3"/>
      <c r="C706" s="1536"/>
      <c r="D706" s="96"/>
      <c r="E706" s="3"/>
      <c r="F706" s="96"/>
      <c r="G706" s="3"/>
      <c r="H706" s="96"/>
      <c r="I706" s="3"/>
      <c r="J706" s="96"/>
      <c r="K706" s="3"/>
      <c r="L706" s="96"/>
      <c r="M706" s="3"/>
      <c r="N706" s="96"/>
      <c r="O706" s="3"/>
      <c r="P706" s="96"/>
      <c r="Q706" s="1265"/>
      <c r="R706" s="3"/>
      <c r="S706" s="3"/>
      <c r="T706" s="1685"/>
      <c r="U706" s="3"/>
      <c r="V706" s="96"/>
      <c r="W706" s="1265"/>
      <c r="X706" s="3"/>
      <c r="Y706" s="3"/>
      <c r="Z706" s="1569"/>
      <c r="AA706" s="96"/>
    </row>
    <row r="707" spans="1:27" ht="15">
      <c r="A707" s="3"/>
      <c r="B707" s="3"/>
      <c r="C707" s="1536"/>
      <c r="D707" s="96"/>
      <c r="E707" s="3"/>
      <c r="F707" s="96"/>
      <c r="G707" s="3"/>
      <c r="H707" s="96"/>
      <c r="I707" s="3"/>
      <c r="J707" s="96"/>
      <c r="K707" s="3"/>
      <c r="L707" s="96"/>
      <c r="M707" s="3"/>
      <c r="N707" s="96"/>
      <c r="O707" s="3"/>
      <c r="P707" s="96"/>
      <c r="Q707" s="1265"/>
      <c r="R707" s="3"/>
      <c r="S707" s="3"/>
      <c r="T707" s="1685"/>
      <c r="U707" s="3"/>
      <c r="V707" s="96"/>
      <c r="W707" s="1265"/>
      <c r="X707" s="3"/>
      <c r="Y707" s="3"/>
      <c r="Z707" s="1569"/>
      <c r="AA707" s="96"/>
    </row>
    <row r="708" spans="1:27" ht="15">
      <c r="A708" s="3"/>
      <c r="B708" s="3"/>
      <c r="C708" s="1536"/>
      <c r="D708" s="96"/>
      <c r="E708" s="3"/>
      <c r="F708" s="96"/>
      <c r="G708" s="3"/>
      <c r="H708" s="96"/>
      <c r="I708" s="3"/>
      <c r="J708" s="96"/>
      <c r="K708" s="3"/>
      <c r="L708" s="96"/>
      <c r="M708" s="3"/>
      <c r="N708" s="96"/>
      <c r="O708" s="3"/>
      <c r="P708" s="96"/>
      <c r="Q708" s="1265"/>
      <c r="R708" s="3"/>
      <c r="S708" s="3"/>
      <c r="T708" s="1685"/>
      <c r="U708" s="3"/>
      <c r="V708" s="96"/>
      <c r="W708" s="1265"/>
      <c r="X708" s="3"/>
      <c r="Y708" s="3"/>
      <c r="Z708" s="1569"/>
      <c r="AA708" s="96"/>
    </row>
    <row r="709" spans="1:27" ht="15">
      <c r="A709" s="3"/>
      <c r="B709" s="3"/>
      <c r="C709" s="1536"/>
      <c r="D709" s="96"/>
      <c r="E709" s="3"/>
      <c r="F709" s="96"/>
      <c r="G709" s="3"/>
      <c r="H709" s="96"/>
      <c r="I709" s="3"/>
      <c r="J709" s="96"/>
      <c r="K709" s="3"/>
      <c r="L709" s="96"/>
      <c r="M709" s="3"/>
      <c r="N709" s="96"/>
      <c r="O709" s="3"/>
      <c r="P709" s="96"/>
      <c r="Q709" s="1265"/>
      <c r="R709" s="3"/>
      <c r="S709" s="3"/>
      <c r="T709" s="1685"/>
      <c r="U709" s="3"/>
      <c r="V709" s="96"/>
      <c r="W709" s="1265"/>
      <c r="X709" s="3"/>
      <c r="Y709" s="3"/>
      <c r="Z709" s="1569"/>
      <c r="AA709" s="96"/>
    </row>
    <row r="710" spans="1:27" ht="15">
      <c r="A710" s="3"/>
      <c r="B710" s="3"/>
      <c r="C710" s="1536"/>
      <c r="D710" s="96"/>
      <c r="E710" s="3"/>
      <c r="F710" s="96"/>
      <c r="G710" s="3"/>
      <c r="H710" s="96"/>
      <c r="I710" s="3"/>
      <c r="J710" s="96"/>
      <c r="K710" s="3"/>
      <c r="L710" s="96"/>
      <c r="M710" s="3"/>
      <c r="N710" s="96"/>
      <c r="O710" s="3"/>
      <c r="P710" s="96"/>
      <c r="Q710" s="1265"/>
      <c r="R710" s="3"/>
      <c r="S710" s="3"/>
      <c r="T710" s="1685"/>
      <c r="U710" s="3"/>
      <c r="V710" s="96"/>
      <c r="W710" s="1265"/>
      <c r="X710" s="3"/>
      <c r="Y710" s="3"/>
      <c r="Z710" s="1569"/>
      <c r="AA710" s="96"/>
    </row>
    <row r="711" spans="1:27" ht="15">
      <c r="A711" s="3"/>
      <c r="B711" s="3"/>
      <c r="C711" s="1536"/>
      <c r="D711" s="96"/>
      <c r="E711" s="3"/>
      <c r="F711" s="96"/>
      <c r="G711" s="3"/>
      <c r="H711" s="96"/>
      <c r="I711" s="3"/>
      <c r="J711" s="96"/>
      <c r="K711" s="3"/>
      <c r="L711" s="96"/>
      <c r="M711" s="3"/>
      <c r="N711" s="96"/>
      <c r="O711" s="3"/>
      <c r="P711" s="96"/>
      <c r="Q711" s="1265"/>
      <c r="R711" s="3"/>
      <c r="S711" s="3"/>
      <c r="T711" s="1685"/>
      <c r="U711" s="3"/>
      <c r="V711" s="96"/>
      <c r="W711" s="1265"/>
      <c r="X711" s="3"/>
      <c r="Y711" s="3"/>
      <c r="Z711" s="1569"/>
      <c r="AA711" s="96"/>
    </row>
    <row r="712" spans="1:27" ht="15">
      <c r="A712" s="3"/>
      <c r="B712" s="3"/>
      <c r="C712" s="1536"/>
      <c r="D712" s="96"/>
      <c r="E712" s="3"/>
      <c r="F712" s="96"/>
      <c r="G712" s="3"/>
      <c r="H712" s="96"/>
      <c r="I712" s="3"/>
      <c r="J712" s="96"/>
      <c r="K712" s="3"/>
      <c r="L712" s="96"/>
      <c r="M712" s="3"/>
      <c r="N712" s="96"/>
      <c r="O712" s="3"/>
      <c r="P712" s="96"/>
      <c r="Q712" s="1265"/>
      <c r="R712" s="3"/>
      <c r="S712" s="3"/>
      <c r="T712" s="1685"/>
      <c r="U712" s="3"/>
      <c r="V712" s="96"/>
      <c r="W712" s="1265"/>
      <c r="X712" s="3"/>
      <c r="Y712" s="3"/>
      <c r="Z712" s="1569"/>
      <c r="AA712" s="96"/>
    </row>
    <row r="713" spans="1:27" ht="15">
      <c r="A713" s="3"/>
      <c r="B713" s="3"/>
      <c r="C713" s="1536"/>
      <c r="D713" s="96"/>
      <c r="E713" s="3"/>
      <c r="F713" s="96"/>
      <c r="G713" s="3"/>
      <c r="H713" s="96"/>
      <c r="I713" s="3"/>
      <c r="J713" s="96"/>
      <c r="K713" s="3"/>
      <c r="L713" s="96"/>
      <c r="M713" s="3"/>
      <c r="N713" s="96"/>
      <c r="O713" s="3"/>
      <c r="P713" s="96"/>
      <c r="Q713" s="1265"/>
      <c r="R713" s="3"/>
      <c r="S713" s="3"/>
      <c r="T713" s="1685"/>
      <c r="U713" s="3"/>
      <c r="V713" s="96"/>
      <c r="W713" s="1265"/>
      <c r="X713" s="3"/>
      <c r="Y713" s="3"/>
      <c r="Z713" s="1569"/>
      <c r="AA713" s="96"/>
    </row>
    <row r="714" spans="1:27" ht="15">
      <c r="A714" s="3"/>
      <c r="B714" s="3"/>
      <c r="C714" s="1536"/>
      <c r="D714" s="96"/>
      <c r="E714" s="3"/>
      <c r="F714" s="96"/>
      <c r="G714" s="3"/>
      <c r="H714" s="96"/>
      <c r="I714" s="3"/>
      <c r="J714" s="96"/>
      <c r="K714" s="3"/>
      <c r="L714" s="96"/>
      <c r="M714" s="3"/>
      <c r="N714" s="96"/>
      <c r="O714" s="3"/>
      <c r="P714" s="96"/>
      <c r="Q714" s="1265"/>
      <c r="R714" s="3"/>
      <c r="S714" s="3"/>
      <c r="T714" s="1685"/>
      <c r="U714" s="3"/>
      <c r="V714" s="96"/>
      <c r="W714" s="1265"/>
      <c r="X714" s="3"/>
      <c r="Y714" s="3"/>
      <c r="Z714" s="1569"/>
      <c r="AA714" s="96"/>
    </row>
    <row r="715" spans="1:27" ht="15">
      <c r="A715" s="3"/>
      <c r="B715" s="3"/>
      <c r="C715" s="1536"/>
      <c r="D715" s="96"/>
      <c r="E715" s="3"/>
      <c r="F715" s="96"/>
      <c r="G715" s="3"/>
      <c r="H715" s="96"/>
      <c r="I715" s="3"/>
      <c r="J715" s="96"/>
      <c r="K715" s="3"/>
      <c r="L715" s="96"/>
      <c r="M715" s="3"/>
      <c r="N715" s="96"/>
      <c r="O715" s="3"/>
      <c r="P715" s="96"/>
      <c r="Q715" s="1265"/>
      <c r="R715" s="3"/>
      <c r="S715" s="3"/>
      <c r="T715" s="1685"/>
      <c r="U715" s="3"/>
      <c r="V715" s="96"/>
      <c r="W715" s="1265"/>
      <c r="X715" s="3"/>
      <c r="Y715" s="3"/>
      <c r="Z715" s="1569"/>
      <c r="AA715" s="96"/>
    </row>
    <row r="716" spans="1:27" ht="15">
      <c r="A716" s="3"/>
      <c r="B716" s="3"/>
      <c r="C716" s="1536"/>
      <c r="D716" s="96"/>
      <c r="E716" s="3"/>
      <c r="F716" s="96"/>
      <c r="G716" s="3"/>
      <c r="H716" s="96"/>
      <c r="I716" s="3"/>
      <c r="J716" s="96"/>
      <c r="K716" s="3"/>
      <c r="L716" s="96"/>
      <c r="M716" s="3"/>
      <c r="N716" s="96"/>
      <c r="O716" s="3"/>
      <c r="P716" s="96"/>
      <c r="Q716" s="1265"/>
      <c r="R716" s="3"/>
      <c r="S716" s="3"/>
      <c r="T716" s="1685"/>
      <c r="U716" s="3"/>
      <c r="V716" s="96"/>
      <c r="W716" s="1265"/>
      <c r="X716" s="3"/>
      <c r="Y716" s="3"/>
      <c r="Z716" s="1569"/>
      <c r="AA716" s="96"/>
    </row>
    <row r="717" spans="1:27" ht="15">
      <c r="A717" s="3"/>
      <c r="B717" s="3"/>
      <c r="C717" s="1536"/>
      <c r="D717" s="96"/>
      <c r="E717" s="3"/>
      <c r="F717" s="96"/>
      <c r="G717" s="3"/>
      <c r="H717" s="96"/>
      <c r="I717" s="3"/>
      <c r="J717" s="96"/>
      <c r="K717" s="3"/>
      <c r="L717" s="96"/>
      <c r="M717" s="3"/>
      <c r="N717" s="96"/>
      <c r="O717" s="3"/>
      <c r="P717" s="96"/>
      <c r="Q717" s="1265"/>
      <c r="R717" s="3"/>
      <c r="S717" s="3"/>
      <c r="T717" s="1685"/>
      <c r="U717" s="3"/>
      <c r="V717" s="96"/>
      <c r="W717" s="1265"/>
      <c r="X717" s="3"/>
      <c r="Y717" s="3"/>
      <c r="Z717" s="1569"/>
      <c r="AA717" s="96"/>
    </row>
    <row r="718" spans="1:27" ht="15">
      <c r="A718" s="3"/>
      <c r="B718" s="3"/>
      <c r="C718" s="1536"/>
      <c r="D718" s="96"/>
      <c r="E718" s="3"/>
      <c r="F718" s="96"/>
      <c r="G718" s="3"/>
      <c r="H718" s="96"/>
      <c r="I718" s="3"/>
      <c r="J718" s="96"/>
      <c r="K718" s="3"/>
      <c r="L718" s="96"/>
      <c r="M718" s="3"/>
      <c r="N718" s="96"/>
      <c r="O718" s="3"/>
      <c r="P718" s="96"/>
      <c r="Q718" s="1265"/>
      <c r="R718" s="3"/>
      <c r="S718" s="3"/>
      <c r="T718" s="1685"/>
      <c r="U718" s="3"/>
      <c r="V718" s="96"/>
      <c r="W718" s="1265"/>
      <c r="X718" s="3"/>
      <c r="Y718" s="3"/>
      <c r="Z718" s="1569"/>
      <c r="AA718" s="96"/>
    </row>
    <row r="719" spans="1:27" ht="15">
      <c r="A719" s="3"/>
      <c r="B719" s="3"/>
      <c r="C719" s="1536"/>
      <c r="D719" s="96"/>
      <c r="E719" s="3"/>
      <c r="F719" s="96"/>
      <c r="G719" s="3"/>
      <c r="H719" s="96"/>
      <c r="I719" s="3"/>
      <c r="J719" s="96"/>
      <c r="K719" s="3"/>
      <c r="L719" s="96"/>
      <c r="M719" s="3"/>
      <c r="N719" s="96"/>
      <c r="O719" s="3"/>
      <c r="P719" s="96"/>
      <c r="Q719" s="1265"/>
      <c r="R719" s="3"/>
      <c r="S719" s="3"/>
      <c r="T719" s="1685"/>
      <c r="U719" s="3"/>
      <c r="V719" s="96"/>
      <c r="W719" s="1265"/>
      <c r="X719" s="3"/>
      <c r="Y719" s="3"/>
      <c r="Z719" s="1569"/>
      <c r="AA719" s="96"/>
    </row>
    <row r="720" spans="1:27" ht="15">
      <c r="A720" s="3"/>
      <c r="B720" s="3"/>
      <c r="C720" s="1536"/>
      <c r="D720" s="96"/>
      <c r="E720" s="3"/>
      <c r="F720" s="96"/>
      <c r="G720" s="3"/>
      <c r="H720" s="96"/>
      <c r="I720" s="3"/>
      <c r="J720" s="96"/>
      <c r="K720" s="3"/>
      <c r="L720" s="96"/>
      <c r="M720" s="3"/>
      <c r="N720" s="96"/>
      <c r="O720" s="3"/>
      <c r="P720" s="96"/>
      <c r="Q720" s="1265"/>
      <c r="R720" s="3"/>
      <c r="S720" s="3"/>
      <c r="T720" s="1685"/>
      <c r="U720" s="3"/>
      <c r="V720" s="96"/>
      <c r="W720" s="1265"/>
      <c r="X720" s="3"/>
      <c r="Y720" s="3"/>
      <c r="Z720" s="1569"/>
      <c r="AA720" s="96"/>
    </row>
    <row r="721" spans="1:27" ht="15">
      <c r="A721" s="3"/>
      <c r="B721" s="3"/>
      <c r="C721" s="1536"/>
      <c r="D721" s="96"/>
      <c r="E721" s="3"/>
      <c r="F721" s="96"/>
      <c r="G721" s="3"/>
      <c r="H721" s="96"/>
      <c r="I721" s="3"/>
      <c r="J721" s="96"/>
      <c r="K721" s="3"/>
      <c r="L721" s="96"/>
      <c r="M721" s="3"/>
      <c r="N721" s="96"/>
      <c r="O721" s="3"/>
      <c r="P721" s="96"/>
      <c r="Q721" s="1265"/>
      <c r="R721" s="3"/>
      <c r="S721" s="3"/>
      <c r="T721" s="1685"/>
      <c r="U721" s="3"/>
      <c r="V721" s="96"/>
      <c r="W721" s="1265"/>
      <c r="X721" s="3"/>
      <c r="Y721" s="3"/>
      <c r="Z721" s="1569"/>
      <c r="AA721" s="96"/>
    </row>
    <row r="722" spans="1:27" ht="15">
      <c r="A722" s="3"/>
      <c r="B722" s="3"/>
      <c r="C722" s="1536"/>
      <c r="D722" s="96"/>
      <c r="E722" s="3"/>
      <c r="F722" s="96"/>
      <c r="G722" s="3"/>
      <c r="H722" s="96"/>
      <c r="I722" s="3"/>
      <c r="J722" s="96"/>
      <c r="K722" s="3"/>
      <c r="L722" s="96"/>
      <c r="M722" s="3"/>
      <c r="N722" s="96"/>
      <c r="O722" s="3"/>
      <c r="P722" s="96"/>
      <c r="Q722" s="1265"/>
      <c r="R722" s="3"/>
      <c r="S722" s="3"/>
      <c r="T722" s="1685"/>
      <c r="U722" s="3"/>
      <c r="V722" s="96"/>
      <c r="W722" s="1265"/>
      <c r="X722" s="3"/>
      <c r="Y722" s="3"/>
      <c r="Z722" s="1569"/>
      <c r="AA722" s="96"/>
    </row>
    <row r="723" spans="1:27" ht="15">
      <c r="A723" s="3"/>
      <c r="B723" s="3"/>
      <c r="C723" s="1536"/>
      <c r="D723" s="96"/>
      <c r="E723" s="3"/>
      <c r="F723" s="96"/>
      <c r="G723" s="3"/>
      <c r="H723" s="96"/>
      <c r="I723" s="3"/>
      <c r="J723" s="96"/>
      <c r="K723" s="3"/>
      <c r="L723" s="96"/>
      <c r="M723" s="3"/>
      <c r="N723" s="96"/>
      <c r="O723" s="3"/>
      <c r="P723" s="96"/>
      <c r="Q723" s="1265"/>
      <c r="R723" s="3"/>
      <c r="S723" s="3"/>
      <c r="T723" s="1685"/>
      <c r="U723" s="3"/>
      <c r="V723" s="96"/>
      <c r="W723" s="1265"/>
      <c r="X723" s="3"/>
      <c r="Y723" s="3"/>
      <c r="Z723" s="1569"/>
      <c r="AA723" s="96"/>
    </row>
    <row r="724" spans="1:27" ht="15">
      <c r="A724" s="3"/>
      <c r="B724" s="3"/>
      <c r="C724" s="1536"/>
      <c r="D724" s="96"/>
      <c r="E724" s="3"/>
      <c r="F724" s="96"/>
      <c r="G724" s="3"/>
      <c r="H724" s="96"/>
      <c r="I724" s="3"/>
      <c r="J724" s="96"/>
      <c r="K724" s="3"/>
      <c r="L724" s="96"/>
      <c r="M724" s="3"/>
      <c r="N724" s="96"/>
      <c r="O724" s="3"/>
      <c r="P724" s="96"/>
      <c r="Q724" s="1265"/>
      <c r="R724" s="3"/>
      <c r="S724" s="3"/>
      <c r="T724" s="1685"/>
      <c r="U724" s="3"/>
      <c r="V724" s="96"/>
      <c r="W724" s="1265"/>
      <c r="X724" s="3"/>
      <c r="Y724" s="3"/>
      <c r="Z724" s="1569"/>
      <c r="AA724" s="96"/>
    </row>
    <row r="725" spans="1:27" ht="15">
      <c r="A725" s="3"/>
      <c r="B725" s="3"/>
      <c r="C725" s="1536"/>
      <c r="D725" s="96"/>
      <c r="E725" s="3"/>
      <c r="F725" s="96"/>
      <c r="G725" s="3"/>
      <c r="H725" s="96"/>
      <c r="I725" s="3"/>
      <c r="J725" s="96"/>
      <c r="K725" s="3"/>
      <c r="L725" s="96"/>
      <c r="M725" s="3"/>
      <c r="N725" s="96"/>
      <c r="O725" s="3"/>
      <c r="P725" s="96"/>
      <c r="Q725" s="1265"/>
      <c r="R725" s="3"/>
      <c r="S725" s="3"/>
      <c r="T725" s="1685"/>
      <c r="U725" s="3"/>
      <c r="V725" s="96"/>
      <c r="W725" s="1265"/>
      <c r="X725" s="3"/>
      <c r="Y725" s="3"/>
      <c r="Z725" s="1569"/>
      <c r="AA725" s="96"/>
    </row>
    <row r="726" spans="1:27" ht="15">
      <c r="A726" s="3"/>
      <c r="B726" s="3"/>
      <c r="C726" s="1536"/>
      <c r="D726" s="96"/>
      <c r="E726" s="3"/>
      <c r="F726" s="96"/>
      <c r="G726" s="3"/>
      <c r="H726" s="96"/>
      <c r="I726" s="3"/>
      <c r="J726" s="96"/>
      <c r="K726" s="3"/>
      <c r="L726" s="96"/>
      <c r="M726" s="3"/>
      <c r="N726" s="96"/>
      <c r="O726" s="3"/>
      <c r="P726" s="96"/>
      <c r="Q726" s="1265"/>
      <c r="R726" s="3"/>
      <c r="S726" s="3"/>
      <c r="T726" s="1685"/>
      <c r="U726" s="3"/>
      <c r="V726" s="96"/>
      <c r="W726" s="1265"/>
      <c r="X726" s="3"/>
      <c r="Y726" s="3"/>
      <c r="Z726" s="1569"/>
      <c r="AA726" s="96"/>
    </row>
    <row r="727" spans="1:27" ht="15">
      <c r="A727" s="3"/>
      <c r="B727" s="3"/>
      <c r="C727" s="1536"/>
      <c r="D727" s="96"/>
      <c r="E727" s="3"/>
      <c r="F727" s="96"/>
      <c r="G727" s="3"/>
      <c r="H727" s="96"/>
      <c r="I727" s="3"/>
      <c r="J727" s="96"/>
      <c r="K727" s="3"/>
      <c r="L727" s="96"/>
      <c r="M727" s="3"/>
      <c r="N727" s="96"/>
      <c r="O727" s="3"/>
      <c r="P727" s="96"/>
      <c r="Q727" s="1265"/>
      <c r="R727" s="3"/>
      <c r="S727" s="3"/>
      <c r="T727" s="1685"/>
      <c r="U727" s="3"/>
      <c r="V727" s="96"/>
      <c r="W727" s="1265"/>
      <c r="X727" s="3"/>
      <c r="Y727" s="3"/>
      <c r="Z727" s="1569"/>
      <c r="AA727" s="96"/>
    </row>
    <row r="728" spans="1:27" ht="15">
      <c r="A728" s="3"/>
      <c r="B728" s="3"/>
      <c r="C728" s="1536"/>
      <c r="D728" s="96"/>
      <c r="E728" s="3"/>
      <c r="F728" s="96"/>
      <c r="G728" s="3"/>
      <c r="H728" s="96"/>
      <c r="I728" s="3"/>
      <c r="J728" s="96"/>
      <c r="K728" s="3"/>
      <c r="L728" s="96"/>
      <c r="M728" s="3"/>
      <c r="N728" s="96"/>
      <c r="O728" s="3"/>
      <c r="P728" s="96"/>
      <c r="Q728" s="1265"/>
      <c r="R728" s="3"/>
      <c r="S728" s="3"/>
      <c r="T728" s="1685"/>
      <c r="U728" s="3"/>
      <c r="V728" s="96"/>
      <c r="W728" s="1265"/>
      <c r="X728" s="3"/>
      <c r="Y728" s="3"/>
      <c r="Z728" s="1569"/>
      <c r="AA728" s="96"/>
    </row>
    <row r="729" spans="1:27" ht="15">
      <c r="A729" s="3"/>
      <c r="B729" s="3"/>
      <c r="C729" s="1536"/>
      <c r="D729" s="96"/>
      <c r="E729" s="3"/>
      <c r="F729" s="96"/>
      <c r="G729" s="3"/>
      <c r="H729" s="96"/>
      <c r="I729" s="3"/>
      <c r="J729" s="96"/>
      <c r="K729" s="3"/>
      <c r="L729" s="96"/>
      <c r="M729" s="3"/>
      <c r="N729" s="96"/>
      <c r="O729" s="3"/>
      <c r="P729" s="96"/>
      <c r="Q729" s="1265"/>
      <c r="R729" s="3"/>
      <c r="S729" s="3"/>
      <c r="T729" s="1685"/>
      <c r="U729" s="3"/>
      <c r="V729" s="96"/>
      <c r="W729" s="1265"/>
      <c r="X729" s="3"/>
      <c r="Y729" s="3"/>
      <c r="Z729" s="1569"/>
      <c r="AA729" s="96"/>
    </row>
    <row r="730" spans="1:27" ht="15">
      <c r="A730" s="3"/>
      <c r="B730" s="3"/>
      <c r="C730" s="1536"/>
      <c r="D730" s="96"/>
      <c r="E730" s="3"/>
      <c r="F730" s="96"/>
      <c r="G730" s="3"/>
      <c r="H730" s="96"/>
      <c r="I730" s="3"/>
      <c r="J730" s="96"/>
      <c r="K730" s="3"/>
      <c r="L730" s="96"/>
      <c r="M730" s="3"/>
      <c r="N730" s="96"/>
      <c r="O730" s="3"/>
      <c r="P730" s="96"/>
      <c r="Q730" s="1265"/>
      <c r="R730" s="3"/>
      <c r="S730" s="3"/>
      <c r="T730" s="1685"/>
      <c r="U730" s="3"/>
      <c r="V730" s="96"/>
      <c r="W730" s="1265"/>
      <c r="X730" s="3"/>
      <c r="Y730" s="3"/>
      <c r="Z730" s="1569"/>
      <c r="AA730" s="96"/>
    </row>
    <row r="731" spans="1:27" ht="15">
      <c r="A731" s="3"/>
      <c r="B731" s="3"/>
      <c r="C731" s="1536"/>
      <c r="D731" s="96"/>
      <c r="E731" s="3"/>
      <c r="F731" s="96"/>
      <c r="G731" s="3"/>
      <c r="H731" s="96"/>
      <c r="I731" s="3"/>
      <c r="J731" s="96"/>
      <c r="K731" s="3"/>
      <c r="L731" s="96"/>
      <c r="M731" s="3"/>
      <c r="N731" s="96"/>
      <c r="O731" s="3"/>
      <c r="P731" s="96"/>
      <c r="Q731" s="1265"/>
      <c r="R731" s="3"/>
      <c r="S731" s="3"/>
      <c r="T731" s="1685"/>
      <c r="U731" s="3"/>
      <c r="V731" s="96"/>
      <c r="W731" s="1265"/>
      <c r="X731" s="3"/>
      <c r="Y731" s="3"/>
      <c r="Z731" s="1569"/>
      <c r="AA731" s="96"/>
    </row>
    <row r="732" spans="1:27" ht="15">
      <c r="A732" s="3"/>
      <c r="B732" s="3"/>
      <c r="C732" s="1536"/>
      <c r="D732" s="96"/>
      <c r="E732" s="3"/>
      <c r="F732" s="96"/>
      <c r="G732" s="3"/>
      <c r="H732" s="96"/>
      <c r="I732" s="3"/>
      <c r="J732" s="96"/>
      <c r="K732" s="3"/>
      <c r="L732" s="96"/>
      <c r="M732" s="3"/>
      <c r="N732" s="96"/>
      <c r="O732" s="3"/>
      <c r="P732" s="96"/>
      <c r="Q732" s="1265"/>
      <c r="R732" s="3"/>
      <c r="S732" s="3"/>
      <c r="T732" s="1685"/>
      <c r="U732" s="3"/>
      <c r="V732" s="96"/>
      <c r="W732" s="1265"/>
      <c r="X732" s="3"/>
      <c r="Y732" s="3"/>
      <c r="Z732" s="1569"/>
      <c r="AA732" s="96"/>
    </row>
    <row r="733" spans="1:27" ht="15">
      <c r="A733" s="3"/>
      <c r="B733" s="3"/>
      <c r="C733" s="1536"/>
      <c r="D733" s="96"/>
      <c r="E733" s="3"/>
      <c r="F733" s="96"/>
      <c r="G733" s="3"/>
      <c r="H733" s="96"/>
      <c r="I733" s="3"/>
      <c r="J733" s="96"/>
      <c r="K733" s="3"/>
      <c r="L733" s="96"/>
      <c r="M733" s="3"/>
      <c r="N733" s="96"/>
      <c r="O733" s="3"/>
      <c r="P733" s="96"/>
      <c r="Q733" s="1265"/>
      <c r="R733" s="3"/>
      <c r="S733" s="3"/>
      <c r="T733" s="1685"/>
      <c r="U733" s="3"/>
      <c r="V733" s="96"/>
      <c r="W733" s="1265"/>
      <c r="X733" s="3"/>
      <c r="Y733" s="3"/>
      <c r="Z733" s="1569"/>
      <c r="AA733" s="96"/>
    </row>
    <row r="734" spans="1:27" ht="15">
      <c r="A734" s="3"/>
      <c r="B734" s="3"/>
      <c r="C734" s="1536"/>
      <c r="D734" s="96"/>
      <c r="E734" s="3"/>
      <c r="F734" s="96"/>
      <c r="G734" s="3"/>
      <c r="H734" s="96"/>
      <c r="I734" s="3"/>
      <c r="J734" s="96"/>
      <c r="K734" s="3"/>
      <c r="L734" s="96"/>
      <c r="M734" s="3"/>
      <c r="N734" s="96"/>
      <c r="O734" s="3"/>
      <c r="P734" s="96"/>
      <c r="Q734" s="1265"/>
      <c r="R734" s="3"/>
      <c r="S734" s="3"/>
      <c r="T734" s="1685"/>
      <c r="U734" s="3"/>
      <c r="V734" s="96"/>
      <c r="W734" s="1265"/>
      <c r="X734" s="3"/>
      <c r="Y734" s="3"/>
      <c r="Z734" s="1569"/>
      <c r="AA734" s="96"/>
    </row>
    <row r="735" spans="1:27" ht="15">
      <c r="A735" s="3"/>
      <c r="B735" s="3"/>
      <c r="C735" s="1536"/>
      <c r="D735" s="96"/>
      <c r="E735" s="3"/>
      <c r="F735" s="96"/>
      <c r="G735" s="3"/>
      <c r="H735" s="96"/>
      <c r="I735" s="3"/>
      <c r="J735" s="96"/>
      <c r="K735" s="3"/>
      <c r="L735" s="96"/>
      <c r="M735" s="3"/>
      <c r="N735" s="96"/>
      <c r="O735" s="3"/>
      <c r="P735" s="96"/>
      <c r="Q735" s="1265"/>
      <c r="R735" s="3"/>
      <c r="S735" s="3"/>
      <c r="T735" s="1685"/>
      <c r="U735" s="3"/>
      <c r="V735" s="96"/>
      <c r="W735" s="1265"/>
      <c r="X735" s="3"/>
      <c r="Y735" s="3"/>
      <c r="Z735" s="1569"/>
      <c r="AA735" s="96"/>
    </row>
    <row r="736" spans="1:27" ht="15">
      <c r="A736" s="3"/>
      <c r="B736" s="3"/>
      <c r="C736" s="1536"/>
      <c r="D736" s="96"/>
      <c r="E736" s="3"/>
      <c r="F736" s="96"/>
      <c r="G736" s="3"/>
      <c r="H736" s="96"/>
      <c r="I736" s="3"/>
      <c r="J736" s="96"/>
      <c r="K736" s="3"/>
      <c r="L736" s="96"/>
      <c r="M736" s="3"/>
      <c r="N736" s="96"/>
      <c r="O736" s="3"/>
      <c r="P736" s="96"/>
      <c r="Q736" s="1265"/>
      <c r="R736" s="3"/>
      <c r="S736" s="3"/>
      <c r="T736" s="1685"/>
      <c r="U736" s="3"/>
      <c r="V736" s="96"/>
      <c r="W736" s="1265"/>
      <c r="X736" s="3"/>
      <c r="Y736" s="3"/>
      <c r="Z736" s="1569"/>
      <c r="AA736" s="96"/>
    </row>
    <row r="737" spans="1:27" ht="15">
      <c r="A737" s="3"/>
      <c r="B737" s="3"/>
      <c r="C737" s="1536"/>
      <c r="D737" s="96"/>
      <c r="E737" s="3"/>
      <c r="F737" s="96"/>
      <c r="G737" s="3"/>
      <c r="H737" s="96"/>
      <c r="I737" s="3"/>
      <c r="J737" s="96"/>
      <c r="K737" s="3"/>
      <c r="L737" s="96"/>
      <c r="M737" s="3"/>
      <c r="N737" s="96"/>
      <c r="O737" s="3"/>
      <c r="P737" s="96"/>
      <c r="Q737" s="1265"/>
      <c r="R737" s="3"/>
      <c r="S737" s="3"/>
      <c r="T737" s="1685"/>
      <c r="U737" s="3"/>
      <c r="V737" s="96"/>
      <c r="W737" s="1265"/>
      <c r="X737" s="3"/>
      <c r="Y737" s="3"/>
      <c r="Z737" s="1569"/>
      <c r="AA737" s="96"/>
    </row>
    <row r="738" spans="1:27" ht="15">
      <c r="A738" s="3"/>
      <c r="B738" s="3"/>
      <c r="C738" s="1536"/>
      <c r="D738" s="96"/>
      <c r="E738" s="3"/>
      <c r="F738" s="96"/>
      <c r="G738" s="3"/>
      <c r="H738" s="96"/>
      <c r="I738" s="3"/>
      <c r="J738" s="96"/>
      <c r="K738" s="3"/>
      <c r="L738" s="96"/>
      <c r="M738" s="3"/>
      <c r="N738" s="96"/>
      <c r="O738" s="3"/>
      <c r="P738" s="96"/>
      <c r="Q738" s="1265"/>
      <c r="R738" s="3"/>
      <c r="S738" s="3"/>
      <c r="T738" s="1685"/>
      <c r="U738" s="3"/>
      <c r="V738" s="96"/>
      <c r="W738" s="1265"/>
      <c r="X738" s="3"/>
      <c r="Y738" s="3"/>
      <c r="Z738" s="1569"/>
      <c r="AA738" s="96"/>
    </row>
    <row r="739" spans="1:27" ht="15">
      <c r="A739" s="3"/>
      <c r="B739" s="3"/>
      <c r="C739" s="1536"/>
      <c r="D739" s="96"/>
      <c r="E739" s="3"/>
      <c r="F739" s="96"/>
      <c r="G739" s="3"/>
      <c r="H739" s="96"/>
      <c r="I739" s="3"/>
      <c r="J739" s="96"/>
      <c r="K739" s="3"/>
      <c r="L739" s="96"/>
      <c r="M739" s="3"/>
      <c r="N739" s="96"/>
      <c r="O739" s="3"/>
      <c r="P739" s="96"/>
      <c r="Q739" s="1265"/>
      <c r="R739" s="3"/>
      <c r="S739" s="3"/>
      <c r="T739" s="1685"/>
      <c r="U739" s="3"/>
      <c r="V739" s="96"/>
      <c r="W739" s="1265"/>
      <c r="X739" s="3"/>
      <c r="Y739" s="3"/>
      <c r="Z739" s="1569"/>
      <c r="AA739" s="96"/>
    </row>
    <row r="740" spans="1:27" ht="15">
      <c r="A740" s="3"/>
      <c r="B740" s="3"/>
      <c r="C740" s="1536"/>
      <c r="D740" s="96"/>
      <c r="E740" s="3"/>
      <c r="F740" s="96"/>
      <c r="G740" s="3"/>
      <c r="H740" s="96"/>
      <c r="I740" s="3"/>
      <c r="J740" s="96"/>
      <c r="K740" s="3"/>
      <c r="L740" s="96"/>
      <c r="M740" s="3"/>
      <c r="N740" s="96"/>
      <c r="O740" s="3"/>
      <c r="P740" s="96"/>
      <c r="Q740" s="1265"/>
      <c r="R740" s="3"/>
      <c r="S740" s="3"/>
      <c r="T740" s="1685"/>
      <c r="U740" s="3"/>
      <c r="V740" s="96"/>
      <c r="W740" s="1265"/>
      <c r="X740" s="3"/>
      <c r="Y740" s="3"/>
      <c r="Z740" s="1569"/>
      <c r="AA740" s="96"/>
    </row>
    <row r="741" spans="1:27" ht="15">
      <c r="A741" s="3"/>
      <c r="B741" s="3"/>
      <c r="C741" s="1536"/>
      <c r="D741" s="96"/>
      <c r="E741" s="3"/>
      <c r="F741" s="96"/>
      <c r="G741" s="3"/>
      <c r="H741" s="96"/>
      <c r="I741" s="3"/>
      <c r="J741" s="96"/>
      <c r="K741" s="3"/>
      <c r="L741" s="96"/>
      <c r="M741" s="3"/>
      <c r="N741" s="96"/>
      <c r="O741" s="3"/>
      <c r="P741" s="96"/>
      <c r="Q741" s="1265"/>
      <c r="R741" s="3"/>
      <c r="S741" s="3"/>
      <c r="T741" s="1685"/>
      <c r="U741" s="3"/>
      <c r="V741" s="96"/>
      <c r="W741" s="1265"/>
      <c r="X741" s="3"/>
      <c r="Y741" s="3"/>
      <c r="Z741" s="1569"/>
      <c r="AA741" s="96"/>
    </row>
    <row r="742" spans="1:27" ht="15">
      <c r="A742" s="3"/>
      <c r="B742" s="3"/>
      <c r="C742" s="1536"/>
      <c r="D742" s="96"/>
      <c r="E742" s="3"/>
      <c r="F742" s="96"/>
      <c r="G742" s="3"/>
      <c r="H742" s="96"/>
      <c r="I742" s="3"/>
      <c r="J742" s="96"/>
      <c r="K742" s="3"/>
      <c r="L742" s="96"/>
      <c r="M742" s="3"/>
      <c r="N742" s="96"/>
      <c r="O742" s="3"/>
      <c r="P742" s="96"/>
      <c r="Q742" s="1265"/>
      <c r="R742" s="3"/>
      <c r="S742" s="3"/>
      <c r="T742" s="1685"/>
      <c r="U742" s="3"/>
      <c r="V742" s="96"/>
      <c r="W742" s="1265"/>
      <c r="X742" s="3"/>
      <c r="Y742" s="3"/>
      <c r="Z742" s="1569"/>
      <c r="AA742" s="96"/>
    </row>
    <row r="743" spans="1:27" ht="15">
      <c r="A743" s="3"/>
      <c r="B743" s="3"/>
      <c r="C743" s="1536"/>
      <c r="D743" s="96"/>
      <c r="E743" s="3"/>
      <c r="F743" s="96"/>
      <c r="G743" s="3"/>
      <c r="H743" s="96"/>
      <c r="I743" s="3"/>
      <c r="J743" s="96"/>
      <c r="K743" s="3"/>
      <c r="L743" s="96"/>
      <c r="M743" s="3"/>
      <c r="N743" s="96"/>
      <c r="O743" s="3"/>
      <c r="P743" s="96"/>
      <c r="Q743" s="1265"/>
      <c r="R743" s="3"/>
      <c r="S743" s="3"/>
      <c r="T743" s="1685"/>
      <c r="U743" s="3"/>
      <c r="V743" s="96"/>
      <c r="W743" s="1265"/>
      <c r="X743" s="3"/>
      <c r="Y743" s="3"/>
      <c r="Z743" s="1569"/>
      <c r="AA743" s="96"/>
    </row>
    <row r="744" spans="1:27" ht="15">
      <c r="A744" s="3"/>
      <c r="B744" s="3"/>
      <c r="C744" s="1536"/>
      <c r="D744" s="96"/>
      <c r="E744" s="3"/>
      <c r="F744" s="96"/>
      <c r="G744" s="3"/>
      <c r="H744" s="96"/>
      <c r="I744" s="3"/>
      <c r="J744" s="96"/>
      <c r="K744" s="3"/>
      <c r="L744" s="96"/>
      <c r="M744" s="3"/>
      <c r="N744" s="96"/>
      <c r="O744" s="3"/>
      <c r="P744" s="96"/>
      <c r="Q744" s="1265"/>
      <c r="R744" s="3"/>
      <c r="S744" s="3"/>
      <c r="T744" s="1685"/>
      <c r="U744" s="3"/>
      <c r="V744" s="96"/>
      <c r="W744" s="1265"/>
      <c r="X744" s="3"/>
      <c r="Y744" s="3"/>
      <c r="Z744" s="1569"/>
      <c r="AA744" s="96"/>
    </row>
    <row r="745" spans="1:27" ht="15">
      <c r="A745" s="3"/>
      <c r="B745" s="3"/>
      <c r="C745" s="1536"/>
      <c r="D745" s="96"/>
      <c r="E745" s="3"/>
      <c r="F745" s="96"/>
      <c r="G745" s="3"/>
      <c r="H745" s="96"/>
      <c r="I745" s="3"/>
      <c r="J745" s="96"/>
      <c r="K745" s="3"/>
      <c r="L745" s="96"/>
      <c r="M745" s="3"/>
      <c r="N745" s="96"/>
      <c r="O745" s="3"/>
      <c r="P745" s="96"/>
      <c r="Q745" s="1265"/>
      <c r="R745" s="3"/>
      <c r="S745" s="3"/>
      <c r="T745" s="1685"/>
      <c r="U745" s="3"/>
      <c r="V745" s="96"/>
      <c r="W745" s="1265"/>
      <c r="X745" s="3"/>
      <c r="Y745" s="3"/>
      <c r="Z745" s="1569"/>
      <c r="AA745" s="96"/>
    </row>
    <row r="746" spans="1:27" ht="15">
      <c r="A746" s="3"/>
      <c r="B746" s="3"/>
      <c r="C746" s="1536"/>
      <c r="D746" s="96"/>
      <c r="E746" s="3"/>
      <c r="F746" s="96"/>
      <c r="G746" s="3"/>
      <c r="H746" s="96"/>
      <c r="I746" s="3"/>
      <c r="J746" s="96"/>
      <c r="K746" s="3"/>
      <c r="L746" s="96"/>
      <c r="M746" s="3"/>
      <c r="N746" s="96"/>
      <c r="O746" s="3"/>
      <c r="P746" s="96"/>
      <c r="Q746" s="1265"/>
      <c r="R746" s="3"/>
      <c r="S746" s="3"/>
      <c r="T746" s="1685"/>
      <c r="U746" s="3"/>
      <c r="V746" s="96"/>
      <c r="W746" s="1265"/>
      <c r="X746" s="3"/>
      <c r="Y746" s="3"/>
      <c r="Z746" s="1569"/>
      <c r="AA746" s="96"/>
    </row>
    <row r="747" spans="1:27" ht="15">
      <c r="A747" s="3"/>
      <c r="B747" s="3"/>
      <c r="C747" s="1536"/>
      <c r="D747" s="96"/>
      <c r="E747" s="3"/>
      <c r="F747" s="96"/>
      <c r="G747" s="3"/>
      <c r="H747" s="96"/>
      <c r="I747" s="3"/>
      <c r="J747" s="96"/>
      <c r="K747" s="3"/>
      <c r="L747" s="96"/>
      <c r="M747" s="3"/>
      <c r="N747" s="96"/>
      <c r="O747" s="3"/>
      <c r="P747" s="96"/>
      <c r="Q747" s="1265"/>
      <c r="R747" s="3"/>
      <c r="S747" s="3"/>
      <c r="T747" s="1685"/>
      <c r="U747" s="3"/>
      <c r="V747" s="96"/>
      <c r="W747" s="1265"/>
      <c r="X747" s="3"/>
      <c r="Y747" s="3"/>
      <c r="Z747" s="1569"/>
      <c r="AA747" s="96"/>
    </row>
    <row r="748" spans="1:27" ht="15">
      <c r="A748" s="3"/>
      <c r="B748" s="3"/>
      <c r="C748" s="1536"/>
      <c r="D748" s="96"/>
      <c r="E748" s="3"/>
      <c r="F748" s="96"/>
      <c r="G748" s="3"/>
      <c r="H748" s="96"/>
      <c r="I748" s="3"/>
      <c r="J748" s="96"/>
      <c r="K748" s="3"/>
      <c r="L748" s="96"/>
      <c r="M748" s="3"/>
      <c r="N748" s="96"/>
      <c r="O748" s="3"/>
      <c r="P748" s="96"/>
      <c r="Q748" s="1265"/>
      <c r="R748" s="3"/>
      <c r="S748" s="3"/>
      <c r="T748" s="1685"/>
      <c r="U748" s="3"/>
      <c r="V748" s="96"/>
      <c r="W748" s="1265"/>
      <c r="X748" s="3"/>
      <c r="Y748" s="3"/>
      <c r="Z748" s="1569"/>
      <c r="AA748" s="96"/>
    </row>
    <row r="749" spans="1:27" ht="15">
      <c r="A749" s="3"/>
      <c r="B749" s="3"/>
      <c r="C749" s="1536"/>
      <c r="D749" s="96"/>
      <c r="E749" s="3"/>
      <c r="F749" s="96"/>
      <c r="G749" s="3"/>
      <c r="H749" s="96"/>
      <c r="I749" s="3"/>
      <c r="J749" s="96"/>
      <c r="K749" s="3"/>
      <c r="L749" s="96"/>
      <c r="M749" s="3"/>
      <c r="N749" s="96"/>
      <c r="O749" s="3"/>
      <c r="P749" s="96"/>
      <c r="Q749" s="1265"/>
      <c r="R749" s="3"/>
      <c r="S749" s="3"/>
      <c r="T749" s="1685"/>
      <c r="U749" s="3"/>
      <c r="V749" s="96"/>
      <c r="W749" s="1265"/>
      <c r="X749" s="3"/>
      <c r="Y749" s="3"/>
      <c r="Z749" s="1569"/>
      <c r="AA749" s="96"/>
    </row>
    <row r="750" spans="1:27" ht="15">
      <c r="A750" s="3"/>
      <c r="B750" s="3"/>
      <c r="C750" s="1536"/>
      <c r="D750" s="96"/>
      <c r="E750" s="3"/>
      <c r="F750" s="96"/>
      <c r="G750" s="3"/>
      <c r="H750" s="96"/>
      <c r="I750" s="3"/>
      <c r="J750" s="96"/>
      <c r="K750" s="3"/>
      <c r="L750" s="96"/>
      <c r="M750" s="3"/>
      <c r="N750" s="96"/>
      <c r="O750" s="3"/>
      <c r="P750" s="96"/>
      <c r="Q750" s="1265"/>
      <c r="R750" s="3"/>
      <c r="S750" s="3"/>
      <c r="T750" s="1685"/>
      <c r="U750" s="3"/>
      <c r="V750" s="96"/>
      <c r="W750" s="1265"/>
      <c r="X750" s="3"/>
      <c r="Y750" s="3"/>
      <c r="Z750" s="1569"/>
      <c r="AA750" s="96"/>
    </row>
    <row r="751" spans="1:27" ht="15">
      <c r="A751" s="3"/>
      <c r="B751" s="3"/>
      <c r="C751" s="1536"/>
      <c r="D751" s="96"/>
      <c r="E751" s="3"/>
      <c r="F751" s="96"/>
      <c r="G751" s="3"/>
      <c r="H751" s="96"/>
      <c r="I751" s="3"/>
      <c r="J751" s="96"/>
      <c r="K751" s="3"/>
      <c r="L751" s="96"/>
      <c r="M751" s="3"/>
      <c r="N751" s="96"/>
      <c r="O751" s="3"/>
      <c r="P751" s="96"/>
      <c r="Q751" s="1265"/>
      <c r="R751" s="3"/>
      <c r="S751" s="3"/>
      <c r="T751" s="1685"/>
      <c r="U751" s="3"/>
      <c r="V751" s="96"/>
      <c r="W751" s="1265"/>
      <c r="X751" s="3"/>
      <c r="Y751" s="3"/>
      <c r="Z751" s="1569"/>
      <c r="AA751" s="96"/>
    </row>
    <row r="752" spans="1:27" ht="15">
      <c r="A752" s="3"/>
      <c r="B752" s="3"/>
      <c r="C752" s="1536"/>
      <c r="D752" s="96"/>
      <c r="E752" s="3"/>
      <c r="F752" s="96"/>
      <c r="G752" s="3"/>
      <c r="H752" s="96"/>
      <c r="I752" s="3"/>
      <c r="J752" s="96"/>
      <c r="K752" s="3"/>
      <c r="L752" s="96"/>
      <c r="M752" s="3"/>
      <c r="N752" s="96"/>
      <c r="O752" s="3"/>
      <c r="P752" s="96"/>
      <c r="Q752" s="1265"/>
      <c r="R752" s="3"/>
      <c r="S752" s="3"/>
      <c r="T752" s="1685"/>
      <c r="U752" s="3"/>
      <c r="V752" s="96"/>
      <c r="W752" s="1265"/>
      <c r="X752" s="3"/>
      <c r="Y752" s="3"/>
      <c r="Z752" s="1569"/>
      <c r="AA752" s="96"/>
    </row>
    <row r="753" spans="1:27" ht="15">
      <c r="A753" s="3"/>
      <c r="B753" s="3"/>
      <c r="C753" s="1536"/>
      <c r="D753" s="96"/>
      <c r="E753" s="3"/>
      <c r="F753" s="96"/>
      <c r="G753" s="3"/>
      <c r="H753" s="96"/>
      <c r="I753" s="3"/>
      <c r="J753" s="96"/>
      <c r="K753" s="3"/>
      <c r="L753" s="96"/>
      <c r="M753" s="3"/>
      <c r="N753" s="96"/>
      <c r="O753" s="3"/>
      <c r="P753" s="96"/>
      <c r="Q753" s="1265"/>
      <c r="R753" s="3"/>
      <c r="S753" s="3"/>
      <c r="T753" s="1685"/>
      <c r="U753" s="3"/>
      <c r="V753" s="96"/>
      <c r="W753" s="1265"/>
      <c r="X753" s="3"/>
      <c r="Y753" s="3"/>
      <c r="Z753" s="1569"/>
      <c r="AA753" s="96"/>
    </row>
    <row r="754" spans="1:27" ht="15">
      <c r="A754" s="3"/>
      <c r="B754" s="3"/>
      <c r="C754" s="1536"/>
      <c r="D754" s="96"/>
      <c r="E754" s="3"/>
      <c r="F754" s="96"/>
      <c r="G754" s="3"/>
      <c r="H754" s="96"/>
      <c r="I754" s="3"/>
      <c r="J754" s="96"/>
      <c r="K754" s="3"/>
      <c r="L754" s="96"/>
      <c r="M754" s="3"/>
      <c r="N754" s="96"/>
      <c r="O754" s="3"/>
      <c r="P754" s="96"/>
      <c r="Q754" s="1265"/>
      <c r="R754" s="3"/>
      <c r="S754" s="3"/>
      <c r="T754" s="1685"/>
      <c r="U754" s="3"/>
      <c r="V754" s="96"/>
      <c r="W754" s="1265"/>
      <c r="X754" s="3"/>
      <c r="Y754" s="3"/>
      <c r="Z754" s="1569"/>
      <c r="AA754" s="96"/>
    </row>
    <row r="755" spans="1:27" ht="15">
      <c r="A755" s="3"/>
      <c r="B755" s="3"/>
      <c r="C755" s="1536"/>
      <c r="D755" s="96"/>
      <c r="E755" s="3"/>
      <c r="F755" s="96"/>
      <c r="G755" s="3"/>
      <c r="H755" s="96"/>
      <c r="I755" s="3"/>
      <c r="J755" s="96"/>
      <c r="K755" s="3"/>
      <c r="L755" s="96"/>
      <c r="M755" s="3"/>
      <c r="N755" s="96"/>
      <c r="O755" s="3"/>
      <c r="P755" s="96"/>
      <c r="Q755" s="1265"/>
      <c r="R755" s="3"/>
      <c r="S755" s="3"/>
      <c r="T755" s="1685"/>
      <c r="U755" s="3"/>
      <c r="V755" s="96"/>
      <c r="W755" s="1265"/>
      <c r="X755" s="3"/>
      <c r="Y755" s="3"/>
      <c r="Z755" s="1569"/>
      <c r="AA755" s="96"/>
    </row>
    <row r="756" spans="1:27" ht="15">
      <c r="A756" s="3"/>
      <c r="B756" s="3"/>
      <c r="C756" s="1536"/>
      <c r="D756" s="96"/>
      <c r="E756" s="3"/>
      <c r="F756" s="96"/>
      <c r="G756" s="3"/>
      <c r="H756" s="96"/>
      <c r="I756" s="3"/>
      <c r="J756" s="96"/>
      <c r="K756" s="3"/>
      <c r="L756" s="96"/>
      <c r="M756" s="3"/>
      <c r="N756" s="96"/>
      <c r="O756" s="3"/>
      <c r="P756" s="96"/>
      <c r="Q756" s="1265"/>
      <c r="R756" s="3"/>
      <c r="S756" s="3"/>
      <c r="T756" s="1685"/>
      <c r="U756" s="3"/>
      <c r="V756" s="96"/>
      <c r="W756" s="1265"/>
      <c r="X756" s="3"/>
      <c r="Y756" s="3"/>
      <c r="Z756" s="1569"/>
      <c r="AA756" s="96"/>
    </row>
    <row r="757" spans="1:27" ht="15">
      <c r="A757" s="3"/>
      <c r="B757" s="3"/>
      <c r="C757" s="1536"/>
      <c r="D757" s="96"/>
      <c r="E757" s="3"/>
      <c r="F757" s="96"/>
      <c r="G757" s="3"/>
      <c r="H757" s="96"/>
      <c r="I757" s="3"/>
      <c r="J757" s="96"/>
      <c r="K757" s="3"/>
      <c r="L757" s="96"/>
      <c r="M757" s="3"/>
      <c r="N757" s="96"/>
      <c r="O757" s="3"/>
      <c r="P757" s="96"/>
      <c r="Q757" s="1265"/>
      <c r="R757" s="3"/>
      <c r="S757" s="3"/>
      <c r="T757" s="1685"/>
      <c r="U757" s="3"/>
      <c r="V757" s="96"/>
      <c r="W757" s="1265"/>
      <c r="X757" s="3"/>
      <c r="Y757" s="3"/>
      <c r="Z757" s="1569"/>
      <c r="AA757" s="96"/>
    </row>
    <row r="758" spans="1:27" ht="15">
      <c r="A758" s="3"/>
      <c r="B758" s="3"/>
      <c r="C758" s="1536"/>
      <c r="D758" s="96"/>
      <c r="E758" s="3"/>
      <c r="F758" s="96"/>
      <c r="G758" s="3"/>
      <c r="H758" s="96"/>
      <c r="I758" s="3"/>
      <c r="J758" s="96"/>
      <c r="K758" s="3"/>
      <c r="L758" s="96"/>
      <c r="M758" s="3"/>
      <c r="N758" s="96"/>
      <c r="O758" s="3"/>
      <c r="P758" s="96"/>
      <c r="Q758" s="1265"/>
      <c r="R758" s="3"/>
      <c r="S758" s="3"/>
      <c r="T758" s="1685"/>
      <c r="U758" s="3"/>
      <c r="V758" s="96"/>
      <c r="W758" s="1265"/>
      <c r="X758" s="3"/>
      <c r="Y758" s="3"/>
      <c r="Z758" s="1569"/>
      <c r="AA758" s="96"/>
    </row>
    <row r="759" spans="1:27" ht="15">
      <c r="A759" s="3"/>
      <c r="B759" s="3"/>
      <c r="C759" s="1536"/>
      <c r="D759" s="96"/>
      <c r="E759" s="3"/>
      <c r="F759" s="96"/>
      <c r="G759" s="3"/>
      <c r="H759" s="96"/>
      <c r="I759" s="3"/>
      <c r="J759" s="96"/>
      <c r="K759" s="3"/>
      <c r="L759" s="96"/>
      <c r="M759" s="3"/>
      <c r="N759" s="96"/>
      <c r="O759" s="3"/>
      <c r="P759" s="96"/>
      <c r="Q759" s="1265"/>
      <c r="R759" s="3"/>
      <c r="S759" s="3"/>
      <c r="T759" s="1685"/>
      <c r="U759" s="3"/>
      <c r="V759" s="96"/>
      <c r="W759" s="1265"/>
      <c r="X759" s="3"/>
      <c r="Y759" s="3"/>
      <c r="Z759" s="1569"/>
      <c r="AA759" s="96"/>
    </row>
    <row r="760" spans="1:27" ht="15">
      <c r="A760" s="3"/>
      <c r="B760" s="3"/>
      <c r="C760" s="1536"/>
      <c r="D760" s="96"/>
      <c r="E760" s="3"/>
      <c r="F760" s="96"/>
      <c r="G760" s="3"/>
      <c r="H760" s="96"/>
      <c r="I760" s="3"/>
      <c r="J760" s="96"/>
      <c r="K760" s="3"/>
      <c r="L760" s="96"/>
      <c r="M760" s="3"/>
      <c r="N760" s="96"/>
      <c r="O760" s="3"/>
      <c r="P760" s="96"/>
      <c r="Q760" s="1265"/>
      <c r="R760" s="3"/>
      <c r="S760" s="3"/>
      <c r="T760" s="1685"/>
      <c r="U760" s="3"/>
      <c r="V760" s="96"/>
      <c r="W760" s="1265"/>
      <c r="X760" s="3"/>
      <c r="Y760" s="3"/>
      <c r="Z760" s="1569"/>
      <c r="AA760" s="96"/>
    </row>
    <row r="761" spans="1:27" ht="15">
      <c r="A761" s="3"/>
      <c r="B761" s="3"/>
      <c r="C761" s="1536"/>
      <c r="D761" s="96"/>
      <c r="E761" s="3"/>
      <c r="F761" s="96"/>
      <c r="G761" s="3"/>
      <c r="H761" s="96"/>
      <c r="I761" s="3"/>
      <c r="J761" s="96"/>
      <c r="K761" s="3"/>
      <c r="L761" s="96"/>
      <c r="M761" s="3"/>
      <c r="N761" s="96"/>
      <c r="O761" s="3"/>
      <c r="P761" s="96"/>
      <c r="Q761" s="1265"/>
      <c r="R761" s="3"/>
      <c r="S761" s="3"/>
      <c r="T761" s="1685"/>
      <c r="U761" s="3"/>
      <c r="V761" s="96"/>
      <c r="W761" s="1265"/>
      <c r="X761" s="3"/>
      <c r="Y761" s="3"/>
      <c r="Z761" s="1569"/>
      <c r="AA761" s="96"/>
    </row>
    <row r="762" spans="1:27" ht="15">
      <c r="A762" s="3"/>
      <c r="B762" s="3"/>
      <c r="C762" s="1536"/>
      <c r="D762" s="96"/>
      <c r="E762" s="3"/>
      <c r="F762" s="96"/>
      <c r="G762" s="3"/>
      <c r="H762" s="96"/>
      <c r="I762" s="3"/>
      <c r="J762" s="96"/>
      <c r="K762" s="3"/>
      <c r="L762" s="96"/>
      <c r="M762" s="3"/>
      <c r="N762" s="96"/>
      <c r="O762" s="3"/>
      <c r="P762" s="96"/>
      <c r="Q762" s="1265"/>
      <c r="R762" s="3"/>
      <c r="S762" s="3"/>
      <c r="T762" s="1685"/>
      <c r="U762" s="3"/>
      <c r="V762" s="96"/>
      <c r="W762" s="1265"/>
      <c r="X762" s="3"/>
      <c r="Y762" s="3"/>
      <c r="Z762" s="1569"/>
      <c r="AA762" s="96"/>
    </row>
    <row r="763" spans="1:27" ht="15">
      <c r="A763" s="3"/>
      <c r="B763" s="3"/>
      <c r="C763" s="1536"/>
      <c r="D763" s="96"/>
      <c r="E763" s="3"/>
      <c r="F763" s="96"/>
      <c r="G763" s="3"/>
      <c r="H763" s="96"/>
      <c r="I763" s="3"/>
      <c r="J763" s="96"/>
      <c r="K763" s="3"/>
      <c r="L763" s="96"/>
      <c r="M763" s="3"/>
      <c r="N763" s="96"/>
      <c r="O763" s="3"/>
      <c r="P763" s="96"/>
      <c r="Q763" s="1265"/>
      <c r="R763" s="3"/>
      <c r="S763" s="3"/>
      <c r="T763" s="1685"/>
      <c r="U763" s="3"/>
      <c r="V763" s="96"/>
      <c r="W763" s="1265"/>
      <c r="X763" s="3"/>
      <c r="Y763" s="3"/>
      <c r="Z763" s="1569"/>
      <c r="AA763" s="96"/>
    </row>
    <row r="764" spans="1:27" ht="15">
      <c r="A764" s="3"/>
      <c r="B764" s="3"/>
      <c r="C764" s="1536"/>
      <c r="D764" s="96"/>
      <c r="E764" s="3"/>
      <c r="F764" s="96"/>
      <c r="G764" s="3"/>
      <c r="H764" s="96"/>
      <c r="I764" s="3"/>
      <c r="J764" s="96"/>
      <c r="K764" s="3"/>
      <c r="L764" s="96"/>
      <c r="M764" s="3"/>
      <c r="N764" s="96"/>
      <c r="O764" s="3"/>
      <c r="P764" s="96"/>
      <c r="Q764" s="1265"/>
      <c r="R764" s="3"/>
      <c r="S764" s="3"/>
      <c r="T764" s="1685"/>
      <c r="U764" s="3"/>
      <c r="V764" s="96"/>
      <c r="W764" s="1265"/>
      <c r="X764" s="3"/>
      <c r="Y764" s="3"/>
      <c r="Z764" s="1569"/>
      <c r="AA764" s="96"/>
    </row>
    <row r="765" spans="1:27" ht="15">
      <c r="A765" s="3"/>
      <c r="B765" s="3"/>
      <c r="C765" s="1536"/>
      <c r="D765" s="96"/>
      <c r="E765" s="3"/>
      <c r="F765" s="96"/>
      <c r="G765" s="3"/>
      <c r="H765" s="96"/>
      <c r="I765" s="3"/>
      <c r="J765" s="96"/>
      <c r="K765" s="3"/>
      <c r="L765" s="96"/>
      <c r="M765" s="3"/>
      <c r="N765" s="96"/>
      <c r="O765" s="3"/>
      <c r="P765" s="96"/>
      <c r="Q765" s="1265"/>
      <c r="R765" s="3"/>
      <c r="S765" s="3"/>
      <c r="T765" s="1685"/>
      <c r="U765" s="3"/>
      <c r="V765" s="96"/>
      <c r="W765" s="1265"/>
      <c r="X765" s="3"/>
      <c r="Y765" s="3"/>
      <c r="Z765" s="1569"/>
      <c r="AA765" s="96"/>
    </row>
    <row r="766" spans="1:27" ht="15">
      <c r="A766" s="3"/>
      <c r="B766" s="3"/>
      <c r="C766" s="1536"/>
      <c r="D766" s="96"/>
      <c r="E766" s="3"/>
      <c r="F766" s="96"/>
      <c r="G766" s="3"/>
      <c r="H766" s="96"/>
      <c r="I766" s="3"/>
      <c r="J766" s="96"/>
      <c r="K766" s="3"/>
      <c r="L766" s="96"/>
      <c r="M766" s="3"/>
      <c r="N766" s="96"/>
      <c r="O766" s="3"/>
      <c r="P766" s="96"/>
      <c r="Q766" s="1265"/>
      <c r="R766" s="3"/>
      <c r="S766" s="3"/>
      <c r="T766" s="1685"/>
      <c r="U766" s="3"/>
      <c r="V766" s="96"/>
      <c r="W766" s="1265"/>
      <c r="X766" s="3"/>
      <c r="Y766" s="3"/>
      <c r="Z766" s="1569"/>
      <c r="AA766" s="96"/>
    </row>
    <row r="767" spans="1:27" ht="15">
      <c r="A767" s="3"/>
      <c r="B767" s="3"/>
      <c r="C767" s="1536"/>
      <c r="D767" s="96"/>
      <c r="E767" s="3"/>
      <c r="F767" s="96"/>
      <c r="G767" s="3"/>
      <c r="H767" s="96"/>
      <c r="I767" s="3"/>
      <c r="J767" s="96"/>
      <c r="K767" s="3"/>
      <c r="L767" s="96"/>
      <c r="M767" s="3"/>
      <c r="N767" s="96"/>
      <c r="O767" s="3"/>
      <c r="P767" s="96"/>
      <c r="Q767" s="1265"/>
      <c r="R767" s="3"/>
      <c r="S767" s="3"/>
      <c r="T767" s="1685"/>
      <c r="U767" s="3"/>
      <c r="V767" s="96"/>
      <c r="W767" s="1265"/>
      <c r="X767" s="3"/>
      <c r="Y767" s="3"/>
      <c r="Z767" s="1569"/>
      <c r="AA767" s="96"/>
    </row>
    <row r="768" spans="1:27" ht="15">
      <c r="A768" s="3"/>
      <c r="B768" s="3"/>
      <c r="C768" s="1536"/>
      <c r="D768" s="96"/>
      <c r="E768" s="3"/>
      <c r="F768" s="96"/>
      <c r="G768" s="3"/>
      <c r="H768" s="96"/>
      <c r="I768" s="3"/>
      <c r="J768" s="96"/>
      <c r="K768" s="3"/>
      <c r="L768" s="96"/>
      <c r="M768" s="3"/>
      <c r="N768" s="96"/>
      <c r="O768" s="3"/>
      <c r="P768" s="96"/>
      <c r="Q768" s="1265"/>
      <c r="R768" s="3"/>
      <c r="S768" s="3"/>
      <c r="T768" s="1685"/>
      <c r="U768" s="3"/>
      <c r="V768" s="96"/>
      <c r="W768" s="1265"/>
      <c r="X768" s="3"/>
      <c r="Y768" s="3"/>
      <c r="Z768" s="1569"/>
      <c r="AA768" s="96"/>
    </row>
    <row r="769" spans="1:27" ht="15">
      <c r="A769" s="3"/>
      <c r="B769" s="3"/>
      <c r="C769" s="1536"/>
      <c r="D769" s="96"/>
      <c r="E769" s="3"/>
      <c r="F769" s="96"/>
      <c r="G769" s="3"/>
      <c r="H769" s="96"/>
      <c r="I769" s="3"/>
      <c r="J769" s="96"/>
      <c r="K769" s="3"/>
      <c r="L769" s="96"/>
      <c r="M769" s="3"/>
      <c r="N769" s="96"/>
      <c r="O769" s="3"/>
      <c r="P769" s="96"/>
      <c r="Q769" s="1265"/>
      <c r="R769" s="3"/>
      <c r="S769" s="3"/>
      <c r="T769" s="1685"/>
      <c r="U769" s="3"/>
      <c r="V769" s="96"/>
      <c r="W769" s="1265"/>
      <c r="X769" s="3"/>
      <c r="Y769" s="3"/>
      <c r="Z769" s="1569"/>
      <c r="AA769" s="96"/>
    </row>
    <row r="770" spans="1:27" ht="15">
      <c r="A770" s="3"/>
      <c r="B770" s="3"/>
      <c r="C770" s="1536"/>
      <c r="D770" s="96"/>
      <c r="E770" s="3"/>
      <c r="F770" s="96"/>
      <c r="G770" s="3"/>
      <c r="H770" s="96"/>
      <c r="I770" s="3"/>
      <c r="J770" s="96"/>
      <c r="K770" s="3"/>
      <c r="L770" s="96"/>
      <c r="M770" s="3"/>
      <c r="N770" s="96"/>
      <c r="O770" s="3"/>
      <c r="P770" s="96"/>
      <c r="Q770" s="1265"/>
      <c r="R770" s="3"/>
      <c r="S770" s="3"/>
      <c r="T770" s="1685"/>
      <c r="U770" s="3"/>
      <c r="V770" s="96"/>
      <c r="W770" s="1265"/>
      <c r="X770" s="3"/>
      <c r="Y770" s="3"/>
      <c r="Z770" s="1569"/>
      <c r="AA770" s="96"/>
    </row>
    <row r="771" spans="1:27" ht="15">
      <c r="A771" s="3"/>
      <c r="B771" s="3"/>
      <c r="C771" s="1536"/>
      <c r="D771" s="96"/>
      <c r="E771" s="3"/>
      <c r="F771" s="96"/>
      <c r="G771" s="3"/>
      <c r="H771" s="96"/>
      <c r="I771" s="3"/>
      <c r="J771" s="96"/>
      <c r="K771" s="3"/>
      <c r="L771" s="96"/>
      <c r="M771" s="3"/>
      <c r="N771" s="96"/>
      <c r="O771" s="3"/>
      <c r="P771" s="96"/>
      <c r="Q771" s="1265"/>
      <c r="R771" s="3"/>
      <c r="S771" s="3"/>
      <c r="T771" s="1685"/>
      <c r="U771" s="3"/>
      <c r="V771" s="96"/>
      <c r="W771" s="1265"/>
      <c r="X771" s="3"/>
      <c r="Y771" s="3"/>
      <c r="Z771" s="1569"/>
      <c r="AA771" s="96"/>
    </row>
    <row r="772" spans="1:27" ht="15">
      <c r="A772" s="3"/>
      <c r="B772" s="3"/>
      <c r="C772" s="1536"/>
      <c r="D772" s="96"/>
      <c r="E772" s="3"/>
      <c r="F772" s="96"/>
      <c r="G772" s="3"/>
      <c r="H772" s="96"/>
      <c r="I772" s="3"/>
      <c r="J772" s="96"/>
      <c r="K772" s="3"/>
      <c r="L772" s="96"/>
      <c r="M772" s="3"/>
      <c r="N772" s="96"/>
      <c r="O772" s="3"/>
      <c r="P772" s="96"/>
      <c r="Q772" s="1265"/>
      <c r="R772" s="3"/>
      <c r="S772" s="3"/>
      <c r="T772" s="1685"/>
      <c r="U772" s="3"/>
      <c r="V772" s="96"/>
      <c r="W772" s="1265"/>
      <c r="X772" s="3"/>
      <c r="Y772" s="3"/>
      <c r="Z772" s="1569"/>
      <c r="AA772" s="96"/>
    </row>
    <row r="773" spans="1:27" ht="15">
      <c r="A773" s="3"/>
      <c r="B773" s="3"/>
      <c r="C773" s="1536"/>
      <c r="D773" s="96"/>
      <c r="E773" s="3"/>
      <c r="F773" s="96"/>
      <c r="G773" s="3"/>
      <c r="H773" s="96"/>
      <c r="I773" s="3"/>
      <c r="J773" s="96"/>
      <c r="K773" s="3"/>
      <c r="L773" s="96"/>
      <c r="M773" s="3"/>
      <c r="N773" s="96"/>
      <c r="O773" s="3"/>
      <c r="P773" s="96"/>
      <c r="Q773" s="1265"/>
      <c r="R773" s="3"/>
      <c r="S773" s="3"/>
      <c r="T773" s="1685"/>
      <c r="U773" s="3"/>
      <c r="V773" s="96"/>
      <c r="W773" s="1265"/>
      <c r="X773" s="3"/>
      <c r="Y773" s="3"/>
      <c r="Z773" s="1569"/>
      <c r="AA773" s="96"/>
    </row>
    <row r="774" spans="1:27" ht="15">
      <c r="A774" s="3"/>
      <c r="B774" s="3"/>
      <c r="C774" s="1536"/>
      <c r="D774" s="96"/>
      <c r="E774" s="3"/>
      <c r="F774" s="96"/>
      <c r="G774" s="3"/>
      <c r="H774" s="96"/>
      <c r="I774" s="3"/>
      <c r="J774" s="96"/>
      <c r="K774" s="3"/>
      <c r="L774" s="96"/>
      <c r="M774" s="3"/>
      <c r="N774" s="96"/>
      <c r="O774" s="3"/>
      <c r="P774" s="96"/>
      <c r="Q774" s="1265"/>
      <c r="R774" s="3"/>
      <c r="S774" s="3"/>
      <c r="T774" s="1685"/>
      <c r="U774" s="3"/>
      <c r="V774" s="96"/>
      <c r="W774" s="1265"/>
      <c r="X774" s="3"/>
      <c r="Y774" s="3"/>
      <c r="Z774" s="1569"/>
      <c r="AA774" s="96"/>
    </row>
    <row r="775" spans="1:27" ht="15">
      <c r="A775" s="3"/>
      <c r="B775" s="3"/>
      <c r="C775" s="1536"/>
      <c r="D775" s="96"/>
      <c r="E775" s="3"/>
      <c r="F775" s="96"/>
      <c r="G775" s="3"/>
      <c r="H775" s="96"/>
      <c r="I775" s="3"/>
      <c r="J775" s="96"/>
      <c r="K775" s="3"/>
      <c r="L775" s="96"/>
      <c r="M775" s="3"/>
      <c r="N775" s="96"/>
      <c r="O775" s="3"/>
      <c r="P775" s="96"/>
      <c r="Q775" s="1265"/>
      <c r="R775" s="3"/>
      <c r="S775" s="3"/>
      <c r="T775" s="1685"/>
      <c r="U775" s="3"/>
      <c r="V775" s="96"/>
      <c r="W775" s="1265"/>
      <c r="X775" s="3"/>
      <c r="Y775" s="3"/>
      <c r="Z775" s="1569"/>
      <c r="AA775" s="96"/>
    </row>
    <row r="776" spans="1:27" ht="15">
      <c r="A776" s="3"/>
      <c r="B776" s="3"/>
      <c r="C776" s="1536"/>
      <c r="D776" s="96"/>
      <c r="E776" s="3"/>
      <c r="F776" s="96"/>
      <c r="G776" s="3"/>
      <c r="H776" s="96"/>
      <c r="I776" s="3"/>
      <c r="J776" s="96"/>
      <c r="K776" s="3"/>
      <c r="L776" s="96"/>
      <c r="M776" s="3"/>
      <c r="N776" s="96"/>
      <c r="O776" s="3"/>
      <c r="P776" s="96"/>
      <c r="Q776" s="1265"/>
      <c r="R776" s="3"/>
      <c r="S776" s="3"/>
      <c r="T776" s="1685"/>
      <c r="U776" s="3"/>
      <c r="V776" s="96"/>
      <c r="W776" s="1265"/>
      <c r="X776" s="3"/>
      <c r="Y776" s="3"/>
      <c r="Z776" s="1569"/>
      <c r="AA776" s="96"/>
    </row>
    <row r="777" spans="1:27" ht="15">
      <c r="A777" s="3"/>
      <c r="B777" s="3"/>
      <c r="C777" s="1536"/>
      <c r="D777" s="96"/>
      <c r="E777" s="3"/>
      <c r="F777" s="96"/>
      <c r="G777" s="3"/>
      <c r="H777" s="96"/>
      <c r="I777" s="3"/>
      <c r="J777" s="96"/>
      <c r="K777" s="3"/>
      <c r="L777" s="96"/>
      <c r="M777" s="3"/>
      <c r="N777" s="96"/>
      <c r="O777" s="3"/>
      <c r="P777" s="96"/>
      <c r="Q777" s="1265"/>
      <c r="R777" s="3"/>
      <c r="S777" s="3"/>
      <c r="T777" s="1685"/>
      <c r="U777" s="3"/>
      <c r="V777" s="96"/>
      <c r="W777" s="1265"/>
      <c r="X777" s="3"/>
      <c r="Y777" s="3"/>
      <c r="Z777" s="1569"/>
      <c r="AA777" s="96"/>
    </row>
    <row r="778" spans="1:27" ht="15">
      <c r="A778" s="3"/>
      <c r="B778" s="3"/>
      <c r="C778" s="1536"/>
      <c r="D778" s="96"/>
      <c r="E778" s="3"/>
      <c r="F778" s="96"/>
      <c r="G778" s="3"/>
      <c r="H778" s="96"/>
      <c r="I778" s="3"/>
      <c r="J778" s="96"/>
      <c r="K778" s="3"/>
      <c r="L778" s="96"/>
      <c r="M778" s="3"/>
      <c r="N778" s="96"/>
      <c r="O778" s="3"/>
      <c r="P778" s="96"/>
      <c r="Q778" s="1265"/>
      <c r="R778" s="3"/>
      <c r="S778" s="3"/>
      <c r="T778" s="1685"/>
      <c r="U778" s="3"/>
      <c r="V778" s="96"/>
      <c r="W778" s="1265"/>
      <c r="X778" s="3"/>
      <c r="Y778" s="3"/>
      <c r="Z778" s="1569"/>
      <c r="AA778" s="96"/>
    </row>
    <row r="779" spans="1:27" ht="15">
      <c r="A779" s="3"/>
      <c r="B779" s="3"/>
      <c r="C779" s="1536"/>
      <c r="D779" s="96"/>
      <c r="E779" s="3"/>
      <c r="F779" s="96"/>
      <c r="G779" s="3"/>
      <c r="H779" s="96"/>
      <c r="I779" s="3"/>
      <c r="J779" s="96"/>
      <c r="K779" s="3"/>
      <c r="L779" s="96"/>
      <c r="M779" s="3"/>
      <c r="N779" s="96"/>
      <c r="O779" s="3"/>
      <c r="P779" s="96"/>
      <c r="Q779" s="1265"/>
      <c r="R779" s="3"/>
      <c r="S779" s="3"/>
      <c r="T779" s="1685"/>
      <c r="U779" s="3"/>
      <c r="V779" s="96"/>
      <c r="W779" s="1265"/>
      <c r="X779" s="3"/>
      <c r="Y779" s="3"/>
      <c r="Z779" s="1569"/>
      <c r="AA779" s="96"/>
    </row>
    <row r="780" spans="1:27" ht="15">
      <c r="A780" s="3"/>
      <c r="B780" s="3"/>
      <c r="C780" s="1536"/>
      <c r="D780" s="96"/>
      <c r="E780" s="3"/>
      <c r="F780" s="96"/>
      <c r="G780" s="3"/>
      <c r="H780" s="96"/>
      <c r="I780" s="3"/>
      <c r="J780" s="96"/>
      <c r="K780" s="3"/>
      <c r="L780" s="96"/>
      <c r="M780" s="3"/>
      <c r="N780" s="96"/>
      <c r="O780" s="3"/>
      <c r="P780" s="96"/>
      <c r="Q780" s="1265"/>
      <c r="R780" s="3"/>
      <c r="S780" s="3"/>
      <c r="T780" s="1685"/>
      <c r="U780" s="3"/>
      <c r="V780" s="96"/>
      <c r="W780" s="1265"/>
      <c r="X780" s="3"/>
      <c r="Y780" s="3"/>
      <c r="Z780" s="1569"/>
      <c r="AA780" s="96"/>
    </row>
    <row r="781" spans="1:27" ht="15">
      <c r="A781" s="3"/>
      <c r="B781" s="3"/>
      <c r="C781" s="1536"/>
      <c r="D781" s="96"/>
      <c r="E781" s="3"/>
      <c r="F781" s="96"/>
      <c r="G781" s="3"/>
      <c r="H781" s="96"/>
      <c r="I781" s="3"/>
      <c r="J781" s="96"/>
      <c r="K781" s="3"/>
      <c r="L781" s="96"/>
      <c r="M781" s="3"/>
      <c r="N781" s="96"/>
      <c r="O781" s="3"/>
      <c r="P781" s="96"/>
      <c r="Q781" s="1265"/>
      <c r="R781" s="3"/>
      <c r="S781" s="3"/>
      <c r="T781" s="1685"/>
      <c r="U781" s="3"/>
      <c r="V781" s="96"/>
      <c r="W781" s="1265"/>
      <c r="X781" s="3"/>
      <c r="Y781" s="3"/>
      <c r="Z781" s="1569"/>
      <c r="AA781" s="96"/>
    </row>
    <row r="782" spans="1:27" ht="15">
      <c r="A782" s="3"/>
      <c r="B782" s="3"/>
      <c r="C782" s="1536"/>
      <c r="D782" s="96"/>
      <c r="E782" s="3"/>
      <c r="F782" s="96"/>
      <c r="G782" s="3"/>
      <c r="H782" s="96"/>
      <c r="I782" s="3"/>
      <c r="J782" s="96"/>
      <c r="K782" s="3"/>
      <c r="L782" s="96"/>
      <c r="M782" s="3"/>
      <c r="N782" s="96"/>
      <c r="O782" s="3"/>
      <c r="P782" s="96"/>
      <c r="Q782" s="1265"/>
      <c r="R782" s="3"/>
      <c r="S782" s="3"/>
      <c r="T782" s="1685"/>
      <c r="U782" s="3"/>
      <c r="V782" s="96"/>
      <c r="W782" s="1265"/>
      <c r="X782" s="3"/>
      <c r="Y782" s="3"/>
      <c r="Z782" s="1569"/>
      <c r="AA782" s="96"/>
    </row>
    <row r="783" spans="1:27" ht="15">
      <c r="A783" s="3"/>
      <c r="B783" s="3"/>
      <c r="C783" s="1536"/>
      <c r="D783" s="96"/>
      <c r="E783" s="3"/>
      <c r="F783" s="96"/>
      <c r="G783" s="3"/>
      <c r="H783" s="96"/>
      <c r="I783" s="3"/>
      <c r="J783" s="96"/>
      <c r="K783" s="3"/>
      <c r="L783" s="96"/>
      <c r="M783" s="3"/>
      <c r="N783" s="96"/>
      <c r="O783" s="3"/>
      <c r="P783" s="96"/>
      <c r="Q783" s="1265"/>
      <c r="R783" s="3"/>
      <c r="S783" s="3"/>
      <c r="T783" s="1685"/>
      <c r="U783" s="3"/>
      <c r="V783" s="96"/>
      <c r="W783" s="1265"/>
      <c r="X783" s="3"/>
      <c r="Y783" s="3"/>
      <c r="Z783" s="1569"/>
      <c r="AA783" s="96"/>
    </row>
    <row r="784" spans="1:27" ht="15">
      <c r="A784" s="3"/>
      <c r="B784" s="3"/>
      <c r="C784" s="1536"/>
      <c r="D784" s="96"/>
      <c r="E784" s="3"/>
      <c r="F784" s="96"/>
      <c r="G784" s="3"/>
      <c r="H784" s="96"/>
      <c r="I784" s="3"/>
      <c r="J784" s="96"/>
      <c r="K784" s="3"/>
      <c r="L784" s="96"/>
      <c r="M784" s="3"/>
      <c r="N784" s="96"/>
      <c r="O784" s="3"/>
      <c r="P784" s="96"/>
      <c r="Q784" s="1265"/>
      <c r="R784" s="3"/>
      <c r="S784" s="3"/>
      <c r="T784" s="1685"/>
      <c r="U784" s="3"/>
      <c r="V784" s="96"/>
      <c r="W784" s="1265"/>
      <c r="X784" s="3"/>
      <c r="Y784" s="3"/>
      <c r="Z784" s="1569"/>
      <c r="AA784" s="96"/>
    </row>
    <row r="785" spans="1:27" ht="15">
      <c r="A785" s="3"/>
      <c r="B785" s="3"/>
      <c r="C785" s="1536"/>
      <c r="D785" s="96"/>
      <c r="E785" s="3"/>
      <c r="F785" s="96"/>
      <c r="G785" s="3"/>
      <c r="H785" s="96"/>
      <c r="I785" s="3"/>
      <c r="J785" s="96"/>
      <c r="K785" s="3"/>
      <c r="L785" s="96"/>
      <c r="M785" s="3"/>
      <c r="N785" s="96"/>
      <c r="O785" s="3"/>
      <c r="P785" s="96"/>
      <c r="Q785" s="1265"/>
      <c r="R785" s="3"/>
      <c r="S785" s="3"/>
      <c r="T785" s="1685"/>
      <c r="U785" s="3"/>
      <c r="V785" s="96"/>
      <c r="W785" s="1265"/>
      <c r="X785" s="3"/>
      <c r="Y785" s="3"/>
      <c r="Z785" s="1569"/>
      <c r="AA785" s="96"/>
    </row>
    <row r="786" spans="1:27" ht="15">
      <c r="A786" s="3"/>
      <c r="B786" s="3"/>
      <c r="C786" s="1536"/>
      <c r="D786" s="96"/>
      <c r="E786" s="3"/>
      <c r="F786" s="96"/>
      <c r="G786" s="3"/>
      <c r="H786" s="96"/>
      <c r="I786" s="3"/>
      <c r="J786" s="96"/>
      <c r="K786" s="3"/>
      <c r="L786" s="96"/>
      <c r="M786" s="3"/>
      <c r="N786" s="96"/>
      <c r="O786" s="3"/>
      <c r="P786" s="96"/>
      <c r="Q786" s="1265"/>
      <c r="R786" s="3"/>
      <c r="S786" s="3"/>
      <c r="T786" s="1685"/>
      <c r="U786" s="3"/>
      <c r="V786" s="96"/>
      <c r="W786" s="1265"/>
      <c r="X786" s="3"/>
      <c r="Y786" s="3"/>
      <c r="Z786" s="1569"/>
      <c r="AA786" s="96"/>
    </row>
    <row r="787" spans="1:27" ht="15">
      <c r="A787" s="3"/>
      <c r="B787" s="3"/>
      <c r="C787" s="1536"/>
      <c r="D787" s="96"/>
      <c r="E787" s="3"/>
      <c r="F787" s="96"/>
      <c r="G787" s="3"/>
      <c r="H787" s="96"/>
      <c r="I787" s="3"/>
      <c r="J787" s="96"/>
      <c r="K787" s="3"/>
      <c r="L787" s="96"/>
      <c r="M787" s="3"/>
      <c r="N787" s="96"/>
      <c r="O787" s="3"/>
      <c r="P787" s="96"/>
      <c r="Q787" s="1265"/>
      <c r="R787" s="3"/>
      <c r="S787" s="3"/>
      <c r="T787" s="1685"/>
      <c r="U787" s="3"/>
      <c r="V787" s="96"/>
      <c r="W787" s="1265"/>
      <c r="X787" s="3"/>
      <c r="Y787" s="3"/>
      <c r="Z787" s="1569"/>
      <c r="AA787" s="96"/>
    </row>
    <row r="788" spans="1:27" ht="15">
      <c r="A788" s="3"/>
      <c r="B788" s="3"/>
      <c r="C788" s="1536"/>
      <c r="D788" s="96"/>
      <c r="E788" s="3"/>
      <c r="F788" s="96"/>
      <c r="G788" s="3"/>
      <c r="H788" s="96"/>
      <c r="I788" s="3"/>
      <c r="J788" s="96"/>
      <c r="K788" s="3"/>
      <c r="L788" s="96"/>
      <c r="M788" s="3"/>
      <c r="N788" s="96"/>
      <c r="O788" s="3"/>
      <c r="P788" s="96"/>
      <c r="Q788" s="1265"/>
      <c r="R788" s="3"/>
      <c r="S788" s="3"/>
      <c r="T788" s="1685"/>
      <c r="U788" s="3"/>
      <c r="V788" s="96"/>
      <c r="W788" s="1265"/>
      <c r="X788" s="3"/>
      <c r="Y788" s="3"/>
      <c r="Z788" s="1569"/>
      <c r="AA788" s="96"/>
    </row>
    <row r="789" spans="1:27" ht="15">
      <c r="A789" s="3"/>
      <c r="B789" s="3"/>
      <c r="C789" s="1536"/>
      <c r="D789" s="96"/>
      <c r="E789" s="3"/>
      <c r="F789" s="96"/>
      <c r="G789" s="3"/>
      <c r="H789" s="96"/>
      <c r="I789" s="3"/>
      <c r="J789" s="96"/>
      <c r="K789" s="3"/>
      <c r="L789" s="96"/>
      <c r="M789" s="3"/>
      <c r="N789" s="96"/>
      <c r="O789" s="3"/>
      <c r="P789" s="96"/>
      <c r="Q789" s="1265"/>
      <c r="R789" s="3"/>
      <c r="S789" s="3"/>
      <c r="T789" s="1685"/>
      <c r="U789" s="3"/>
      <c r="V789" s="96"/>
      <c r="W789" s="1265"/>
      <c r="X789" s="3"/>
      <c r="Y789" s="3"/>
      <c r="Z789" s="1569"/>
      <c r="AA789" s="96"/>
    </row>
    <row r="790" spans="1:27" ht="15">
      <c r="A790" s="3"/>
      <c r="B790" s="3"/>
      <c r="C790" s="1536"/>
      <c r="D790" s="96"/>
      <c r="E790" s="3"/>
      <c r="F790" s="96"/>
      <c r="G790" s="3"/>
      <c r="H790" s="96"/>
      <c r="I790" s="3"/>
      <c r="J790" s="96"/>
      <c r="K790" s="3"/>
      <c r="L790" s="96"/>
      <c r="M790" s="3"/>
      <c r="N790" s="96"/>
      <c r="O790" s="3"/>
      <c r="P790" s="96"/>
      <c r="Q790" s="1265"/>
      <c r="R790" s="3"/>
      <c r="S790" s="3"/>
      <c r="T790" s="1685"/>
      <c r="U790" s="3"/>
      <c r="V790" s="96"/>
      <c r="W790" s="1265"/>
      <c r="X790" s="3"/>
      <c r="Y790" s="3"/>
      <c r="Z790" s="1569"/>
      <c r="AA790" s="96"/>
    </row>
    <row r="791" spans="1:27" ht="15">
      <c r="A791" s="3"/>
      <c r="B791" s="3"/>
      <c r="C791" s="1536"/>
      <c r="D791" s="96"/>
      <c r="E791" s="3"/>
      <c r="F791" s="96"/>
      <c r="G791" s="3"/>
      <c r="H791" s="96"/>
      <c r="I791" s="3"/>
      <c r="J791" s="96"/>
      <c r="K791" s="3"/>
      <c r="L791" s="96"/>
      <c r="M791" s="3"/>
      <c r="N791" s="96"/>
      <c r="O791" s="3"/>
      <c r="P791" s="96"/>
      <c r="Q791" s="1265"/>
      <c r="R791" s="3"/>
      <c r="S791" s="3"/>
      <c r="T791" s="1685"/>
      <c r="U791" s="3"/>
      <c r="V791" s="96"/>
      <c r="W791" s="1265"/>
      <c r="X791" s="3"/>
      <c r="Y791" s="3"/>
      <c r="Z791" s="1569"/>
      <c r="AA791" s="96"/>
    </row>
    <row r="792" spans="1:27" ht="15">
      <c r="A792" s="3"/>
      <c r="B792" s="3"/>
      <c r="C792" s="1536"/>
      <c r="D792" s="96"/>
      <c r="E792" s="3"/>
      <c r="F792" s="96"/>
      <c r="G792" s="3"/>
      <c r="H792" s="96"/>
      <c r="I792" s="3"/>
      <c r="J792" s="96"/>
      <c r="K792" s="3"/>
      <c r="L792" s="96"/>
      <c r="M792" s="3"/>
      <c r="N792" s="96"/>
      <c r="O792" s="3"/>
      <c r="P792" s="96"/>
      <c r="Q792" s="1265"/>
      <c r="R792" s="3"/>
      <c r="S792" s="3"/>
      <c r="T792" s="1685"/>
      <c r="U792" s="3"/>
      <c r="V792" s="96"/>
      <c r="W792" s="1265"/>
      <c r="X792" s="3"/>
      <c r="Y792" s="3"/>
      <c r="Z792" s="1569"/>
      <c r="AA792" s="96"/>
    </row>
    <row r="793" spans="1:27" ht="15">
      <c r="A793" s="3"/>
      <c r="B793" s="3"/>
      <c r="C793" s="1536"/>
      <c r="D793" s="96"/>
      <c r="E793" s="3"/>
      <c r="F793" s="96"/>
      <c r="G793" s="3"/>
      <c r="H793" s="96"/>
      <c r="I793" s="3"/>
      <c r="J793" s="96"/>
      <c r="K793" s="3"/>
      <c r="L793" s="96"/>
      <c r="M793" s="3"/>
      <c r="N793" s="96"/>
      <c r="O793" s="3"/>
      <c r="P793" s="96"/>
      <c r="Q793" s="1265"/>
      <c r="R793" s="3"/>
      <c r="S793" s="3"/>
      <c r="T793" s="1685"/>
      <c r="U793" s="3"/>
      <c r="V793" s="96"/>
      <c r="W793" s="1265"/>
      <c r="X793" s="3"/>
      <c r="Y793" s="3"/>
      <c r="Z793" s="1569"/>
      <c r="AA793" s="96"/>
    </row>
    <row r="794" spans="1:27" ht="15">
      <c r="A794" s="3"/>
      <c r="B794" s="3"/>
      <c r="C794" s="1536"/>
      <c r="D794" s="96"/>
      <c r="E794" s="3"/>
      <c r="F794" s="96"/>
      <c r="G794" s="3"/>
      <c r="H794" s="96"/>
      <c r="I794" s="3"/>
      <c r="J794" s="96"/>
      <c r="K794" s="3"/>
      <c r="L794" s="96"/>
      <c r="M794" s="3"/>
      <c r="N794" s="96"/>
      <c r="O794" s="3"/>
      <c r="P794" s="96"/>
      <c r="Q794" s="1265"/>
      <c r="R794" s="3"/>
      <c r="S794" s="3"/>
      <c r="T794" s="1685"/>
      <c r="U794" s="3"/>
      <c r="V794" s="96"/>
      <c r="W794" s="1265"/>
      <c r="X794" s="3"/>
      <c r="Y794" s="3"/>
      <c r="Z794" s="1569"/>
      <c r="AA794" s="96"/>
    </row>
    <row r="795" spans="1:27" ht="15">
      <c r="A795" s="3"/>
      <c r="B795" s="3"/>
      <c r="C795" s="1536"/>
      <c r="D795" s="96"/>
      <c r="E795" s="3"/>
      <c r="F795" s="96"/>
      <c r="G795" s="3"/>
      <c r="H795" s="96"/>
      <c r="I795" s="3"/>
      <c r="J795" s="96"/>
      <c r="K795" s="3"/>
      <c r="L795" s="96"/>
      <c r="M795" s="3"/>
      <c r="N795" s="96"/>
      <c r="O795" s="3"/>
      <c r="P795" s="96"/>
      <c r="Q795" s="1265"/>
      <c r="R795" s="3"/>
      <c r="S795" s="3"/>
      <c r="T795" s="1685"/>
      <c r="U795" s="3"/>
      <c r="V795" s="96"/>
      <c r="W795" s="1265"/>
      <c r="X795" s="3"/>
      <c r="Y795" s="3"/>
      <c r="Z795" s="1569"/>
      <c r="AA795" s="96"/>
    </row>
    <row r="796" spans="1:27" ht="15">
      <c r="A796" s="3"/>
      <c r="B796" s="3"/>
      <c r="C796" s="1536"/>
      <c r="D796" s="96"/>
      <c r="E796" s="3"/>
      <c r="F796" s="96"/>
      <c r="G796" s="3"/>
      <c r="H796" s="96"/>
      <c r="I796" s="3"/>
      <c r="J796" s="96"/>
      <c r="K796" s="3"/>
      <c r="L796" s="96"/>
      <c r="M796" s="3"/>
      <c r="N796" s="96"/>
      <c r="O796" s="3"/>
      <c r="P796" s="96"/>
      <c r="Q796" s="1265"/>
      <c r="R796" s="3"/>
      <c r="S796" s="3"/>
      <c r="T796" s="1685"/>
      <c r="U796" s="3"/>
      <c r="V796" s="96"/>
      <c r="W796" s="1265"/>
      <c r="X796" s="3"/>
      <c r="Y796" s="3"/>
      <c r="Z796" s="1569"/>
      <c r="AA796" s="96"/>
    </row>
    <row r="797" spans="1:27" ht="15">
      <c r="A797" s="3"/>
      <c r="B797" s="3"/>
      <c r="C797" s="1536"/>
      <c r="D797" s="96"/>
      <c r="E797" s="3"/>
      <c r="F797" s="96"/>
      <c r="G797" s="3"/>
      <c r="H797" s="96"/>
      <c r="I797" s="3"/>
      <c r="J797" s="96"/>
      <c r="K797" s="3"/>
      <c r="L797" s="96"/>
      <c r="M797" s="3"/>
      <c r="N797" s="96"/>
      <c r="O797" s="3"/>
      <c r="P797" s="96"/>
      <c r="Q797" s="1265"/>
      <c r="R797" s="3"/>
      <c r="S797" s="3"/>
      <c r="T797" s="1685"/>
      <c r="U797" s="3"/>
      <c r="V797" s="96"/>
      <c r="W797" s="1265"/>
      <c r="X797" s="3"/>
      <c r="Y797" s="3"/>
      <c r="Z797" s="1569"/>
      <c r="AA797" s="96"/>
    </row>
    <row r="798" spans="1:27" ht="15">
      <c r="A798" s="3"/>
      <c r="B798" s="3"/>
      <c r="C798" s="1536"/>
      <c r="D798" s="96"/>
      <c r="E798" s="3"/>
      <c r="F798" s="96"/>
      <c r="G798" s="3"/>
      <c r="H798" s="96"/>
      <c r="I798" s="3"/>
      <c r="J798" s="96"/>
      <c r="K798" s="3"/>
      <c r="L798" s="96"/>
      <c r="M798" s="3"/>
      <c r="N798" s="96"/>
      <c r="O798" s="3"/>
      <c r="P798" s="96"/>
      <c r="Q798" s="1265"/>
      <c r="R798" s="3"/>
      <c r="S798" s="3"/>
      <c r="T798" s="1685"/>
      <c r="U798" s="3"/>
      <c r="V798" s="96"/>
      <c r="W798" s="1265"/>
      <c r="X798" s="3"/>
      <c r="Y798" s="3"/>
      <c r="Z798" s="1569"/>
      <c r="AA798" s="96"/>
    </row>
    <row r="799" spans="1:27" ht="15">
      <c r="A799" s="3"/>
      <c r="B799" s="3"/>
      <c r="C799" s="1536"/>
      <c r="D799" s="96"/>
      <c r="E799" s="3"/>
      <c r="F799" s="96"/>
      <c r="G799" s="3"/>
      <c r="H799" s="96"/>
      <c r="I799" s="3"/>
      <c r="J799" s="96"/>
      <c r="K799" s="3"/>
      <c r="L799" s="96"/>
      <c r="M799" s="3"/>
      <c r="N799" s="96"/>
      <c r="O799" s="3"/>
      <c r="P799" s="96"/>
      <c r="Q799" s="1265"/>
      <c r="R799" s="3"/>
      <c r="S799" s="3"/>
      <c r="T799" s="1685"/>
      <c r="U799" s="3"/>
      <c r="V799" s="96"/>
      <c r="W799" s="1265"/>
      <c r="X799" s="3"/>
      <c r="Y799" s="3"/>
      <c r="Z799" s="1569"/>
      <c r="AA799" s="96"/>
    </row>
    <row r="800" spans="1:27" ht="15">
      <c r="A800" s="3"/>
      <c r="B800" s="3"/>
      <c r="C800" s="1536"/>
      <c r="D800" s="96"/>
      <c r="E800" s="3"/>
      <c r="F800" s="96"/>
      <c r="G800" s="3"/>
      <c r="H800" s="96"/>
      <c r="I800" s="3"/>
      <c r="J800" s="96"/>
      <c r="K800" s="3"/>
      <c r="L800" s="96"/>
      <c r="M800" s="3"/>
      <c r="N800" s="96"/>
      <c r="O800" s="3"/>
      <c r="P800" s="96"/>
      <c r="Q800" s="1265"/>
      <c r="R800" s="3"/>
      <c r="S800" s="3"/>
      <c r="T800" s="1685"/>
      <c r="U800" s="3"/>
      <c r="V800" s="96"/>
      <c r="W800" s="1265"/>
      <c r="X800" s="3"/>
      <c r="Y800" s="3"/>
      <c r="Z800" s="1569"/>
      <c r="AA800" s="96"/>
    </row>
    <row r="801" spans="1:27" ht="15">
      <c r="A801" s="3"/>
      <c r="B801" s="3"/>
      <c r="C801" s="1536"/>
      <c r="D801" s="96"/>
      <c r="E801" s="3"/>
      <c r="F801" s="96"/>
      <c r="G801" s="3"/>
      <c r="H801" s="96"/>
      <c r="I801" s="3"/>
      <c r="J801" s="96"/>
      <c r="K801" s="3"/>
      <c r="L801" s="96"/>
      <c r="M801" s="3"/>
      <c r="N801" s="96"/>
      <c r="O801" s="3"/>
      <c r="P801" s="96"/>
      <c r="Q801" s="1265"/>
      <c r="R801" s="3"/>
      <c r="S801" s="3"/>
      <c r="T801" s="1685"/>
      <c r="U801" s="3"/>
      <c r="V801" s="96"/>
      <c r="W801" s="1265"/>
      <c r="X801" s="3"/>
      <c r="Y801" s="3"/>
      <c r="Z801" s="1569"/>
      <c r="AA801" s="96"/>
    </row>
    <row r="802" spans="1:27" ht="15">
      <c r="A802" s="3"/>
      <c r="B802" s="3"/>
      <c r="C802" s="1536"/>
      <c r="D802" s="96"/>
      <c r="E802" s="3"/>
      <c r="F802" s="96"/>
      <c r="G802" s="3"/>
      <c r="H802" s="96"/>
      <c r="I802" s="3"/>
      <c r="J802" s="96"/>
      <c r="K802" s="3"/>
      <c r="L802" s="96"/>
      <c r="M802" s="3"/>
      <c r="N802" s="96"/>
      <c r="O802" s="3"/>
      <c r="P802" s="96"/>
      <c r="Q802" s="1265"/>
      <c r="R802" s="3"/>
      <c r="S802" s="3"/>
      <c r="T802" s="1685"/>
      <c r="U802" s="3"/>
      <c r="V802" s="96"/>
      <c r="W802" s="1265"/>
      <c r="X802" s="3"/>
      <c r="Y802" s="3"/>
      <c r="Z802" s="1569"/>
      <c r="AA802" s="96"/>
    </row>
    <row r="803" spans="1:27" ht="15">
      <c r="A803" s="3"/>
      <c r="B803" s="3"/>
      <c r="C803" s="1536"/>
      <c r="D803" s="96"/>
      <c r="E803" s="3"/>
      <c r="F803" s="96"/>
      <c r="G803" s="3"/>
      <c r="H803" s="96"/>
      <c r="I803" s="3"/>
      <c r="J803" s="96"/>
      <c r="K803" s="3"/>
      <c r="L803" s="96"/>
      <c r="M803" s="3"/>
      <c r="N803" s="96"/>
      <c r="O803" s="3"/>
      <c r="P803" s="96"/>
      <c r="Q803" s="1265"/>
      <c r="R803" s="3"/>
      <c r="S803" s="3"/>
      <c r="T803" s="1685"/>
      <c r="U803" s="3"/>
      <c r="V803" s="96"/>
      <c r="W803" s="1265"/>
      <c r="X803" s="3"/>
      <c r="Y803" s="3"/>
      <c r="Z803" s="1569"/>
      <c r="AA803" s="96"/>
    </row>
    <row r="804" spans="1:27" ht="15">
      <c r="A804" s="3"/>
      <c r="B804" s="3"/>
      <c r="C804" s="1536"/>
      <c r="D804" s="96"/>
      <c r="E804" s="3"/>
      <c r="F804" s="96"/>
      <c r="G804" s="3"/>
      <c r="H804" s="96"/>
      <c r="I804" s="3"/>
      <c r="J804" s="96"/>
      <c r="K804" s="3"/>
      <c r="L804" s="96"/>
      <c r="M804" s="3"/>
      <c r="N804" s="96"/>
      <c r="O804" s="3"/>
      <c r="P804" s="96"/>
      <c r="Q804" s="1265"/>
      <c r="R804" s="3"/>
      <c r="S804" s="3"/>
      <c r="T804" s="1685"/>
      <c r="U804" s="3"/>
      <c r="V804" s="96"/>
      <c r="W804" s="1265"/>
      <c r="X804" s="3"/>
      <c r="Y804" s="3"/>
      <c r="Z804" s="1569"/>
      <c r="AA804" s="96"/>
    </row>
    <row r="805" spans="1:27" ht="15">
      <c r="A805" s="3"/>
      <c r="B805" s="3"/>
      <c r="C805" s="1536"/>
      <c r="D805" s="96"/>
      <c r="E805" s="3"/>
      <c r="F805" s="96"/>
      <c r="G805" s="3"/>
      <c r="H805" s="96"/>
      <c r="I805" s="3"/>
      <c r="J805" s="96"/>
      <c r="K805" s="3"/>
      <c r="L805" s="96"/>
      <c r="M805" s="3"/>
      <c r="N805" s="96"/>
      <c r="O805" s="3"/>
      <c r="P805" s="96"/>
      <c r="Q805" s="1265"/>
      <c r="R805" s="3"/>
      <c r="S805" s="3"/>
      <c r="T805" s="1685"/>
      <c r="U805" s="3"/>
      <c r="V805" s="96"/>
      <c r="W805" s="1265"/>
      <c r="X805" s="3"/>
      <c r="Y805" s="3"/>
      <c r="Z805" s="1569"/>
      <c r="AA805" s="96"/>
    </row>
    <row r="806" spans="1:27" ht="15">
      <c r="A806" s="3"/>
      <c r="B806" s="3"/>
      <c r="C806" s="1536"/>
      <c r="D806" s="96"/>
      <c r="E806" s="3"/>
      <c r="F806" s="96"/>
      <c r="G806" s="3"/>
      <c r="H806" s="96"/>
      <c r="I806" s="3"/>
      <c r="J806" s="96"/>
      <c r="K806" s="3"/>
      <c r="L806" s="96"/>
      <c r="M806" s="3"/>
      <c r="N806" s="96"/>
      <c r="O806" s="3"/>
      <c r="P806" s="96"/>
      <c r="Q806" s="1265"/>
      <c r="R806" s="3"/>
      <c r="S806" s="3"/>
      <c r="T806" s="1685"/>
      <c r="U806" s="3"/>
      <c r="V806" s="96"/>
      <c r="W806" s="1265"/>
      <c r="X806" s="3"/>
      <c r="Y806" s="3"/>
      <c r="Z806" s="1569"/>
      <c r="AA806" s="96"/>
    </row>
    <row r="807" spans="1:27" ht="15">
      <c r="A807" s="3"/>
      <c r="B807" s="3"/>
      <c r="C807" s="1536"/>
      <c r="D807" s="96"/>
      <c r="E807" s="3"/>
      <c r="F807" s="96"/>
      <c r="G807" s="3"/>
      <c r="H807" s="96"/>
      <c r="I807" s="3"/>
      <c r="J807" s="96"/>
      <c r="K807" s="3"/>
      <c r="L807" s="96"/>
      <c r="M807" s="3"/>
      <c r="N807" s="96"/>
      <c r="O807" s="3"/>
      <c r="P807" s="96"/>
      <c r="Q807" s="1265"/>
      <c r="R807" s="3"/>
      <c r="S807" s="3"/>
      <c r="T807" s="1685"/>
      <c r="U807" s="3"/>
      <c r="V807" s="96"/>
      <c r="W807" s="1265"/>
      <c r="X807" s="3"/>
      <c r="Y807" s="3"/>
      <c r="Z807" s="1569"/>
      <c r="AA807" s="96"/>
    </row>
    <row r="808" spans="1:27" ht="15">
      <c r="A808" s="3"/>
      <c r="B808" s="3"/>
      <c r="C808" s="1536"/>
      <c r="D808" s="96"/>
      <c r="E808" s="3"/>
      <c r="F808" s="96"/>
      <c r="G808" s="3"/>
      <c r="H808" s="96"/>
      <c r="I808" s="3"/>
      <c r="J808" s="96"/>
      <c r="K808" s="3"/>
      <c r="L808" s="96"/>
      <c r="M808" s="3"/>
      <c r="N808" s="96"/>
      <c r="O808" s="3"/>
      <c r="P808" s="96"/>
      <c r="Q808" s="1265"/>
      <c r="R808" s="3"/>
      <c r="S808" s="3"/>
      <c r="T808" s="1685"/>
      <c r="U808" s="3"/>
      <c r="V808" s="96"/>
      <c r="W808" s="1265"/>
      <c r="X808" s="3"/>
      <c r="Y808" s="3"/>
      <c r="Z808" s="1569"/>
      <c r="AA808" s="96"/>
    </row>
    <row r="809" spans="1:27" ht="15">
      <c r="A809" s="3"/>
      <c r="B809" s="3"/>
      <c r="C809" s="1536"/>
      <c r="D809" s="96"/>
      <c r="E809" s="3"/>
      <c r="F809" s="96"/>
      <c r="G809" s="3"/>
      <c r="H809" s="96"/>
      <c r="I809" s="3"/>
      <c r="J809" s="96"/>
      <c r="K809" s="3"/>
      <c r="L809" s="96"/>
      <c r="M809" s="3"/>
      <c r="N809" s="96"/>
      <c r="O809" s="3"/>
      <c r="P809" s="96"/>
      <c r="Q809" s="1265"/>
      <c r="R809" s="3"/>
      <c r="S809" s="3"/>
      <c r="T809" s="1685"/>
      <c r="U809" s="3"/>
      <c r="V809" s="96"/>
      <c r="W809" s="1265"/>
      <c r="X809" s="3"/>
      <c r="Y809" s="3"/>
      <c r="Z809" s="1569"/>
      <c r="AA809" s="96"/>
    </row>
    <row r="810" spans="1:27" ht="15">
      <c r="A810" s="3"/>
      <c r="B810" s="3"/>
      <c r="C810" s="1536"/>
      <c r="D810" s="96"/>
      <c r="E810" s="3"/>
      <c r="F810" s="96"/>
      <c r="G810" s="3"/>
      <c r="H810" s="96"/>
      <c r="I810" s="3"/>
      <c r="J810" s="96"/>
      <c r="K810" s="3"/>
      <c r="L810" s="96"/>
      <c r="M810" s="3"/>
      <c r="N810" s="96"/>
      <c r="O810" s="3"/>
      <c r="P810" s="96"/>
      <c r="Q810" s="1265"/>
      <c r="R810" s="3"/>
      <c r="S810" s="3"/>
      <c r="T810" s="1685"/>
      <c r="U810" s="3"/>
      <c r="V810" s="96"/>
      <c r="W810" s="1265"/>
      <c r="X810" s="3"/>
      <c r="Y810" s="3"/>
      <c r="Z810" s="1569"/>
      <c r="AA810" s="96"/>
    </row>
    <row r="811" spans="1:27" ht="15">
      <c r="A811" s="3"/>
      <c r="B811" s="3"/>
      <c r="C811" s="1536"/>
      <c r="D811" s="96"/>
      <c r="E811" s="3"/>
      <c r="F811" s="96"/>
      <c r="G811" s="3"/>
      <c r="H811" s="96"/>
      <c r="I811" s="3"/>
      <c r="J811" s="96"/>
      <c r="K811" s="3"/>
      <c r="L811" s="96"/>
      <c r="M811" s="3"/>
      <c r="N811" s="96"/>
      <c r="O811" s="3"/>
      <c r="P811" s="96"/>
      <c r="Q811" s="1265"/>
      <c r="R811" s="3"/>
      <c r="S811" s="3"/>
      <c r="T811" s="1685"/>
      <c r="U811" s="3"/>
      <c r="V811" s="96"/>
      <c r="W811" s="1265"/>
      <c r="X811" s="3"/>
      <c r="Y811" s="3"/>
      <c r="Z811" s="1569"/>
      <c r="AA811" s="96"/>
    </row>
    <row r="812" spans="1:27" ht="15">
      <c r="A812" s="3"/>
      <c r="B812" s="3"/>
      <c r="C812" s="1536"/>
      <c r="D812" s="96"/>
      <c r="E812" s="3"/>
      <c r="F812" s="96"/>
      <c r="G812" s="3"/>
      <c r="H812" s="96"/>
      <c r="I812" s="3"/>
      <c r="J812" s="96"/>
      <c r="K812" s="3"/>
      <c r="L812" s="96"/>
      <c r="M812" s="3"/>
      <c r="N812" s="96"/>
      <c r="O812" s="3"/>
      <c r="P812" s="96"/>
      <c r="Q812" s="1265"/>
      <c r="R812" s="3"/>
      <c r="S812" s="3"/>
      <c r="T812" s="1685"/>
      <c r="U812" s="3"/>
      <c r="V812" s="96"/>
      <c r="W812" s="1265"/>
      <c r="X812" s="3"/>
      <c r="Y812" s="3"/>
      <c r="Z812" s="1569"/>
      <c r="AA812" s="96"/>
    </row>
    <row r="813" spans="1:27" ht="15">
      <c r="A813" s="3"/>
      <c r="B813" s="3"/>
      <c r="C813" s="1536"/>
      <c r="D813" s="96"/>
      <c r="E813" s="3"/>
      <c r="F813" s="96"/>
      <c r="G813" s="3"/>
      <c r="H813" s="96"/>
      <c r="I813" s="3"/>
      <c r="J813" s="96"/>
      <c r="K813" s="3"/>
      <c r="L813" s="96"/>
      <c r="M813" s="3"/>
      <c r="N813" s="96"/>
      <c r="O813" s="3"/>
      <c r="P813" s="96"/>
      <c r="Q813" s="1265"/>
      <c r="R813" s="3"/>
      <c r="S813" s="3"/>
      <c r="T813" s="1685"/>
      <c r="U813" s="3"/>
      <c r="V813" s="96"/>
      <c r="W813" s="1265"/>
      <c r="X813" s="3"/>
      <c r="Y813" s="3"/>
      <c r="Z813" s="1569"/>
      <c r="AA813" s="96"/>
    </row>
    <row r="814" spans="1:27" ht="15">
      <c r="A814" s="3"/>
      <c r="B814" s="3"/>
      <c r="C814" s="1536"/>
      <c r="D814" s="96"/>
      <c r="E814" s="3"/>
      <c r="F814" s="96"/>
      <c r="G814" s="3"/>
      <c r="H814" s="96"/>
      <c r="I814" s="3"/>
      <c r="J814" s="96"/>
      <c r="K814" s="3"/>
      <c r="L814" s="96"/>
      <c r="M814" s="3"/>
      <c r="N814" s="96"/>
      <c r="O814" s="3"/>
      <c r="P814" s="96"/>
      <c r="Q814" s="1265"/>
      <c r="R814" s="3"/>
      <c r="S814" s="3"/>
      <c r="T814" s="1685"/>
      <c r="U814" s="3"/>
      <c r="V814" s="96"/>
      <c r="W814" s="1265"/>
      <c r="X814" s="3"/>
      <c r="Y814" s="3"/>
      <c r="Z814" s="1569"/>
      <c r="AA814" s="96"/>
    </row>
    <row r="815" spans="1:27" ht="15">
      <c r="A815" s="3"/>
      <c r="B815" s="3"/>
      <c r="C815" s="1536"/>
      <c r="D815" s="96"/>
      <c r="E815" s="3"/>
      <c r="F815" s="96"/>
      <c r="G815" s="3"/>
      <c r="H815" s="96"/>
      <c r="I815" s="3"/>
      <c r="J815" s="96"/>
      <c r="K815" s="3"/>
      <c r="L815" s="96"/>
      <c r="M815" s="3"/>
      <c r="N815" s="96"/>
      <c r="O815" s="3"/>
      <c r="P815" s="96"/>
      <c r="Q815" s="1265"/>
      <c r="R815" s="3"/>
      <c r="S815" s="3"/>
      <c r="T815" s="1685"/>
      <c r="U815" s="3"/>
      <c r="V815" s="96"/>
      <c r="W815" s="1265"/>
      <c r="X815" s="3"/>
      <c r="Y815" s="3"/>
      <c r="Z815" s="1569"/>
      <c r="AA815" s="96"/>
    </row>
    <row r="816" spans="1:27" ht="15">
      <c r="A816" s="3"/>
      <c r="B816" s="3"/>
      <c r="C816" s="1536"/>
      <c r="D816" s="96"/>
      <c r="E816" s="3"/>
      <c r="F816" s="96"/>
      <c r="G816" s="3"/>
      <c r="H816" s="96"/>
      <c r="I816" s="3"/>
      <c r="J816" s="96"/>
      <c r="K816" s="3"/>
      <c r="L816" s="96"/>
      <c r="M816" s="3"/>
      <c r="N816" s="96"/>
      <c r="O816" s="3"/>
      <c r="P816" s="96"/>
      <c r="Q816" s="1265"/>
      <c r="R816" s="3"/>
      <c r="S816" s="3"/>
      <c r="T816" s="1685"/>
      <c r="U816" s="3"/>
      <c r="V816" s="96"/>
      <c r="W816" s="1265"/>
      <c r="X816" s="3"/>
      <c r="Y816" s="3"/>
      <c r="Z816" s="1569"/>
      <c r="AA816" s="96"/>
    </row>
    <row r="817" spans="1:27" ht="15">
      <c r="A817" s="3"/>
      <c r="B817" s="3"/>
      <c r="C817" s="1536"/>
      <c r="D817" s="96"/>
      <c r="E817" s="3"/>
      <c r="F817" s="96"/>
      <c r="G817" s="3"/>
      <c r="H817" s="96"/>
      <c r="I817" s="3"/>
      <c r="J817" s="96"/>
      <c r="K817" s="3"/>
      <c r="L817" s="96"/>
      <c r="M817" s="3"/>
      <c r="N817" s="96"/>
      <c r="O817" s="3"/>
      <c r="P817" s="96"/>
      <c r="Q817" s="1265"/>
      <c r="R817" s="3"/>
      <c r="S817" s="3"/>
      <c r="T817" s="1685"/>
      <c r="U817" s="3"/>
      <c r="V817" s="96"/>
      <c r="W817" s="1265"/>
      <c r="X817" s="3"/>
      <c r="Y817" s="3"/>
      <c r="Z817" s="1569"/>
      <c r="AA817" s="96"/>
    </row>
    <row r="818" spans="1:27" ht="15">
      <c r="A818" s="3"/>
      <c r="B818" s="3"/>
      <c r="C818" s="1536"/>
      <c r="D818" s="96"/>
      <c r="E818" s="3"/>
      <c r="F818" s="96"/>
      <c r="G818" s="3"/>
      <c r="H818" s="96"/>
      <c r="I818" s="3"/>
      <c r="J818" s="96"/>
      <c r="K818" s="3"/>
      <c r="L818" s="96"/>
      <c r="M818" s="3"/>
      <c r="N818" s="96"/>
      <c r="O818" s="3"/>
      <c r="P818" s="96"/>
      <c r="Q818" s="1265"/>
      <c r="R818" s="3"/>
      <c r="S818" s="3"/>
      <c r="T818" s="1685"/>
      <c r="U818" s="3"/>
      <c r="V818" s="96"/>
      <c r="W818" s="1265"/>
      <c r="X818" s="3"/>
      <c r="Y818" s="3"/>
      <c r="Z818" s="1569"/>
      <c r="AA818" s="96"/>
    </row>
    <row r="819" spans="1:27" ht="15">
      <c r="A819" s="3"/>
      <c r="B819" s="3"/>
      <c r="C819" s="1536"/>
      <c r="D819" s="96"/>
      <c r="E819" s="3"/>
      <c r="F819" s="96"/>
      <c r="G819" s="3"/>
      <c r="H819" s="96"/>
      <c r="I819" s="3"/>
      <c r="J819" s="96"/>
      <c r="K819" s="3"/>
      <c r="L819" s="96"/>
      <c r="M819" s="3"/>
      <c r="N819" s="96"/>
      <c r="O819" s="3"/>
      <c r="P819" s="96"/>
      <c r="Q819" s="1265"/>
      <c r="R819" s="3"/>
      <c r="S819" s="3"/>
      <c r="T819" s="1685"/>
      <c r="U819" s="3"/>
      <c r="V819" s="96"/>
      <c r="W819" s="1265"/>
      <c r="X819" s="3"/>
      <c r="Y819" s="3"/>
      <c r="Z819" s="1569"/>
      <c r="AA819" s="96"/>
    </row>
    <row r="820" spans="1:27" ht="15">
      <c r="A820" s="3"/>
      <c r="B820" s="3"/>
      <c r="C820" s="1536"/>
      <c r="D820" s="96"/>
      <c r="E820" s="3"/>
      <c r="F820" s="96"/>
      <c r="G820" s="3"/>
      <c r="H820" s="96"/>
      <c r="I820" s="3"/>
      <c r="J820" s="96"/>
      <c r="K820" s="3"/>
      <c r="L820" s="96"/>
      <c r="M820" s="3"/>
      <c r="N820" s="96"/>
      <c r="O820" s="3"/>
      <c r="P820" s="96"/>
      <c r="Q820" s="1265"/>
      <c r="R820" s="3"/>
      <c r="S820" s="3"/>
      <c r="T820" s="1685"/>
      <c r="U820" s="3"/>
      <c r="V820" s="96"/>
      <c r="W820" s="1265"/>
      <c r="X820" s="3"/>
      <c r="Y820" s="3"/>
      <c r="Z820" s="1569"/>
      <c r="AA820" s="96"/>
    </row>
    <row r="821" spans="1:27" ht="15">
      <c r="A821" s="3"/>
      <c r="B821" s="3"/>
      <c r="C821" s="1536"/>
      <c r="D821" s="96"/>
      <c r="E821" s="3"/>
      <c r="F821" s="96"/>
      <c r="G821" s="3"/>
      <c r="H821" s="96"/>
      <c r="I821" s="3"/>
      <c r="J821" s="96"/>
      <c r="K821" s="3"/>
      <c r="L821" s="96"/>
      <c r="M821" s="3"/>
      <c r="N821" s="96"/>
      <c r="O821" s="3"/>
      <c r="P821" s="96"/>
      <c r="Q821" s="1265"/>
      <c r="R821" s="3"/>
      <c r="S821" s="3"/>
      <c r="T821" s="1685"/>
      <c r="U821" s="3"/>
      <c r="V821" s="96"/>
      <c r="W821" s="1265"/>
      <c r="X821" s="3"/>
      <c r="Y821" s="3"/>
      <c r="Z821" s="1569"/>
      <c r="AA821" s="96"/>
    </row>
    <row r="822" spans="1:27" ht="15">
      <c r="A822" s="3"/>
      <c r="B822" s="3"/>
      <c r="C822" s="1536"/>
      <c r="D822" s="96"/>
      <c r="E822" s="3"/>
      <c r="F822" s="96"/>
      <c r="G822" s="3"/>
      <c r="H822" s="96"/>
      <c r="I822" s="3"/>
      <c r="J822" s="96"/>
      <c r="K822" s="3"/>
      <c r="L822" s="96"/>
      <c r="M822" s="3"/>
      <c r="N822" s="96"/>
      <c r="O822" s="3"/>
      <c r="P822" s="96"/>
      <c r="Q822" s="1265"/>
      <c r="R822" s="3"/>
      <c r="S822" s="3"/>
      <c r="T822" s="1685"/>
      <c r="U822" s="3"/>
      <c r="V822" s="96"/>
      <c r="W822" s="1265"/>
      <c r="X822" s="3"/>
      <c r="Y822" s="3"/>
      <c r="Z822" s="1569"/>
      <c r="AA822" s="96"/>
    </row>
    <row r="823" spans="1:27" ht="15">
      <c r="A823" s="3"/>
      <c r="B823" s="3"/>
      <c r="C823" s="1536"/>
      <c r="D823" s="96"/>
      <c r="E823" s="3"/>
      <c r="F823" s="96"/>
      <c r="G823" s="3"/>
      <c r="H823" s="96"/>
      <c r="I823" s="3"/>
      <c r="J823" s="96"/>
      <c r="K823" s="3"/>
      <c r="L823" s="96"/>
      <c r="M823" s="3"/>
      <c r="N823" s="96"/>
      <c r="O823" s="3"/>
      <c r="P823" s="96"/>
      <c r="Q823" s="1265"/>
      <c r="R823" s="3"/>
      <c r="S823" s="3"/>
      <c r="T823" s="1685"/>
      <c r="U823" s="3"/>
      <c r="V823" s="96"/>
      <c r="W823" s="1265"/>
      <c r="X823" s="3"/>
      <c r="Y823" s="3"/>
      <c r="Z823" s="1569"/>
      <c r="AA823" s="96"/>
    </row>
    <row r="824" spans="1:27" ht="15">
      <c r="A824" s="3"/>
      <c r="B824" s="3"/>
      <c r="C824" s="1536"/>
      <c r="D824" s="96"/>
      <c r="E824" s="3"/>
      <c r="F824" s="96"/>
      <c r="G824" s="3"/>
      <c r="H824" s="96"/>
      <c r="I824" s="3"/>
      <c r="J824" s="96"/>
      <c r="K824" s="3"/>
      <c r="L824" s="96"/>
      <c r="M824" s="3"/>
      <c r="N824" s="96"/>
      <c r="O824" s="3"/>
      <c r="P824" s="96"/>
      <c r="Q824" s="1265"/>
      <c r="R824" s="3"/>
      <c r="S824" s="3"/>
      <c r="T824" s="1685"/>
      <c r="U824" s="3"/>
      <c r="V824" s="96"/>
      <c r="W824" s="1265"/>
      <c r="X824" s="3"/>
      <c r="Y824" s="3"/>
      <c r="Z824" s="1569"/>
      <c r="AA824" s="96"/>
    </row>
    <row r="825" spans="1:27" ht="15">
      <c r="A825" s="3"/>
      <c r="B825" s="3"/>
      <c r="C825" s="1536"/>
      <c r="D825" s="96"/>
      <c r="E825" s="3"/>
      <c r="F825" s="96"/>
      <c r="G825" s="3"/>
      <c r="H825" s="96"/>
      <c r="I825" s="3"/>
      <c r="J825" s="96"/>
      <c r="K825" s="3"/>
      <c r="L825" s="96"/>
      <c r="M825" s="3"/>
      <c r="N825" s="96"/>
      <c r="O825" s="3"/>
      <c r="P825" s="96"/>
      <c r="Q825" s="1265"/>
      <c r="R825" s="3"/>
      <c r="S825" s="3"/>
      <c r="T825" s="1685"/>
      <c r="U825" s="3"/>
      <c r="V825" s="96"/>
      <c r="W825" s="1265"/>
      <c r="X825" s="3"/>
      <c r="Y825" s="3"/>
      <c r="Z825" s="1569"/>
      <c r="AA825" s="96"/>
    </row>
    <row r="826" spans="1:27" ht="15">
      <c r="A826" s="3"/>
      <c r="B826" s="3"/>
      <c r="C826" s="1536"/>
      <c r="D826" s="96"/>
      <c r="E826" s="3"/>
      <c r="F826" s="96"/>
      <c r="G826" s="3"/>
      <c r="H826" s="96"/>
      <c r="I826" s="3"/>
      <c r="J826" s="96"/>
      <c r="K826" s="3"/>
      <c r="L826" s="96"/>
      <c r="M826" s="3"/>
      <c r="N826" s="96"/>
      <c r="O826" s="3"/>
      <c r="P826" s="96"/>
      <c r="Q826" s="1265"/>
      <c r="R826" s="3"/>
      <c r="S826" s="3"/>
      <c r="T826" s="1685"/>
      <c r="U826" s="3"/>
      <c r="V826" s="96"/>
      <c r="W826" s="1265"/>
      <c r="X826" s="3"/>
      <c r="Y826" s="3"/>
      <c r="Z826" s="1569"/>
      <c r="AA826" s="96"/>
    </row>
    <row r="827" spans="1:27" ht="15">
      <c r="A827" s="3"/>
      <c r="B827" s="3"/>
      <c r="C827" s="1536"/>
      <c r="D827" s="96"/>
      <c r="E827" s="3"/>
      <c r="F827" s="96"/>
      <c r="G827" s="3"/>
      <c r="H827" s="96"/>
      <c r="I827" s="3"/>
      <c r="J827" s="96"/>
      <c r="K827" s="3"/>
      <c r="L827" s="96"/>
      <c r="M827" s="3"/>
      <c r="N827" s="96"/>
      <c r="O827" s="3"/>
      <c r="P827" s="96"/>
      <c r="Q827" s="1265"/>
      <c r="R827" s="3"/>
      <c r="S827" s="3"/>
      <c r="T827" s="1685"/>
      <c r="U827" s="3"/>
      <c r="V827" s="96"/>
      <c r="W827" s="1265"/>
      <c r="X827" s="3"/>
      <c r="Y827" s="3"/>
      <c r="Z827" s="1569"/>
      <c r="AA827" s="96"/>
    </row>
    <row r="828" spans="1:27" ht="15">
      <c r="A828" s="3"/>
      <c r="B828" s="3"/>
      <c r="C828" s="1536"/>
      <c r="D828" s="96"/>
      <c r="E828" s="3"/>
      <c r="F828" s="96"/>
      <c r="G828" s="3"/>
      <c r="H828" s="96"/>
      <c r="I828" s="3"/>
      <c r="J828" s="96"/>
      <c r="K828" s="3"/>
      <c r="L828" s="96"/>
      <c r="M828" s="3"/>
      <c r="N828" s="96"/>
      <c r="O828" s="3"/>
      <c r="P828" s="96"/>
      <c r="Q828" s="1265"/>
      <c r="R828" s="3"/>
      <c r="S828" s="3"/>
      <c r="T828" s="1685"/>
      <c r="U828" s="3"/>
      <c r="V828" s="96"/>
      <c r="W828" s="1265"/>
      <c r="X828" s="3"/>
      <c r="Y828" s="3"/>
      <c r="Z828" s="1569"/>
      <c r="AA828" s="96"/>
    </row>
    <row r="829" spans="1:27" ht="15">
      <c r="A829" s="3"/>
      <c r="B829" s="3"/>
      <c r="C829" s="1536"/>
      <c r="D829" s="96"/>
      <c r="E829" s="3"/>
      <c r="F829" s="96"/>
      <c r="G829" s="3"/>
      <c r="H829" s="96"/>
      <c r="I829" s="3"/>
      <c r="J829" s="96"/>
      <c r="K829" s="3"/>
      <c r="L829" s="96"/>
      <c r="M829" s="3"/>
      <c r="N829" s="96"/>
      <c r="O829" s="3"/>
      <c r="P829" s="96"/>
      <c r="Q829" s="1265"/>
      <c r="R829" s="3"/>
      <c r="S829" s="3"/>
      <c r="T829" s="1685"/>
      <c r="U829" s="3"/>
      <c r="V829" s="96"/>
      <c r="W829" s="1265"/>
      <c r="X829" s="3"/>
      <c r="Y829" s="3"/>
      <c r="Z829" s="1569"/>
      <c r="AA829" s="96"/>
    </row>
    <row r="830" spans="1:27" ht="15">
      <c r="A830" s="3"/>
      <c r="B830" s="3"/>
      <c r="C830" s="1536"/>
      <c r="D830" s="96"/>
      <c r="E830" s="3"/>
      <c r="F830" s="96"/>
      <c r="G830" s="3"/>
      <c r="H830" s="96"/>
      <c r="I830" s="3"/>
      <c r="J830" s="96"/>
      <c r="K830" s="3"/>
      <c r="L830" s="96"/>
      <c r="M830" s="3"/>
      <c r="N830" s="96"/>
      <c r="O830" s="3"/>
      <c r="P830" s="96"/>
      <c r="Q830" s="1265"/>
      <c r="R830" s="3"/>
      <c r="S830" s="3"/>
      <c r="T830" s="1685"/>
      <c r="U830" s="3"/>
      <c r="V830" s="96"/>
      <c r="W830" s="1265"/>
      <c r="X830" s="3"/>
      <c r="Y830" s="3"/>
      <c r="Z830" s="1569"/>
      <c r="AA830" s="96"/>
    </row>
    <row r="831" spans="1:27" ht="15">
      <c r="A831" s="3"/>
      <c r="B831" s="3"/>
      <c r="C831" s="1536"/>
      <c r="D831" s="96"/>
      <c r="E831" s="3"/>
      <c r="F831" s="96"/>
      <c r="G831" s="3"/>
      <c r="H831" s="96"/>
      <c r="I831" s="3"/>
      <c r="J831" s="96"/>
      <c r="K831" s="3"/>
      <c r="L831" s="96"/>
      <c r="M831" s="3"/>
      <c r="N831" s="96"/>
      <c r="O831" s="3"/>
      <c r="P831" s="96"/>
      <c r="Q831" s="1265"/>
      <c r="R831" s="3"/>
      <c r="S831" s="3"/>
      <c r="T831" s="1685"/>
      <c r="U831" s="3"/>
      <c r="V831" s="96"/>
      <c r="W831" s="1265"/>
      <c r="X831" s="3"/>
      <c r="Y831" s="3"/>
      <c r="Z831" s="1569"/>
      <c r="AA831" s="96"/>
    </row>
    <row r="832" spans="1:27" ht="15">
      <c r="A832" s="3"/>
      <c r="B832" s="3"/>
      <c r="C832" s="1536"/>
      <c r="D832" s="96"/>
      <c r="E832" s="3"/>
      <c r="F832" s="96"/>
      <c r="G832" s="3"/>
      <c r="H832" s="96"/>
      <c r="I832" s="3"/>
      <c r="J832" s="96"/>
      <c r="K832" s="3"/>
      <c r="L832" s="96"/>
      <c r="M832" s="3"/>
      <c r="N832" s="96"/>
      <c r="O832" s="3"/>
      <c r="P832" s="96"/>
      <c r="Q832" s="1265"/>
      <c r="R832" s="3"/>
      <c r="S832" s="3"/>
      <c r="T832" s="1685"/>
      <c r="U832" s="3"/>
      <c r="V832" s="96"/>
      <c r="W832" s="1265"/>
      <c r="X832" s="3"/>
      <c r="Y832" s="3"/>
      <c r="Z832" s="1569"/>
      <c r="AA832" s="96"/>
    </row>
    <row r="833" spans="1:27" ht="15">
      <c r="A833" s="3"/>
      <c r="B833" s="3"/>
      <c r="C833" s="1536"/>
      <c r="D833" s="96"/>
      <c r="E833" s="3"/>
      <c r="F833" s="96"/>
      <c r="G833" s="3"/>
      <c r="H833" s="96"/>
      <c r="I833" s="3"/>
      <c r="J833" s="96"/>
      <c r="K833" s="3"/>
      <c r="L833" s="96"/>
      <c r="M833" s="3"/>
      <c r="N833" s="96"/>
      <c r="O833" s="3"/>
      <c r="P833" s="96"/>
      <c r="Q833" s="1265"/>
      <c r="R833" s="3"/>
      <c r="S833" s="3"/>
      <c r="T833" s="1685"/>
      <c r="U833" s="3"/>
      <c r="V833" s="96"/>
      <c r="W833" s="1265"/>
      <c r="X833" s="3"/>
      <c r="Y833" s="3"/>
      <c r="Z833" s="1569"/>
      <c r="AA833" s="96"/>
    </row>
    <row r="834" spans="1:27" ht="15">
      <c r="A834" s="3"/>
      <c r="B834" s="3"/>
      <c r="C834" s="1536"/>
      <c r="D834" s="96"/>
      <c r="E834" s="3"/>
      <c r="F834" s="96"/>
      <c r="G834" s="3"/>
      <c r="H834" s="96"/>
      <c r="I834" s="3"/>
      <c r="J834" s="96"/>
      <c r="K834" s="3"/>
      <c r="L834" s="96"/>
      <c r="M834" s="3"/>
      <c r="N834" s="96"/>
      <c r="O834" s="3"/>
      <c r="P834" s="96"/>
      <c r="Q834" s="1265"/>
      <c r="R834" s="3"/>
      <c r="S834" s="3"/>
      <c r="T834" s="1685"/>
      <c r="U834" s="3"/>
      <c r="V834" s="96"/>
      <c r="W834" s="1265"/>
      <c r="X834" s="3"/>
      <c r="Y834" s="3"/>
      <c r="Z834" s="1569"/>
      <c r="AA834" s="96"/>
    </row>
    <row r="835" spans="1:27" ht="15">
      <c r="A835" s="3"/>
      <c r="B835" s="3"/>
      <c r="C835" s="1536"/>
      <c r="D835" s="96"/>
      <c r="E835" s="3"/>
      <c r="F835" s="96"/>
      <c r="G835" s="3"/>
      <c r="H835" s="96"/>
      <c r="I835" s="3"/>
      <c r="J835" s="96"/>
      <c r="K835" s="3"/>
      <c r="L835" s="96"/>
      <c r="M835" s="3"/>
      <c r="N835" s="96"/>
      <c r="O835" s="3"/>
      <c r="P835" s="96"/>
      <c r="Q835" s="1265"/>
      <c r="R835" s="3"/>
      <c r="S835" s="3"/>
      <c r="T835" s="1685"/>
      <c r="U835" s="3"/>
      <c r="V835" s="96"/>
      <c r="W835" s="1265"/>
      <c r="X835" s="3"/>
      <c r="Y835" s="3"/>
      <c r="Z835" s="1569"/>
      <c r="AA835" s="96"/>
    </row>
    <row r="836" spans="1:27" ht="15">
      <c r="A836" s="3"/>
      <c r="B836" s="3"/>
      <c r="C836" s="1536"/>
      <c r="D836" s="96"/>
      <c r="E836" s="3"/>
      <c r="F836" s="96"/>
      <c r="G836" s="3"/>
      <c r="H836" s="96"/>
      <c r="I836" s="3"/>
      <c r="J836" s="96"/>
      <c r="K836" s="3"/>
      <c r="L836" s="96"/>
      <c r="M836" s="3"/>
      <c r="N836" s="96"/>
      <c r="O836" s="3"/>
      <c r="P836" s="96"/>
      <c r="Q836" s="1265"/>
      <c r="R836" s="3"/>
      <c r="S836" s="3"/>
      <c r="T836" s="1685"/>
      <c r="U836" s="3"/>
      <c r="V836" s="96"/>
      <c r="W836" s="1265"/>
      <c r="X836" s="3"/>
      <c r="Y836" s="3"/>
      <c r="Z836" s="1569"/>
      <c r="AA836" s="96"/>
    </row>
    <row r="837" spans="1:27" ht="15">
      <c r="A837" s="3"/>
      <c r="B837" s="3"/>
      <c r="C837" s="1536"/>
      <c r="D837" s="96"/>
      <c r="E837" s="3"/>
      <c r="F837" s="96"/>
      <c r="G837" s="3"/>
      <c r="H837" s="96"/>
      <c r="I837" s="3"/>
      <c r="J837" s="96"/>
      <c r="K837" s="3"/>
      <c r="L837" s="96"/>
      <c r="M837" s="3"/>
      <c r="N837" s="96"/>
      <c r="O837" s="3"/>
      <c r="P837" s="96"/>
      <c r="Q837" s="1265"/>
      <c r="R837" s="3"/>
      <c r="S837" s="3"/>
      <c r="T837" s="1685"/>
      <c r="U837" s="3"/>
      <c r="V837" s="96"/>
      <c r="W837" s="1265"/>
      <c r="X837" s="3"/>
      <c r="Y837" s="3"/>
      <c r="Z837" s="1569"/>
      <c r="AA837" s="96"/>
    </row>
    <row r="838" spans="1:27" ht="15">
      <c r="A838" s="3"/>
      <c r="B838" s="3"/>
      <c r="C838" s="1536"/>
      <c r="D838" s="96"/>
      <c r="E838" s="3"/>
      <c r="F838" s="96"/>
      <c r="G838" s="3"/>
      <c r="H838" s="96"/>
      <c r="I838" s="3"/>
      <c r="J838" s="96"/>
      <c r="K838" s="3"/>
      <c r="L838" s="96"/>
      <c r="M838" s="3"/>
      <c r="N838" s="96"/>
      <c r="O838" s="3"/>
      <c r="P838" s="96"/>
      <c r="Q838" s="1265"/>
      <c r="R838" s="3"/>
      <c r="S838" s="3"/>
      <c r="T838" s="1685"/>
      <c r="U838" s="3"/>
      <c r="V838" s="96"/>
      <c r="W838" s="1265"/>
      <c r="X838" s="3"/>
      <c r="Y838" s="3"/>
      <c r="Z838" s="1569"/>
      <c r="AA838" s="96"/>
    </row>
    <row r="839" spans="1:27" ht="15">
      <c r="A839" s="3"/>
      <c r="B839" s="3"/>
      <c r="C839" s="1536"/>
      <c r="D839" s="96"/>
      <c r="E839" s="3"/>
      <c r="F839" s="96"/>
      <c r="G839" s="3"/>
      <c r="H839" s="96"/>
      <c r="I839" s="3"/>
      <c r="J839" s="96"/>
      <c r="K839" s="3"/>
      <c r="L839" s="96"/>
      <c r="M839" s="3"/>
      <c r="N839" s="96"/>
      <c r="O839" s="3"/>
      <c r="P839" s="96"/>
      <c r="Q839" s="1265"/>
      <c r="R839" s="3"/>
      <c r="S839" s="3"/>
      <c r="T839" s="1685"/>
      <c r="U839" s="3"/>
      <c r="V839" s="96"/>
      <c r="W839" s="1265"/>
      <c r="X839" s="3"/>
      <c r="Y839" s="3"/>
      <c r="Z839" s="1569"/>
      <c r="AA839" s="96"/>
    </row>
    <row r="840" spans="1:27" ht="15">
      <c r="A840" s="3"/>
      <c r="B840" s="3"/>
      <c r="C840" s="1536"/>
      <c r="D840" s="96"/>
      <c r="E840" s="3"/>
      <c r="F840" s="96"/>
      <c r="G840" s="3"/>
      <c r="H840" s="96"/>
      <c r="I840" s="3"/>
      <c r="J840" s="96"/>
      <c r="K840" s="3"/>
      <c r="L840" s="96"/>
      <c r="M840" s="3"/>
      <c r="N840" s="96"/>
      <c r="O840" s="3"/>
      <c r="P840" s="96"/>
      <c r="Q840" s="1265"/>
      <c r="R840" s="3"/>
      <c r="S840" s="3"/>
      <c r="T840" s="1685"/>
      <c r="U840" s="3"/>
      <c r="V840" s="96"/>
      <c r="W840" s="1265"/>
      <c r="X840" s="3"/>
      <c r="Y840" s="3"/>
      <c r="Z840" s="1569"/>
      <c r="AA840" s="96"/>
    </row>
    <row r="841" spans="1:27" ht="15">
      <c r="A841" s="3"/>
      <c r="B841" s="3"/>
      <c r="C841" s="1536"/>
      <c r="D841" s="96"/>
      <c r="E841" s="3"/>
      <c r="F841" s="96"/>
      <c r="G841" s="3"/>
      <c r="H841" s="96"/>
      <c r="I841" s="3"/>
      <c r="J841" s="96"/>
      <c r="K841" s="3"/>
      <c r="L841" s="96"/>
      <c r="M841" s="3"/>
      <c r="N841" s="96"/>
      <c r="O841" s="3"/>
      <c r="P841" s="96"/>
      <c r="Q841" s="1265"/>
      <c r="R841" s="3"/>
      <c r="S841" s="3"/>
      <c r="T841" s="1685"/>
      <c r="U841" s="3"/>
      <c r="V841" s="96"/>
      <c r="W841" s="1265"/>
      <c r="X841" s="3"/>
      <c r="Y841" s="3"/>
      <c r="Z841" s="1569"/>
      <c r="AA841" s="96"/>
    </row>
    <row r="842" spans="1:27" ht="15">
      <c r="A842" s="3"/>
      <c r="B842" s="3"/>
      <c r="C842" s="1536"/>
      <c r="D842" s="96"/>
      <c r="E842" s="3"/>
      <c r="F842" s="96"/>
      <c r="G842" s="3"/>
      <c r="H842" s="96"/>
      <c r="I842" s="3"/>
      <c r="J842" s="96"/>
      <c r="K842" s="3"/>
      <c r="L842" s="96"/>
      <c r="M842" s="3"/>
      <c r="N842" s="96"/>
      <c r="O842" s="3"/>
      <c r="P842" s="96"/>
      <c r="Q842" s="1265"/>
      <c r="R842" s="3"/>
      <c r="S842" s="3"/>
      <c r="T842" s="1685"/>
      <c r="U842" s="3"/>
      <c r="V842" s="96"/>
      <c r="W842" s="1265"/>
      <c r="X842" s="3"/>
      <c r="Y842" s="3"/>
      <c r="Z842" s="1569"/>
      <c r="AA842" s="96"/>
    </row>
    <row r="843" spans="1:27" ht="15">
      <c r="A843" s="3"/>
      <c r="B843" s="3"/>
      <c r="C843" s="1536"/>
      <c r="D843" s="96"/>
      <c r="E843" s="3"/>
      <c r="F843" s="96"/>
      <c r="G843" s="3"/>
      <c r="H843" s="96"/>
      <c r="I843" s="3"/>
      <c r="J843" s="96"/>
      <c r="K843" s="3"/>
      <c r="L843" s="96"/>
      <c r="M843" s="3"/>
      <c r="N843" s="96"/>
      <c r="O843" s="3"/>
      <c r="P843" s="96"/>
      <c r="Q843" s="1265"/>
      <c r="R843" s="3"/>
      <c r="S843" s="3"/>
      <c r="T843" s="1685"/>
      <c r="U843" s="3"/>
      <c r="V843" s="96"/>
      <c r="W843" s="1265"/>
      <c r="X843" s="3"/>
      <c r="Y843" s="3"/>
      <c r="Z843" s="1569"/>
      <c r="AA843" s="96"/>
    </row>
    <row r="844" spans="1:27" ht="15">
      <c r="A844" s="3"/>
      <c r="B844" s="3"/>
      <c r="C844" s="1536"/>
      <c r="D844" s="96"/>
      <c r="E844" s="3"/>
      <c r="F844" s="96"/>
      <c r="G844" s="3"/>
      <c r="H844" s="96"/>
      <c r="I844" s="3"/>
      <c r="J844" s="96"/>
      <c r="K844" s="3"/>
      <c r="L844" s="96"/>
      <c r="M844" s="3"/>
      <c r="N844" s="96"/>
      <c r="O844" s="3"/>
      <c r="P844" s="96"/>
      <c r="Q844" s="1265"/>
      <c r="R844" s="3"/>
      <c r="S844" s="3"/>
      <c r="T844" s="1685"/>
      <c r="U844" s="3"/>
      <c r="V844" s="96"/>
      <c r="W844" s="1265"/>
      <c r="X844" s="3"/>
      <c r="Y844" s="3"/>
      <c r="Z844" s="1569"/>
      <c r="AA844" s="96"/>
    </row>
    <row r="845" spans="1:27" ht="15">
      <c r="A845" s="3"/>
      <c r="B845" s="3"/>
      <c r="C845" s="1536"/>
      <c r="D845" s="96"/>
      <c r="E845" s="3"/>
      <c r="F845" s="96"/>
      <c r="G845" s="3"/>
      <c r="H845" s="96"/>
      <c r="I845" s="3"/>
      <c r="J845" s="96"/>
      <c r="K845" s="3"/>
      <c r="L845" s="96"/>
      <c r="M845" s="3"/>
      <c r="N845" s="96"/>
      <c r="O845" s="3"/>
      <c r="P845" s="96"/>
      <c r="Q845" s="1265"/>
      <c r="R845" s="3"/>
      <c r="S845" s="3"/>
      <c r="T845" s="1685"/>
      <c r="U845" s="3"/>
      <c r="V845" s="96"/>
      <c r="W845" s="1265"/>
      <c r="X845" s="3"/>
      <c r="Y845" s="3"/>
      <c r="Z845" s="1569"/>
      <c r="AA845" s="96"/>
    </row>
    <row r="846" spans="1:27" ht="15">
      <c r="A846" s="3"/>
      <c r="B846" s="3"/>
      <c r="C846" s="1536"/>
      <c r="D846" s="96"/>
      <c r="E846" s="3"/>
      <c r="F846" s="96"/>
      <c r="G846" s="3"/>
      <c r="H846" s="96"/>
      <c r="I846" s="3"/>
      <c r="J846" s="96"/>
      <c r="K846" s="3"/>
      <c r="L846" s="96"/>
      <c r="M846" s="3"/>
      <c r="N846" s="96"/>
      <c r="O846" s="3"/>
      <c r="P846" s="96"/>
      <c r="Q846" s="1265"/>
      <c r="R846" s="3"/>
      <c r="S846" s="3"/>
      <c r="T846" s="1685"/>
      <c r="U846" s="3"/>
      <c r="V846" s="96"/>
      <c r="W846" s="1265"/>
      <c r="X846" s="3"/>
      <c r="Y846" s="3"/>
      <c r="Z846" s="1569"/>
      <c r="AA846" s="96"/>
    </row>
    <row r="847" spans="1:27" ht="15">
      <c r="A847" s="3"/>
      <c r="B847" s="3"/>
      <c r="C847" s="1536"/>
      <c r="D847" s="96"/>
      <c r="E847" s="3"/>
      <c r="F847" s="96"/>
      <c r="G847" s="3"/>
      <c r="H847" s="96"/>
      <c r="I847" s="3"/>
      <c r="J847" s="96"/>
      <c r="K847" s="3"/>
      <c r="L847" s="96"/>
      <c r="M847" s="3"/>
      <c r="N847" s="96"/>
      <c r="O847" s="3"/>
      <c r="P847" s="96"/>
      <c r="Q847" s="1265"/>
      <c r="R847" s="3"/>
      <c r="S847" s="3"/>
      <c r="T847" s="1685"/>
      <c r="U847" s="3"/>
      <c r="V847" s="96"/>
      <c r="W847" s="1265"/>
      <c r="X847" s="3"/>
      <c r="Y847" s="3"/>
      <c r="Z847" s="1569"/>
      <c r="AA847" s="96"/>
    </row>
    <row r="848" spans="1:27" ht="15">
      <c r="A848" s="3"/>
      <c r="B848" s="3"/>
      <c r="C848" s="1536"/>
      <c r="D848" s="96"/>
      <c r="E848" s="3"/>
      <c r="F848" s="96"/>
      <c r="G848" s="3"/>
      <c r="H848" s="96"/>
      <c r="I848" s="3"/>
      <c r="J848" s="96"/>
      <c r="K848" s="3"/>
      <c r="L848" s="96"/>
      <c r="M848" s="3"/>
      <c r="N848" s="96"/>
      <c r="O848" s="3"/>
      <c r="P848" s="96"/>
      <c r="Q848" s="1265"/>
      <c r="R848" s="3"/>
      <c r="S848" s="3"/>
      <c r="T848" s="1685"/>
      <c r="U848" s="3"/>
      <c r="V848" s="96"/>
      <c r="W848" s="1265"/>
      <c r="X848" s="3"/>
      <c r="Y848" s="3"/>
      <c r="Z848" s="1569"/>
      <c r="AA848" s="96"/>
    </row>
    <row r="849" spans="1:27" ht="15">
      <c r="A849" s="3"/>
      <c r="B849" s="3"/>
      <c r="C849" s="1536"/>
      <c r="D849" s="96"/>
      <c r="E849" s="3"/>
      <c r="F849" s="96"/>
      <c r="G849" s="3"/>
      <c r="H849" s="96"/>
      <c r="I849" s="3"/>
      <c r="J849" s="96"/>
      <c r="K849" s="3"/>
      <c r="L849" s="96"/>
      <c r="M849" s="3"/>
      <c r="N849" s="96"/>
      <c r="O849" s="3"/>
      <c r="P849" s="96"/>
      <c r="Q849" s="1265"/>
      <c r="R849" s="3"/>
      <c r="S849" s="3"/>
      <c r="T849" s="1685"/>
      <c r="U849" s="3"/>
      <c r="V849" s="96"/>
      <c r="W849" s="1265"/>
      <c r="X849" s="3"/>
      <c r="Y849" s="3"/>
      <c r="Z849" s="1569"/>
      <c r="AA849" s="96"/>
    </row>
    <row r="850" spans="1:27" ht="15">
      <c r="A850" s="3"/>
      <c r="B850" s="3"/>
      <c r="C850" s="1536"/>
      <c r="D850" s="96"/>
      <c r="E850" s="3"/>
      <c r="F850" s="96"/>
      <c r="G850" s="3"/>
      <c r="H850" s="96"/>
      <c r="I850" s="3"/>
      <c r="J850" s="96"/>
      <c r="K850" s="3"/>
      <c r="L850" s="96"/>
      <c r="M850" s="3"/>
      <c r="N850" s="96"/>
      <c r="O850" s="3"/>
      <c r="P850" s="96"/>
      <c r="Q850" s="1265"/>
      <c r="R850" s="3"/>
      <c r="S850" s="3"/>
      <c r="T850" s="1685"/>
      <c r="U850" s="3"/>
      <c r="V850" s="96"/>
      <c r="W850" s="1265"/>
      <c r="X850" s="3"/>
      <c r="Y850" s="3"/>
      <c r="Z850" s="1569"/>
      <c r="AA850" s="96"/>
    </row>
    <row r="851" spans="1:27" ht="15">
      <c r="A851" s="3"/>
      <c r="B851" s="3"/>
      <c r="C851" s="1536"/>
      <c r="D851" s="96"/>
      <c r="E851" s="3"/>
      <c r="F851" s="96"/>
      <c r="G851" s="3"/>
      <c r="H851" s="96"/>
      <c r="I851" s="3"/>
      <c r="J851" s="96"/>
      <c r="K851" s="3"/>
      <c r="L851" s="96"/>
      <c r="M851" s="3"/>
      <c r="N851" s="96"/>
      <c r="O851" s="3"/>
      <c r="P851" s="96"/>
      <c r="Q851" s="1265"/>
      <c r="R851" s="3"/>
      <c r="S851" s="3"/>
      <c r="T851" s="1685"/>
      <c r="U851" s="3"/>
      <c r="V851" s="96"/>
      <c r="W851" s="1265"/>
      <c r="X851" s="3"/>
      <c r="Y851" s="3"/>
      <c r="Z851" s="1569"/>
      <c r="AA851" s="96"/>
    </row>
    <row r="852" spans="1:27" ht="15">
      <c r="A852" s="3"/>
      <c r="B852" s="3"/>
      <c r="C852" s="1536"/>
      <c r="D852" s="96"/>
      <c r="E852" s="3"/>
      <c r="F852" s="96"/>
      <c r="G852" s="3"/>
      <c r="H852" s="96"/>
      <c r="I852" s="3"/>
      <c r="J852" s="96"/>
      <c r="K852" s="3"/>
      <c r="L852" s="96"/>
      <c r="M852" s="3"/>
      <c r="N852" s="96"/>
      <c r="O852" s="3"/>
      <c r="P852" s="96"/>
      <c r="Q852" s="1265"/>
      <c r="R852" s="3"/>
      <c r="S852" s="3"/>
      <c r="T852" s="1685"/>
      <c r="U852" s="3"/>
      <c r="V852" s="96"/>
      <c r="W852" s="1265"/>
      <c r="X852" s="3"/>
      <c r="Y852" s="3"/>
      <c r="Z852" s="1569"/>
      <c r="AA852" s="96"/>
    </row>
    <row r="853" spans="1:27" ht="15">
      <c r="A853" s="3"/>
      <c r="B853" s="3"/>
      <c r="C853" s="1536"/>
      <c r="D853" s="96"/>
      <c r="E853" s="3"/>
      <c r="F853" s="96"/>
      <c r="G853" s="3"/>
      <c r="H853" s="96"/>
      <c r="I853" s="3"/>
      <c r="J853" s="96"/>
      <c r="K853" s="3"/>
      <c r="L853" s="96"/>
      <c r="M853" s="3"/>
      <c r="N853" s="96"/>
      <c r="O853" s="3"/>
      <c r="P853" s="96"/>
      <c r="Q853" s="1265"/>
      <c r="R853" s="3"/>
      <c r="S853" s="3"/>
      <c r="T853" s="1685"/>
      <c r="U853" s="3"/>
      <c r="V853" s="96"/>
      <c r="W853" s="1265"/>
      <c r="X853" s="3"/>
      <c r="Y853" s="3"/>
      <c r="Z853" s="1569"/>
      <c r="AA853" s="96"/>
    </row>
    <row r="854" spans="1:27" ht="15">
      <c r="A854" s="3"/>
      <c r="B854" s="3"/>
      <c r="C854" s="1536"/>
      <c r="D854" s="96"/>
      <c r="E854" s="3"/>
      <c r="F854" s="96"/>
      <c r="G854" s="3"/>
      <c r="H854" s="96"/>
      <c r="I854" s="3"/>
      <c r="J854" s="96"/>
      <c r="K854" s="3"/>
      <c r="L854" s="96"/>
      <c r="M854" s="3"/>
      <c r="N854" s="96"/>
      <c r="O854" s="3"/>
      <c r="P854" s="96"/>
      <c r="Q854" s="1265"/>
      <c r="R854" s="3"/>
      <c r="S854" s="3"/>
      <c r="T854" s="1685"/>
      <c r="U854" s="3"/>
      <c r="V854" s="96"/>
      <c r="W854" s="1265"/>
      <c r="X854" s="3"/>
      <c r="Y854" s="3"/>
      <c r="Z854" s="1569"/>
      <c r="AA854" s="96"/>
    </row>
    <row r="855" spans="1:27" ht="15">
      <c r="A855" s="3"/>
      <c r="B855" s="3"/>
      <c r="C855" s="1536"/>
      <c r="D855" s="96"/>
      <c r="E855" s="3"/>
      <c r="F855" s="96"/>
      <c r="G855" s="3"/>
      <c r="H855" s="96"/>
      <c r="I855" s="3"/>
      <c r="J855" s="96"/>
      <c r="K855" s="3"/>
      <c r="L855" s="96"/>
      <c r="M855" s="3"/>
      <c r="N855" s="96"/>
      <c r="O855" s="3"/>
      <c r="P855" s="96"/>
      <c r="Q855" s="1265"/>
      <c r="R855" s="3"/>
      <c r="S855" s="3"/>
      <c r="T855" s="1685"/>
      <c r="U855" s="3"/>
      <c r="V855" s="96"/>
      <c r="W855" s="1265"/>
      <c r="X855" s="3"/>
      <c r="Y855" s="3"/>
      <c r="Z855" s="1569"/>
      <c r="AA855" s="96"/>
    </row>
    <row r="856" spans="1:27" ht="15">
      <c r="A856" s="3"/>
      <c r="B856" s="3"/>
      <c r="C856" s="1536"/>
      <c r="D856" s="96"/>
      <c r="E856" s="3"/>
      <c r="F856" s="96"/>
      <c r="G856" s="3"/>
      <c r="H856" s="96"/>
      <c r="I856" s="3"/>
      <c r="J856" s="96"/>
      <c r="K856" s="3"/>
      <c r="L856" s="96"/>
      <c r="M856" s="3"/>
      <c r="N856" s="96"/>
      <c r="O856" s="3"/>
      <c r="P856" s="96"/>
      <c r="Q856" s="1265"/>
      <c r="R856" s="3"/>
      <c r="S856" s="3"/>
      <c r="T856" s="1685"/>
      <c r="U856" s="3"/>
      <c r="V856" s="96"/>
      <c r="W856" s="1265"/>
      <c r="X856" s="3"/>
      <c r="Y856" s="3"/>
      <c r="Z856" s="1569"/>
      <c r="AA856" s="96"/>
    </row>
    <row r="857" spans="1:27" ht="15">
      <c r="A857" s="3"/>
      <c r="B857" s="3"/>
      <c r="C857" s="1536"/>
      <c r="D857" s="96"/>
      <c r="E857" s="3"/>
      <c r="F857" s="96"/>
      <c r="G857" s="3"/>
      <c r="H857" s="96"/>
      <c r="I857" s="3"/>
      <c r="J857" s="96"/>
      <c r="K857" s="3"/>
      <c r="L857" s="96"/>
      <c r="M857" s="3"/>
      <c r="N857" s="96"/>
      <c r="O857" s="3"/>
      <c r="P857" s="96"/>
      <c r="Q857" s="1265"/>
      <c r="R857" s="3"/>
      <c r="S857" s="3"/>
      <c r="T857" s="1685"/>
      <c r="U857" s="3"/>
      <c r="V857" s="96"/>
      <c r="W857" s="1265"/>
      <c r="X857" s="3"/>
      <c r="Y857" s="3"/>
      <c r="Z857" s="1569"/>
      <c r="AA857" s="96"/>
    </row>
    <row r="858" spans="1:27" ht="15">
      <c r="A858" s="3"/>
      <c r="B858" s="3"/>
      <c r="C858" s="1536"/>
      <c r="D858" s="96"/>
      <c r="E858" s="3"/>
      <c r="F858" s="96"/>
      <c r="G858" s="3"/>
      <c r="H858" s="96"/>
      <c r="I858" s="3"/>
      <c r="J858" s="96"/>
      <c r="K858" s="3"/>
      <c r="L858" s="96"/>
      <c r="M858" s="3"/>
      <c r="N858" s="96"/>
      <c r="O858" s="3"/>
      <c r="P858" s="96"/>
      <c r="Q858" s="1265"/>
      <c r="R858" s="3"/>
      <c r="S858" s="3"/>
      <c r="T858" s="1685"/>
      <c r="U858" s="3"/>
      <c r="V858" s="96"/>
      <c r="W858" s="1265"/>
      <c r="X858" s="3"/>
      <c r="Y858" s="3"/>
      <c r="Z858" s="1569"/>
      <c r="AA858" s="96"/>
    </row>
    <row r="859" spans="1:27" ht="15">
      <c r="A859" s="3"/>
      <c r="B859" s="3"/>
      <c r="C859" s="1536"/>
      <c r="D859" s="96"/>
      <c r="E859" s="3"/>
      <c r="F859" s="96"/>
      <c r="G859" s="3"/>
      <c r="H859" s="96"/>
      <c r="I859" s="3"/>
      <c r="J859" s="96"/>
      <c r="K859" s="3"/>
      <c r="L859" s="96"/>
      <c r="M859" s="3"/>
      <c r="N859" s="96"/>
      <c r="O859" s="3"/>
      <c r="P859" s="96"/>
      <c r="Q859" s="1265"/>
      <c r="R859" s="3"/>
      <c r="S859" s="3"/>
      <c r="T859" s="1685"/>
      <c r="U859" s="3"/>
      <c r="V859" s="96"/>
      <c r="W859" s="1265"/>
      <c r="X859" s="3"/>
      <c r="Y859" s="3"/>
      <c r="Z859" s="1569"/>
      <c r="AA859" s="96"/>
    </row>
    <row r="860" spans="1:27" ht="15">
      <c r="A860" s="3"/>
      <c r="B860" s="3"/>
      <c r="C860" s="1536"/>
      <c r="D860" s="96"/>
      <c r="E860" s="3"/>
      <c r="F860" s="96"/>
      <c r="G860" s="3"/>
      <c r="H860" s="96"/>
      <c r="I860" s="3"/>
      <c r="J860" s="96"/>
      <c r="K860" s="3"/>
      <c r="L860" s="96"/>
      <c r="M860" s="3"/>
      <c r="N860" s="96"/>
      <c r="O860" s="3"/>
      <c r="P860" s="96"/>
      <c r="Q860" s="1265"/>
      <c r="R860" s="3"/>
      <c r="S860" s="3"/>
      <c r="T860" s="1685"/>
      <c r="U860" s="3"/>
      <c r="V860" s="96"/>
      <c r="W860" s="1265"/>
      <c r="X860" s="3"/>
      <c r="Y860" s="3"/>
      <c r="Z860" s="1569"/>
      <c r="AA860" s="96"/>
    </row>
    <row r="861" spans="1:27" ht="15">
      <c r="A861" s="3"/>
      <c r="B861" s="3"/>
      <c r="C861" s="1536"/>
      <c r="D861" s="96"/>
      <c r="E861" s="3"/>
      <c r="F861" s="96"/>
      <c r="G861" s="3"/>
      <c r="H861" s="96"/>
      <c r="I861" s="3"/>
      <c r="J861" s="96"/>
      <c r="K861" s="3"/>
      <c r="L861" s="96"/>
      <c r="M861" s="3"/>
      <c r="N861" s="96"/>
      <c r="O861" s="3"/>
      <c r="P861" s="96"/>
      <c r="Q861" s="1265"/>
      <c r="R861" s="3"/>
      <c r="S861" s="3"/>
      <c r="T861" s="1685"/>
      <c r="U861" s="3"/>
      <c r="V861" s="96"/>
      <c r="W861" s="1265"/>
      <c r="X861" s="3"/>
      <c r="Y861" s="3"/>
      <c r="Z861" s="1569"/>
      <c r="AA861" s="96"/>
    </row>
    <row r="862" spans="1:27" ht="15">
      <c r="A862" s="3"/>
      <c r="B862" s="3"/>
      <c r="C862" s="1536"/>
      <c r="D862" s="96"/>
      <c r="E862" s="3"/>
      <c r="F862" s="96"/>
      <c r="G862" s="3"/>
      <c r="H862" s="96"/>
      <c r="I862" s="3"/>
      <c r="J862" s="96"/>
      <c r="K862" s="3"/>
      <c r="L862" s="96"/>
      <c r="M862" s="3"/>
      <c r="N862" s="96"/>
      <c r="O862" s="3"/>
      <c r="P862" s="96"/>
      <c r="Q862" s="1265"/>
      <c r="R862" s="3"/>
      <c r="S862" s="3"/>
      <c r="T862" s="1685"/>
      <c r="U862" s="3"/>
      <c r="V862" s="96"/>
      <c r="W862" s="1265"/>
      <c r="X862" s="3"/>
      <c r="Y862" s="3"/>
      <c r="Z862" s="1569"/>
      <c r="AA862" s="96"/>
    </row>
    <row r="863" spans="1:27" ht="15">
      <c r="A863" s="3"/>
      <c r="B863" s="3"/>
      <c r="C863" s="1536"/>
      <c r="D863" s="96"/>
      <c r="E863" s="3"/>
      <c r="F863" s="96"/>
      <c r="G863" s="3"/>
      <c r="H863" s="96"/>
      <c r="I863" s="3"/>
      <c r="J863" s="96"/>
      <c r="K863" s="3"/>
      <c r="L863" s="96"/>
      <c r="M863" s="3"/>
      <c r="N863" s="96"/>
      <c r="O863" s="3"/>
      <c r="P863" s="96"/>
      <c r="Q863" s="1265"/>
      <c r="R863" s="3"/>
      <c r="S863" s="3"/>
      <c r="T863" s="1685"/>
      <c r="U863" s="3"/>
      <c r="V863" s="96"/>
      <c r="W863" s="1265"/>
      <c r="X863" s="3"/>
      <c r="Y863" s="3"/>
      <c r="Z863" s="1569"/>
      <c r="AA863" s="96"/>
    </row>
    <row r="864" spans="1:27" ht="15">
      <c r="A864" s="3"/>
      <c r="B864" s="3"/>
      <c r="C864" s="1536"/>
      <c r="D864" s="96"/>
      <c r="E864" s="3"/>
      <c r="F864" s="96"/>
      <c r="G864" s="3"/>
      <c r="H864" s="96"/>
      <c r="I864" s="3"/>
      <c r="J864" s="96"/>
      <c r="K864" s="3"/>
      <c r="L864" s="96"/>
      <c r="M864" s="3"/>
      <c r="N864" s="96"/>
      <c r="O864" s="3"/>
      <c r="P864" s="96"/>
      <c r="Q864" s="1265"/>
      <c r="R864" s="3"/>
      <c r="S864" s="3"/>
      <c r="T864" s="1685"/>
      <c r="U864" s="3"/>
      <c r="V864" s="96"/>
      <c r="W864" s="1265"/>
      <c r="X864" s="3"/>
      <c r="Y864" s="3"/>
      <c r="Z864" s="1569"/>
      <c r="AA864" s="96"/>
    </row>
    <row r="865" spans="1:27" ht="15">
      <c r="A865" s="3"/>
      <c r="B865" s="3"/>
      <c r="C865" s="1536"/>
      <c r="D865" s="96"/>
      <c r="E865" s="3"/>
      <c r="F865" s="96"/>
      <c r="G865" s="3"/>
      <c r="H865" s="96"/>
      <c r="I865" s="3"/>
      <c r="J865" s="96"/>
      <c r="K865" s="3"/>
      <c r="L865" s="96"/>
      <c r="M865" s="3"/>
      <c r="N865" s="96"/>
      <c r="O865" s="3"/>
      <c r="P865" s="96"/>
      <c r="Q865" s="1265"/>
      <c r="R865" s="3"/>
      <c r="S865" s="3"/>
      <c r="T865" s="1685"/>
      <c r="U865" s="3"/>
      <c r="V865" s="96"/>
      <c r="W865" s="1265"/>
      <c r="X865" s="3"/>
      <c r="Y865" s="3"/>
      <c r="Z865" s="1569"/>
      <c r="AA865" s="96"/>
    </row>
    <row r="866" spans="1:27" ht="15">
      <c r="A866" s="3"/>
      <c r="B866" s="3"/>
      <c r="C866" s="1536"/>
      <c r="D866" s="96"/>
      <c r="E866" s="3"/>
      <c r="F866" s="96"/>
      <c r="G866" s="3"/>
      <c r="H866" s="96"/>
      <c r="I866" s="3"/>
      <c r="J866" s="96"/>
      <c r="K866" s="3"/>
      <c r="L866" s="96"/>
      <c r="M866" s="3"/>
      <c r="N866" s="96"/>
      <c r="O866" s="3"/>
      <c r="P866" s="96"/>
      <c r="Q866" s="1265"/>
      <c r="R866" s="3"/>
      <c r="S866" s="3"/>
      <c r="T866" s="1685"/>
      <c r="U866" s="3"/>
      <c r="V866" s="96"/>
      <c r="W866" s="1265"/>
      <c r="X866" s="3"/>
      <c r="Y866" s="3"/>
      <c r="Z866" s="1569"/>
      <c r="AA866" s="96"/>
    </row>
    <row r="867" spans="1:27" ht="15">
      <c r="A867" s="3"/>
      <c r="B867" s="3"/>
      <c r="C867" s="1536"/>
      <c r="D867" s="96"/>
      <c r="E867" s="3"/>
      <c r="F867" s="96"/>
      <c r="G867" s="3"/>
      <c r="H867" s="96"/>
      <c r="I867" s="3"/>
      <c r="J867" s="96"/>
      <c r="K867" s="3"/>
      <c r="L867" s="96"/>
      <c r="M867" s="3"/>
      <c r="N867" s="96"/>
      <c r="O867" s="3"/>
      <c r="P867" s="96"/>
      <c r="Q867" s="1265"/>
      <c r="R867" s="3"/>
      <c r="S867" s="3"/>
      <c r="T867" s="1685"/>
      <c r="U867" s="3"/>
      <c r="V867" s="96"/>
      <c r="W867" s="1265"/>
      <c r="X867" s="3"/>
      <c r="Y867" s="3"/>
      <c r="Z867" s="1569"/>
      <c r="AA867" s="96"/>
    </row>
    <row r="868" spans="1:27" ht="15">
      <c r="A868" s="3"/>
      <c r="B868" s="3"/>
      <c r="C868" s="1536"/>
      <c r="D868" s="96"/>
      <c r="E868" s="3"/>
      <c r="F868" s="96"/>
      <c r="G868" s="3"/>
      <c r="H868" s="96"/>
      <c r="I868" s="3"/>
      <c r="J868" s="96"/>
      <c r="K868" s="3"/>
      <c r="L868" s="96"/>
      <c r="M868" s="3"/>
      <c r="N868" s="96"/>
      <c r="O868" s="3"/>
      <c r="P868" s="96"/>
      <c r="Q868" s="1265"/>
      <c r="R868" s="3"/>
      <c r="S868" s="3"/>
      <c r="T868" s="1685"/>
      <c r="U868" s="3"/>
      <c r="V868" s="96"/>
      <c r="W868" s="1265"/>
      <c r="X868" s="3"/>
      <c r="Y868" s="3"/>
      <c r="Z868" s="1569"/>
      <c r="AA868" s="96"/>
    </row>
    <row r="869" spans="1:27" ht="15">
      <c r="A869" s="3"/>
      <c r="B869" s="3"/>
      <c r="C869" s="1536"/>
      <c r="D869" s="96"/>
      <c r="E869" s="3"/>
      <c r="F869" s="96"/>
      <c r="G869" s="3"/>
      <c r="H869" s="96"/>
      <c r="I869" s="3"/>
      <c r="J869" s="96"/>
      <c r="K869" s="3"/>
      <c r="L869" s="96"/>
      <c r="M869" s="3"/>
      <c r="N869" s="96"/>
      <c r="O869" s="3"/>
      <c r="P869" s="96"/>
      <c r="Q869" s="1265"/>
      <c r="R869" s="3"/>
      <c r="S869" s="3"/>
      <c r="T869" s="1685"/>
      <c r="U869" s="3"/>
      <c r="V869" s="96"/>
      <c r="W869" s="1265"/>
      <c r="X869" s="3"/>
      <c r="Y869" s="3"/>
      <c r="Z869" s="1569"/>
      <c r="AA869" s="96"/>
    </row>
    <row r="870" spans="1:27" ht="15">
      <c r="A870" s="3"/>
      <c r="B870" s="3"/>
      <c r="C870" s="1536"/>
      <c r="D870" s="96"/>
      <c r="E870" s="3"/>
      <c r="F870" s="96"/>
      <c r="G870" s="3"/>
      <c r="H870" s="96"/>
      <c r="I870" s="3"/>
      <c r="J870" s="96"/>
      <c r="K870" s="3"/>
      <c r="L870" s="96"/>
      <c r="M870" s="3"/>
      <c r="N870" s="96"/>
      <c r="O870" s="3"/>
      <c r="P870" s="96"/>
      <c r="Q870" s="1265"/>
      <c r="R870" s="3"/>
      <c r="S870" s="3"/>
      <c r="T870" s="1685"/>
      <c r="U870" s="3"/>
      <c r="V870" s="96"/>
      <c r="W870" s="1265"/>
      <c r="X870" s="3"/>
      <c r="Y870" s="3"/>
      <c r="Z870" s="1569"/>
      <c r="AA870" s="96"/>
    </row>
    <row r="871" spans="1:27" ht="15">
      <c r="A871" s="3"/>
      <c r="B871" s="3"/>
      <c r="C871" s="1536"/>
      <c r="D871" s="96"/>
      <c r="E871" s="3"/>
      <c r="F871" s="96"/>
      <c r="G871" s="3"/>
      <c r="H871" s="96"/>
      <c r="I871" s="3"/>
      <c r="J871" s="96"/>
      <c r="K871" s="3"/>
      <c r="L871" s="96"/>
      <c r="M871" s="3"/>
      <c r="N871" s="96"/>
      <c r="O871" s="3"/>
      <c r="P871" s="96"/>
      <c r="Q871" s="1265"/>
      <c r="R871" s="3"/>
      <c r="S871" s="3"/>
      <c r="T871" s="1685"/>
      <c r="U871" s="3"/>
      <c r="V871" s="96"/>
      <c r="W871" s="1265"/>
      <c r="X871" s="3"/>
      <c r="Y871" s="3"/>
      <c r="Z871" s="1569"/>
      <c r="AA871" s="96"/>
    </row>
    <row r="872" spans="1:27" ht="15">
      <c r="A872" s="3"/>
      <c r="B872" s="3"/>
      <c r="C872" s="1536"/>
      <c r="D872" s="96"/>
      <c r="E872" s="3"/>
      <c r="F872" s="96"/>
      <c r="G872" s="3"/>
      <c r="H872" s="96"/>
      <c r="I872" s="3"/>
      <c r="J872" s="96"/>
      <c r="K872" s="3"/>
      <c r="L872" s="96"/>
      <c r="M872" s="3"/>
      <c r="N872" s="96"/>
      <c r="O872" s="3"/>
      <c r="P872" s="96"/>
      <c r="Q872" s="1265"/>
      <c r="R872" s="3"/>
      <c r="S872" s="3"/>
      <c r="T872" s="1685"/>
      <c r="U872" s="3"/>
      <c r="V872" s="96"/>
      <c r="W872" s="1265"/>
      <c r="X872" s="3"/>
      <c r="Y872" s="3"/>
      <c r="Z872" s="1569"/>
      <c r="AA872" s="96"/>
    </row>
    <row r="873" spans="1:27" ht="15">
      <c r="A873" s="3"/>
      <c r="B873" s="3"/>
      <c r="C873" s="1536"/>
      <c r="D873" s="96"/>
      <c r="E873" s="3"/>
      <c r="F873" s="96"/>
      <c r="G873" s="3"/>
      <c r="H873" s="96"/>
      <c r="I873" s="3"/>
      <c r="J873" s="96"/>
      <c r="K873" s="3"/>
      <c r="L873" s="96"/>
      <c r="M873" s="3"/>
      <c r="N873" s="96"/>
      <c r="O873" s="3"/>
      <c r="P873" s="96"/>
      <c r="Q873" s="1265"/>
      <c r="R873" s="3"/>
      <c r="S873" s="3"/>
      <c r="T873" s="1685"/>
      <c r="U873" s="3"/>
      <c r="V873" s="96"/>
      <c r="W873" s="1265"/>
      <c r="X873" s="3"/>
      <c r="Y873" s="3"/>
      <c r="Z873" s="1569"/>
      <c r="AA873" s="96"/>
    </row>
    <row r="874" spans="1:27" ht="15">
      <c r="A874" s="3"/>
      <c r="B874" s="3"/>
      <c r="C874" s="1536"/>
      <c r="D874" s="96"/>
      <c r="E874" s="3"/>
      <c r="F874" s="96"/>
      <c r="G874" s="3"/>
      <c r="H874" s="96"/>
      <c r="I874" s="3"/>
      <c r="J874" s="96"/>
      <c r="K874" s="3"/>
      <c r="L874" s="96"/>
      <c r="M874" s="3"/>
      <c r="N874" s="96"/>
      <c r="O874" s="3"/>
      <c r="P874" s="96"/>
      <c r="Q874" s="1265"/>
      <c r="R874" s="3"/>
      <c r="S874" s="3"/>
      <c r="T874" s="1685"/>
      <c r="U874" s="3"/>
      <c r="V874" s="96"/>
      <c r="W874" s="1265"/>
      <c r="X874" s="3"/>
      <c r="Y874" s="3"/>
      <c r="Z874" s="1569"/>
      <c r="AA874" s="96"/>
    </row>
    <row r="875" spans="1:27" ht="15">
      <c r="A875" s="3"/>
      <c r="B875" s="3"/>
      <c r="C875" s="1536"/>
      <c r="D875" s="96"/>
      <c r="E875" s="3"/>
      <c r="F875" s="96"/>
      <c r="G875" s="3"/>
      <c r="H875" s="96"/>
      <c r="I875" s="3"/>
      <c r="J875" s="96"/>
      <c r="K875" s="3"/>
      <c r="L875" s="96"/>
      <c r="M875" s="3"/>
      <c r="N875" s="96"/>
      <c r="O875" s="3"/>
      <c r="P875" s="96"/>
      <c r="Q875" s="1265"/>
      <c r="R875" s="3"/>
      <c r="S875" s="3"/>
      <c r="T875" s="1685"/>
      <c r="U875" s="3"/>
      <c r="V875" s="96"/>
      <c r="W875" s="1265"/>
      <c r="X875" s="3"/>
      <c r="Y875" s="3"/>
      <c r="Z875" s="1569"/>
      <c r="AA875" s="96"/>
    </row>
    <row r="876" spans="1:27" ht="15">
      <c r="A876" s="3"/>
      <c r="B876" s="3"/>
      <c r="C876" s="1536"/>
      <c r="D876" s="96"/>
      <c r="E876" s="3"/>
      <c r="F876" s="96"/>
      <c r="G876" s="3"/>
      <c r="H876" s="96"/>
      <c r="I876" s="3"/>
      <c r="J876" s="96"/>
      <c r="K876" s="3"/>
      <c r="L876" s="96"/>
      <c r="M876" s="3"/>
      <c r="N876" s="96"/>
      <c r="O876" s="3"/>
      <c r="P876" s="96"/>
      <c r="Q876" s="1265"/>
      <c r="R876" s="3"/>
      <c r="S876" s="3"/>
      <c r="T876" s="1685"/>
      <c r="U876" s="3"/>
      <c r="V876" s="96"/>
      <c r="W876" s="1265"/>
      <c r="X876" s="3"/>
      <c r="Y876" s="3"/>
      <c r="Z876" s="1569"/>
      <c r="AA876" s="96"/>
    </row>
    <row r="877" spans="1:27" ht="15">
      <c r="A877" s="3"/>
      <c r="B877" s="3"/>
      <c r="C877" s="1536"/>
      <c r="D877" s="96"/>
      <c r="E877" s="3"/>
      <c r="F877" s="96"/>
      <c r="G877" s="3"/>
      <c r="H877" s="96"/>
      <c r="I877" s="3"/>
      <c r="J877" s="96"/>
      <c r="K877" s="3"/>
      <c r="L877" s="96"/>
      <c r="M877" s="3"/>
      <c r="N877" s="96"/>
      <c r="O877" s="3"/>
      <c r="P877" s="96"/>
      <c r="Q877" s="1265"/>
      <c r="R877" s="3"/>
      <c r="S877" s="3"/>
      <c r="T877" s="1685"/>
      <c r="U877" s="3"/>
      <c r="V877" s="96"/>
      <c r="W877" s="1265"/>
      <c r="X877" s="3"/>
      <c r="Y877" s="3"/>
      <c r="Z877" s="1569"/>
      <c r="AA877" s="96"/>
    </row>
    <row r="878" spans="1:27" ht="15">
      <c r="A878" s="3"/>
      <c r="B878" s="3"/>
      <c r="C878" s="1536"/>
      <c r="D878" s="96"/>
      <c r="E878" s="3"/>
      <c r="F878" s="96"/>
      <c r="G878" s="3"/>
      <c r="H878" s="96"/>
      <c r="I878" s="3"/>
      <c r="J878" s="96"/>
      <c r="K878" s="3"/>
      <c r="L878" s="96"/>
      <c r="M878" s="3"/>
      <c r="N878" s="96"/>
      <c r="O878" s="3"/>
      <c r="P878" s="96"/>
      <c r="Q878" s="1265"/>
      <c r="R878" s="3"/>
      <c r="S878" s="3"/>
      <c r="T878" s="1685"/>
      <c r="U878" s="3"/>
      <c r="V878" s="96"/>
      <c r="W878" s="1265"/>
      <c r="X878" s="3"/>
      <c r="Y878" s="3"/>
      <c r="Z878" s="1569"/>
      <c r="AA878" s="96"/>
    </row>
    <row r="879" spans="1:27" ht="15">
      <c r="A879" s="3"/>
      <c r="B879" s="3"/>
      <c r="C879" s="1536"/>
      <c r="D879" s="96"/>
      <c r="E879" s="3"/>
      <c r="F879" s="96"/>
      <c r="G879" s="3"/>
      <c r="H879" s="96"/>
      <c r="I879" s="3"/>
      <c r="J879" s="96"/>
      <c r="K879" s="3"/>
      <c r="L879" s="96"/>
      <c r="M879" s="3"/>
      <c r="N879" s="96"/>
      <c r="O879" s="3"/>
      <c r="P879" s="96"/>
      <c r="Q879" s="1265"/>
      <c r="R879" s="3"/>
      <c r="S879" s="3"/>
      <c r="T879" s="1685"/>
      <c r="U879" s="3"/>
      <c r="V879" s="96"/>
      <c r="W879" s="1265"/>
      <c r="X879" s="3"/>
      <c r="Y879" s="3"/>
      <c r="Z879" s="1569"/>
      <c r="AA879" s="96"/>
    </row>
    <row r="880" spans="1:27" ht="15">
      <c r="A880" s="3"/>
      <c r="B880" s="3"/>
      <c r="C880" s="1536"/>
      <c r="D880" s="96"/>
      <c r="E880" s="3"/>
      <c r="F880" s="96"/>
      <c r="G880" s="3"/>
      <c r="H880" s="96"/>
      <c r="I880" s="3"/>
      <c r="J880" s="96"/>
      <c r="K880" s="3"/>
      <c r="L880" s="96"/>
      <c r="M880" s="3"/>
      <c r="N880" s="96"/>
      <c r="O880" s="3"/>
      <c r="P880" s="96"/>
      <c r="Q880" s="1265"/>
      <c r="R880" s="3"/>
      <c r="S880" s="3"/>
      <c r="T880" s="1685"/>
      <c r="U880" s="3"/>
      <c r="V880" s="96"/>
      <c r="W880" s="1265"/>
      <c r="X880" s="3"/>
      <c r="Y880" s="3"/>
      <c r="Z880" s="1569"/>
      <c r="AA880" s="96"/>
    </row>
    <row r="881" spans="1:27" ht="15">
      <c r="A881" s="3"/>
      <c r="B881" s="3"/>
      <c r="C881" s="1536"/>
      <c r="D881" s="96"/>
      <c r="E881" s="3"/>
      <c r="F881" s="96"/>
      <c r="G881" s="3"/>
      <c r="H881" s="96"/>
      <c r="I881" s="3"/>
      <c r="J881" s="96"/>
      <c r="K881" s="3"/>
      <c r="L881" s="96"/>
      <c r="M881" s="3"/>
      <c r="N881" s="96"/>
      <c r="O881" s="3"/>
      <c r="P881" s="96"/>
      <c r="Q881" s="1265"/>
      <c r="R881" s="3"/>
      <c r="S881" s="3"/>
      <c r="T881" s="1685"/>
      <c r="U881" s="3"/>
      <c r="V881" s="96"/>
      <c r="W881" s="1265"/>
      <c r="X881" s="3"/>
      <c r="Y881" s="3"/>
      <c r="Z881" s="1569"/>
      <c r="AA881" s="96"/>
    </row>
    <row r="882" spans="1:27" ht="15">
      <c r="A882" s="3"/>
      <c r="B882" s="3"/>
      <c r="C882" s="1536"/>
      <c r="D882" s="96"/>
      <c r="E882" s="3"/>
      <c r="F882" s="96"/>
      <c r="G882" s="3"/>
      <c r="H882" s="96"/>
      <c r="I882" s="3"/>
      <c r="J882" s="96"/>
      <c r="K882" s="3"/>
      <c r="L882" s="96"/>
      <c r="M882" s="3"/>
      <c r="N882" s="96"/>
      <c r="O882" s="3"/>
      <c r="P882" s="96"/>
      <c r="Q882" s="1265"/>
      <c r="R882" s="3"/>
      <c r="S882" s="3"/>
      <c r="T882" s="1685"/>
      <c r="U882" s="3"/>
      <c r="V882" s="96"/>
      <c r="W882" s="1265"/>
      <c r="X882" s="3"/>
      <c r="Y882" s="3"/>
      <c r="Z882" s="1569"/>
      <c r="AA882" s="96"/>
    </row>
    <row r="883" spans="1:27" ht="15">
      <c r="A883" s="3"/>
      <c r="B883" s="3"/>
      <c r="C883" s="1536"/>
      <c r="D883" s="96"/>
      <c r="E883" s="3"/>
      <c r="F883" s="96"/>
      <c r="G883" s="3"/>
      <c r="H883" s="96"/>
      <c r="I883" s="3"/>
      <c r="J883" s="96"/>
      <c r="K883" s="3"/>
      <c r="L883" s="96"/>
      <c r="M883" s="3"/>
      <c r="N883" s="96"/>
      <c r="O883" s="3"/>
      <c r="P883" s="96"/>
      <c r="Q883" s="1265"/>
      <c r="R883" s="3"/>
      <c r="S883" s="3"/>
      <c r="T883" s="1685"/>
      <c r="U883" s="3"/>
      <c r="V883" s="96"/>
      <c r="W883" s="1265"/>
      <c r="X883" s="3"/>
      <c r="Y883" s="3"/>
      <c r="Z883" s="1569"/>
      <c r="AA883" s="96"/>
    </row>
    <row r="884" spans="1:27" ht="15">
      <c r="A884" s="3"/>
      <c r="B884" s="3"/>
      <c r="C884" s="1536"/>
      <c r="D884" s="96"/>
      <c r="E884" s="3"/>
      <c r="F884" s="96"/>
      <c r="G884" s="3"/>
      <c r="H884" s="96"/>
      <c r="I884" s="3"/>
      <c r="J884" s="96"/>
      <c r="K884" s="3"/>
      <c r="L884" s="96"/>
      <c r="M884" s="3"/>
      <c r="N884" s="96"/>
      <c r="O884" s="3"/>
      <c r="P884" s="96"/>
      <c r="Q884" s="1265"/>
      <c r="R884" s="3"/>
      <c r="S884" s="3"/>
      <c r="T884" s="1685"/>
      <c r="U884" s="3"/>
      <c r="V884" s="96"/>
      <c r="W884" s="1265"/>
      <c r="X884" s="3"/>
      <c r="Y884" s="3"/>
      <c r="Z884" s="1569"/>
      <c r="AA884" s="96"/>
    </row>
    <row r="885" spans="1:27" ht="15">
      <c r="A885" s="3"/>
      <c r="B885" s="3"/>
      <c r="C885" s="1536"/>
      <c r="D885" s="96"/>
      <c r="E885" s="3"/>
      <c r="F885" s="96"/>
      <c r="G885" s="3"/>
      <c r="H885" s="96"/>
      <c r="I885" s="3"/>
      <c r="J885" s="96"/>
      <c r="K885" s="3"/>
      <c r="L885" s="96"/>
      <c r="M885" s="3"/>
      <c r="N885" s="96"/>
      <c r="O885" s="3"/>
      <c r="P885" s="96"/>
      <c r="Q885" s="1265"/>
      <c r="R885" s="3"/>
      <c r="S885" s="3"/>
      <c r="T885" s="1685"/>
      <c r="U885" s="3"/>
      <c r="V885" s="96"/>
      <c r="W885" s="1265"/>
      <c r="X885" s="3"/>
      <c r="Y885" s="3"/>
      <c r="Z885" s="1569"/>
      <c r="AA885" s="96"/>
    </row>
    <row r="886" spans="1:27" ht="15">
      <c r="A886" s="3"/>
      <c r="B886" s="3"/>
      <c r="C886" s="1536"/>
      <c r="D886" s="96"/>
      <c r="E886" s="3"/>
      <c r="F886" s="96"/>
      <c r="G886" s="3"/>
      <c r="H886" s="96"/>
      <c r="I886" s="3"/>
      <c r="J886" s="96"/>
      <c r="K886" s="3"/>
      <c r="L886" s="96"/>
      <c r="M886" s="3"/>
      <c r="N886" s="96"/>
      <c r="O886" s="3"/>
      <c r="P886" s="96"/>
      <c r="Q886" s="1265"/>
      <c r="R886" s="3"/>
      <c r="S886" s="3"/>
      <c r="T886" s="1685"/>
      <c r="U886" s="3"/>
      <c r="V886" s="96"/>
      <c r="W886" s="1265"/>
      <c r="X886" s="3"/>
      <c r="Y886" s="3"/>
      <c r="Z886" s="1569"/>
      <c r="AA886" s="96"/>
    </row>
    <row r="887" spans="1:27" ht="15">
      <c r="A887" s="3"/>
      <c r="B887" s="3"/>
      <c r="C887" s="1536"/>
      <c r="D887" s="96"/>
      <c r="E887" s="3"/>
      <c r="F887" s="96"/>
      <c r="G887" s="3"/>
      <c r="H887" s="96"/>
      <c r="I887" s="3"/>
      <c r="J887" s="96"/>
      <c r="K887" s="3"/>
      <c r="L887" s="96"/>
      <c r="M887" s="3"/>
      <c r="N887" s="96"/>
      <c r="O887" s="3"/>
      <c r="P887" s="96"/>
      <c r="Q887" s="1265"/>
      <c r="R887" s="3"/>
      <c r="S887" s="3"/>
      <c r="T887" s="1685"/>
      <c r="U887" s="3"/>
      <c r="V887" s="96"/>
      <c r="W887" s="1265"/>
      <c r="X887" s="3"/>
      <c r="Y887" s="3"/>
      <c r="Z887" s="1569"/>
      <c r="AA887" s="96"/>
    </row>
    <row r="888" spans="1:27" ht="15">
      <c r="A888" s="3"/>
      <c r="B888" s="3"/>
      <c r="C888" s="1536"/>
      <c r="D888" s="96"/>
      <c r="E888" s="3"/>
      <c r="F888" s="96"/>
      <c r="G888" s="3"/>
      <c r="H888" s="96"/>
      <c r="I888" s="3"/>
      <c r="J888" s="96"/>
      <c r="K888" s="3"/>
      <c r="L888" s="96"/>
      <c r="M888" s="3"/>
      <c r="N888" s="96"/>
      <c r="O888" s="3"/>
      <c r="P888" s="96"/>
      <c r="Q888" s="1265"/>
      <c r="R888" s="3"/>
      <c r="S888" s="3"/>
      <c r="T888" s="1685"/>
      <c r="U888" s="3"/>
      <c r="V888" s="96"/>
      <c r="W888" s="1265"/>
      <c r="X888" s="3"/>
      <c r="Y888" s="3"/>
      <c r="Z888" s="1569"/>
      <c r="AA888" s="96"/>
    </row>
    <row r="889" spans="1:27" ht="15">
      <c r="A889" s="3"/>
      <c r="B889" s="3"/>
      <c r="C889" s="1536"/>
      <c r="D889" s="96"/>
      <c r="E889" s="3"/>
      <c r="F889" s="96"/>
      <c r="G889" s="3"/>
      <c r="H889" s="96"/>
      <c r="I889" s="3"/>
      <c r="J889" s="96"/>
      <c r="K889" s="3"/>
      <c r="L889" s="96"/>
      <c r="M889" s="3"/>
      <c r="N889" s="96"/>
      <c r="O889" s="3"/>
      <c r="P889" s="96"/>
      <c r="Q889" s="1265"/>
      <c r="R889" s="3"/>
      <c r="S889" s="3"/>
      <c r="T889" s="1685"/>
      <c r="U889" s="3"/>
      <c r="V889" s="96"/>
      <c r="W889" s="1265"/>
      <c r="X889" s="3"/>
      <c r="Y889" s="3"/>
      <c r="Z889" s="1569"/>
      <c r="AA889" s="96"/>
    </row>
    <row r="890" spans="1:27" ht="15">
      <c r="A890" s="3"/>
      <c r="B890" s="3"/>
      <c r="C890" s="1536"/>
      <c r="D890" s="96"/>
      <c r="E890" s="3"/>
      <c r="F890" s="96"/>
      <c r="G890" s="3"/>
      <c r="H890" s="96"/>
      <c r="I890" s="3"/>
      <c r="J890" s="96"/>
      <c r="K890" s="3"/>
      <c r="L890" s="96"/>
      <c r="M890" s="3"/>
      <c r="N890" s="96"/>
      <c r="O890" s="3"/>
      <c r="P890" s="96"/>
      <c r="Q890" s="1265"/>
      <c r="R890" s="3"/>
      <c r="S890" s="3"/>
      <c r="T890" s="1685"/>
      <c r="U890" s="3"/>
      <c r="V890" s="96"/>
      <c r="W890" s="1265"/>
      <c r="X890" s="3"/>
      <c r="Y890" s="3"/>
      <c r="Z890" s="1569"/>
      <c r="AA890" s="96"/>
    </row>
    <row r="891" spans="1:27" ht="15">
      <c r="A891" s="3"/>
      <c r="B891" s="3"/>
      <c r="C891" s="1536"/>
      <c r="D891" s="96"/>
      <c r="E891" s="3"/>
      <c r="F891" s="96"/>
      <c r="G891" s="3"/>
      <c r="H891" s="96"/>
      <c r="I891" s="3"/>
      <c r="J891" s="96"/>
      <c r="K891" s="3"/>
      <c r="L891" s="96"/>
      <c r="M891" s="3"/>
      <c r="N891" s="96"/>
      <c r="O891" s="3"/>
      <c r="P891" s="96"/>
      <c r="Q891" s="1265"/>
      <c r="R891" s="3"/>
      <c r="S891" s="3"/>
      <c r="T891" s="1685"/>
      <c r="U891" s="3"/>
      <c r="V891" s="96"/>
      <c r="W891" s="1265"/>
      <c r="X891" s="3"/>
      <c r="Y891" s="3"/>
      <c r="Z891" s="1569"/>
      <c r="AA891" s="96"/>
    </row>
    <row r="892" spans="1:27" ht="15">
      <c r="A892" s="3"/>
      <c r="B892" s="3"/>
      <c r="C892" s="1536"/>
      <c r="D892" s="96"/>
      <c r="E892" s="3"/>
      <c r="F892" s="96"/>
      <c r="G892" s="3"/>
      <c r="H892" s="96"/>
      <c r="I892" s="3"/>
      <c r="J892" s="96"/>
      <c r="K892" s="3"/>
      <c r="L892" s="96"/>
      <c r="M892" s="3"/>
      <c r="N892" s="96"/>
      <c r="O892" s="3"/>
      <c r="P892" s="96"/>
      <c r="Q892" s="1265"/>
      <c r="R892" s="3"/>
      <c r="S892" s="3"/>
      <c r="T892" s="1685"/>
      <c r="U892" s="3"/>
      <c r="V892" s="96"/>
      <c r="W892" s="1265"/>
      <c r="X892" s="3"/>
      <c r="Y892" s="3"/>
      <c r="Z892" s="1569"/>
      <c r="AA892" s="96"/>
    </row>
    <row r="893" spans="1:27" ht="15">
      <c r="A893" s="3"/>
      <c r="B893" s="3"/>
      <c r="C893" s="1536"/>
      <c r="D893" s="96"/>
      <c r="E893" s="3"/>
      <c r="F893" s="96"/>
      <c r="G893" s="3"/>
      <c r="H893" s="96"/>
      <c r="I893" s="3"/>
      <c r="J893" s="96"/>
      <c r="K893" s="3"/>
      <c r="L893" s="96"/>
      <c r="M893" s="3"/>
      <c r="N893" s="96"/>
      <c r="O893" s="3"/>
      <c r="P893" s="96"/>
      <c r="Q893" s="1265"/>
      <c r="R893" s="3"/>
      <c r="S893" s="3"/>
      <c r="T893" s="1685"/>
      <c r="U893" s="3"/>
      <c r="V893" s="96"/>
      <c r="W893" s="1265"/>
      <c r="X893" s="3"/>
      <c r="Y893" s="3"/>
      <c r="Z893" s="1569"/>
      <c r="AA893" s="96"/>
    </row>
    <row r="894" spans="1:27" ht="15">
      <c r="A894" s="3"/>
      <c r="B894" s="3"/>
      <c r="C894" s="1536"/>
      <c r="D894" s="96"/>
      <c r="E894" s="3"/>
      <c r="F894" s="96"/>
      <c r="G894" s="3"/>
      <c r="H894" s="96"/>
      <c r="I894" s="3"/>
      <c r="J894" s="96"/>
      <c r="K894" s="3"/>
      <c r="L894" s="96"/>
      <c r="M894" s="3"/>
      <c r="N894" s="96"/>
      <c r="O894" s="3"/>
      <c r="P894" s="96"/>
      <c r="Q894" s="1265"/>
      <c r="R894" s="3"/>
      <c r="S894" s="3"/>
      <c r="T894" s="1685"/>
      <c r="U894" s="3"/>
      <c r="V894" s="96"/>
      <c r="W894" s="1265"/>
      <c r="X894" s="3"/>
      <c r="Y894" s="3"/>
      <c r="Z894" s="1569"/>
      <c r="AA894" s="96"/>
    </row>
    <row r="895" spans="1:27" ht="15">
      <c r="A895" s="3"/>
      <c r="B895" s="3"/>
      <c r="C895" s="1536"/>
      <c r="D895" s="96"/>
      <c r="E895" s="3"/>
      <c r="F895" s="96"/>
      <c r="G895" s="3"/>
      <c r="H895" s="96"/>
      <c r="I895" s="3"/>
      <c r="J895" s="96"/>
      <c r="K895" s="3"/>
      <c r="L895" s="96"/>
      <c r="M895" s="3"/>
      <c r="N895" s="96"/>
      <c r="O895" s="3"/>
      <c r="P895" s="96"/>
      <c r="Q895" s="1265"/>
      <c r="R895" s="3"/>
      <c r="S895" s="3"/>
      <c r="T895" s="1685"/>
      <c r="U895" s="3"/>
      <c r="V895" s="96"/>
      <c r="W895" s="1265"/>
      <c r="X895" s="3"/>
      <c r="Y895" s="3"/>
      <c r="Z895" s="1569"/>
      <c r="AA895" s="96"/>
    </row>
    <row r="896" spans="1:27" ht="15">
      <c r="A896" s="3"/>
      <c r="B896" s="3"/>
      <c r="C896" s="1536"/>
      <c r="D896" s="96"/>
      <c r="E896" s="3"/>
      <c r="F896" s="96"/>
      <c r="G896" s="3"/>
      <c r="H896" s="96"/>
      <c r="I896" s="3"/>
      <c r="J896" s="96"/>
      <c r="K896" s="3"/>
      <c r="L896" s="96"/>
      <c r="M896" s="3"/>
      <c r="N896" s="96"/>
      <c r="O896" s="3"/>
      <c r="P896" s="96"/>
      <c r="Q896" s="1265"/>
      <c r="R896" s="3"/>
      <c r="S896" s="3"/>
      <c r="T896" s="1685"/>
      <c r="U896" s="3"/>
      <c r="V896" s="96"/>
      <c r="W896" s="1265"/>
      <c r="X896" s="3"/>
      <c r="Y896" s="3"/>
      <c r="Z896" s="1569"/>
      <c r="AA896" s="96"/>
    </row>
    <row r="897" spans="1:27" ht="15">
      <c r="A897" s="3"/>
      <c r="B897" s="3"/>
      <c r="C897" s="1536"/>
      <c r="D897" s="96"/>
      <c r="E897" s="3"/>
      <c r="F897" s="96"/>
      <c r="G897" s="3"/>
      <c r="H897" s="96"/>
      <c r="I897" s="3"/>
      <c r="J897" s="96"/>
      <c r="K897" s="3"/>
      <c r="L897" s="96"/>
      <c r="M897" s="3"/>
      <c r="N897" s="96"/>
      <c r="O897" s="3"/>
      <c r="P897" s="96"/>
      <c r="Q897" s="1265"/>
      <c r="R897" s="3"/>
      <c r="S897" s="3"/>
      <c r="T897" s="1685"/>
      <c r="U897" s="3"/>
      <c r="V897" s="96"/>
      <c r="W897" s="1265"/>
      <c r="X897" s="3"/>
      <c r="Y897" s="3"/>
      <c r="Z897" s="1569"/>
      <c r="AA897" s="96"/>
    </row>
    <row r="898" spans="1:27" ht="15">
      <c r="A898" s="3"/>
      <c r="B898" s="3"/>
      <c r="C898" s="1536"/>
      <c r="D898" s="96"/>
      <c r="E898" s="3"/>
      <c r="F898" s="96"/>
      <c r="G898" s="3"/>
      <c r="H898" s="96"/>
      <c r="I898" s="3"/>
      <c r="J898" s="96"/>
      <c r="K898" s="3"/>
      <c r="L898" s="96"/>
      <c r="M898" s="3"/>
      <c r="N898" s="96"/>
      <c r="O898" s="3"/>
      <c r="P898" s="96"/>
      <c r="Q898" s="1265"/>
      <c r="R898" s="3"/>
      <c r="S898" s="3"/>
      <c r="T898" s="1685"/>
      <c r="U898" s="3"/>
      <c r="V898" s="96"/>
      <c r="W898" s="1265"/>
      <c r="X898" s="3"/>
      <c r="Y898" s="3"/>
      <c r="Z898" s="1569"/>
      <c r="AA898" s="96"/>
    </row>
    <row r="899" spans="1:27" ht="15">
      <c r="A899" s="3"/>
      <c r="B899" s="3"/>
      <c r="C899" s="1536"/>
      <c r="D899" s="96"/>
      <c r="E899" s="3"/>
      <c r="F899" s="96"/>
      <c r="G899" s="3"/>
      <c r="H899" s="96"/>
      <c r="I899" s="3"/>
      <c r="J899" s="96"/>
      <c r="K899" s="3"/>
      <c r="L899" s="96"/>
      <c r="M899" s="3"/>
      <c r="N899" s="96"/>
      <c r="O899" s="3"/>
      <c r="P899" s="96"/>
      <c r="Q899" s="1265"/>
      <c r="R899" s="3"/>
      <c r="S899" s="3"/>
      <c r="T899" s="1685"/>
      <c r="U899" s="3"/>
      <c r="V899" s="96"/>
      <c r="W899" s="1265"/>
      <c r="X899" s="3"/>
      <c r="Y899" s="3"/>
      <c r="Z899" s="1569"/>
      <c r="AA899" s="96"/>
    </row>
    <row r="900" spans="1:27" ht="15">
      <c r="A900" s="3"/>
      <c r="B900" s="3"/>
      <c r="C900" s="1536"/>
      <c r="D900" s="96"/>
      <c r="E900" s="3"/>
      <c r="F900" s="96"/>
      <c r="G900" s="3"/>
      <c r="H900" s="96"/>
      <c r="I900" s="3"/>
      <c r="J900" s="96"/>
      <c r="K900" s="3"/>
      <c r="L900" s="96"/>
      <c r="M900" s="3"/>
      <c r="N900" s="96"/>
      <c r="O900" s="3"/>
      <c r="P900" s="96"/>
      <c r="Q900" s="1265"/>
      <c r="R900" s="3"/>
      <c r="S900" s="3"/>
      <c r="T900" s="1685"/>
      <c r="U900" s="3"/>
      <c r="V900" s="96"/>
      <c r="W900" s="1265"/>
      <c r="X900" s="3"/>
      <c r="Y900" s="3"/>
      <c r="Z900" s="1569"/>
      <c r="AA900" s="96"/>
    </row>
    <row r="901" spans="1:27" ht="15">
      <c r="A901" s="3"/>
      <c r="B901" s="3"/>
      <c r="C901" s="1536"/>
      <c r="D901" s="96"/>
      <c r="E901" s="3"/>
      <c r="F901" s="96"/>
      <c r="G901" s="3"/>
      <c r="H901" s="96"/>
      <c r="I901" s="3"/>
      <c r="J901" s="96"/>
      <c r="K901" s="3"/>
      <c r="L901" s="96"/>
      <c r="M901" s="3"/>
      <c r="N901" s="96"/>
      <c r="O901" s="3"/>
      <c r="P901" s="96"/>
      <c r="Q901" s="1265"/>
      <c r="R901" s="3"/>
      <c r="S901" s="3"/>
      <c r="T901" s="1685"/>
      <c r="U901" s="3"/>
      <c r="V901" s="96"/>
      <c r="W901" s="1265"/>
      <c r="X901" s="3"/>
      <c r="Y901" s="3"/>
      <c r="Z901" s="1569"/>
      <c r="AA901" s="96"/>
    </row>
    <row r="902" spans="1:27" ht="15">
      <c r="A902" s="3"/>
      <c r="B902" s="3"/>
      <c r="C902" s="1536"/>
      <c r="D902" s="96"/>
      <c r="E902" s="3"/>
      <c r="F902" s="96"/>
      <c r="G902" s="3"/>
      <c r="H902" s="96"/>
      <c r="I902" s="3"/>
      <c r="J902" s="96"/>
      <c r="K902" s="3"/>
      <c r="L902" s="96"/>
      <c r="M902" s="3"/>
      <c r="N902" s="96"/>
      <c r="O902" s="3"/>
      <c r="P902" s="96"/>
      <c r="Q902" s="1265"/>
      <c r="R902" s="3"/>
      <c r="S902" s="3"/>
      <c r="T902" s="1685"/>
      <c r="U902" s="3"/>
      <c r="V902" s="96"/>
      <c r="W902" s="1265"/>
      <c r="X902" s="3"/>
      <c r="Y902" s="3"/>
      <c r="Z902" s="1569"/>
      <c r="AA902" s="96"/>
    </row>
    <row r="903" spans="1:27" ht="15">
      <c r="A903" s="3"/>
      <c r="B903" s="3"/>
      <c r="C903" s="1536"/>
      <c r="D903" s="96"/>
      <c r="E903" s="3"/>
      <c r="F903" s="96"/>
      <c r="G903" s="3"/>
      <c r="H903" s="96"/>
      <c r="I903" s="3"/>
      <c r="J903" s="96"/>
      <c r="K903" s="3"/>
      <c r="L903" s="96"/>
      <c r="M903" s="3"/>
      <c r="N903" s="96"/>
      <c r="O903" s="3"/>
      <c r="P903" s="96"/>
      <c r="Q903" s="1265"/>
      <c r="R903" s="3"/>
      <c r="S903" s="3"/>
      <c r="T903" s="1685"/>
      <c r="U903" s="3"/>
      <c r="V903" s="96"/>
      <c r="W903" s="1265"/>
      <c r="X903" s="3"/>
      <c r="Y903" s="3"/>
      <c r="Z903" s="1569"/>
      <c r="AA903" s="96"/>
    </row>
    <row r="904" spans="1:27" ht="15">
      <c r="A904" s="3"/>
      <c r="B904" s="3"/>
      <c r="C904" s="1536"/>
      <c r="D904" s="96"/>
      <c r="E904" s="3"/>
      <c r="F904" s="96"/>
      <c r="G904" s="3"/>
      <c r="H904" s="96"/>
      <c r="I904" s="3"/>
      <c r="J904" s="96"/>
      <c r="K904" s="3"/>
      <c r="L904" s="96"/>
      <c r="M904" s="3"/>
      <c r="N904" s="96"/>
      <c r="O904" s="3"/>
      <c r="P904" s="96"/>
      <c r="Q904" s="1265"/>
      <c r="R904" s="3"/>
      <c r="S904" s="3"/>
      <c r="T904" s="1685"/>
      <c r="U904" s="3"/>
      <c r="V904" s="96"/>
      <c r="W904" s="1265"/>
      <c r="X904" s="3"/>
      <c r="Y904" s="3"/>
      <c r="Z904" s="1569"/>
      <c r="AA904" s="96"/>
    </row>
    <row r="905" spans="1:27" ht="15">
      <c r="A905" s="3"/>
      <c r="B905" s="3"/>
      <c r="C905" s="1536"/>
      <c r="D905" s="96"/>
      <c r="E905" s="3"/>
      <c r="F905" s="96"/>
      <c r="G905" s="3"/>
      <c r="H905" s="96"/>
      <c r="I905" s="3"/>
      <c r="J905" s="96"/>
      <c r="K905" s="3"/>
      <c r="L905" s="96"/>
      <c r="M905" s="3"/>
      <c r="N905" s="96"/>
      <c r="O905" s="3"/>
      <c r="P905" s="96"/>
      <c r="Q905" s="1265"/>
      <c r="R905" s="3"/>
      <c r="S905" s="3"/>
      <c r="T905" s="1685"/>
      <c r="U905" s="3"/>
      <c r="V905" s="96"/>
      <c r="W905" s="1265"/>
      <c r="X905" s="3"/>
      <c r="Y905" s="3"/>
      <c r="Z905" s="1569"/>
      <c r="AA905" s="96"/>
    </row>
    <row r="906" spans="1:27" ht="15">
      <c r="A906" s="3"/>
      <c r="B906" s="3"/>
      <c r="C906" s="1536"/>
      <c r="D906" s="96"/>
      <c r="E906" s="3"/>
      <c r="F906" s="96"/>
      <c r="G906" s="3"/>
      <c r="H906" s="96"/>
      <c r="I906" s="3"/>
      <c r="J906" s="96"/>
      <c r="K906" s="3"/>
      <c r="L906" s="96"/>
      <c r="M906" s="3"/>
      <c r="N906" s="96"/>
      <c r="O906" s="3"/>
      <c r="P906" s="96"/>
      <c r="Q906" s="1265"/>
      <c r="R906" s="3"/>
      <c r="S906" s="3"/>
      <c r="T906" s="1685"/>
      <c r="U906" s="3"/>
      <c r="V906" s="96"/>
      <c r="W906" s="1265"/>
      <c r="X906" s="3"/>
      <c r="Y906" s="3"/>
      <c r="Z906" s="1569"/>
      <c r="AA906" s="96"/>
    </row>
    <row r="907" spans="1:27" ht="15">
      <c r="A907" s="3"/>
      <c r="B907" s="3"/>
      <c r="C907" s="1536"/>
      <c r="D907" s="96"/>
      <c r="E907" s="3"/>
      <c r="F907" s="96"/>
      <c r="G907" s="3"/>
      <c r="H907" s="96"/>
      <c r="I907" s="3"/>
      <c r="J907" s="96"/>
      <c r="K907" s="3"/>
      <c r="L907" s="96"/>
      <c r="M907" s="3"/>
      <c r="N907" s="96"/>
      <c r="O907" s="3"/>
      <c r="P907" s="96"/>
      <c r="Q907" s="1265"/>
      <c r="R907" s="3"/>
      <c r="S907" s="3"/>
      <c r="T907" s="1685"/>
      <c r="U907" s="3"/>
      <c r="V907" s="96"/>
      <c r="W907" s="1265"/>
      <c r="X907" s="3"/>
      <c r="Y907" s="3"/>
      <c r="Z907" s="1569"/>
      <c r="AA907" s="96"/>
    </row>
    <row r="908" spans="1:27" ht="15">
      <c r="A908" s="3"/>
      <c r="B908" s="3"/>
      <c r="C908" s="1536"/>
      <c r="D908" s="96"/>
      <c r="E908" s="3"/>
      <c r="F908" s="96"/>
      <c r="G908" s="3"/>
      <c r="H908" s="96"/>
      <c r="I908" s="3"/>
      <c r="J908" s="96"/>
      <c r="K908" s="3"/>
      <c r="L908" s="96"/>
      <c r="M908" s="3"/>
      <c r="N908" s="96"/>
      <c r="O908" s="3"/>
      <c r="P908" s="96"/>
      <c r="Q908" s="1265"/>
      <c r="R908" s="3"/>
      <c r="S908" s="3"/>
      <c r="T908" s="1685"/>
      <c r="U908" s="3"/>
      <c r="V908" s="96"/>
      <c r="W908" s="1265"/>
      <c r="X908" s="3"/>
      <c r="Y908" s="3"/>
      <c r="Z908" s="1569"/>
      <c r="AA908" s="96"/>
    </row>
    <row r="909" spans="1:27" ht="15">
      <c r="A909" s="3"/>
      <c r="B909" s="3"/>
      <c r="C909" s="1536"/>
      <c r="D909" s="96"/>
      <c r="E909" s="3"/>
      <c r="F909" s="96"/>
      <c r="G909" s="3"/>
      <c r="H909" s="96"/>
      <c r="I909" s="3"/>
      <c r="J909" s="96"/>
      <c r="K909" s="3"/>
      <c r="L909" s="96"/>
      <c r="M909" s="3"/>
      <c r="N909" s="96"/>
      <c r="O909" s="3"/>
      <c r="P909" s="96"/>
      <c r="Q909" s="1265"/>
      <c r="R909" s="3"/>
      <c r="S909" s="3"/>
      <c r="T909" s="1685"/>
      <c r="U909" s="3"/>
      <c r="V909" s="96"/>
      <c r="W909" s="1265"/>
      <c r="X909" s="3"/>
      <c r="Y909" s="3"/>
      <c r="Z909" s="1569"/>
      <c r="AA909" s="96"/>
    </row>
    <row r="910" spans="1:27" ht="15">
      <c r="A910" s="3"/>
      <c r="B910" s="3"/>
      <c r="C910" s="1536"/>
      <c r="D910" s="96"/>
      <c r="E910" s="3"/>
      <c r="F910" s="96"/>
      <c r="G910" s="3"/>
      <c r="H910" s="96"/>
      <c r="I910" s="3"/>
      <c r="J910" s="96"/>
      <c r="K910" s="3"/>
      <c r="L910" s="96"/>
      <c r="M910" s="3"/>
      <c r="N910" s="96"/>
      <c r="O910" s="3"/>
      <c r="P910" s="96"/>
      <c r="Q910" s="1265"/>
      <c r="R910" s="3"/>
      <c r="S910" s="3"/>
      <c r="T910" s="1685"/>
      <c r="U910" s="3"/>
      <c r="V910" s="96"/>
      <c r="W910" s="1265"/>
      <c r="X910" s="3"/>
      <c r="Y910" s="3"/>
      <c r="Z910" s="1569"/>
      <c r="AA910" s="96"/>
    </row>
    <row r="911" spans="1:27" ht="15">
      <c r="A911" s="3"/>
      <c r="B911" s="3"/>
      <c r="C911" s="1536"/>
      <c r="D911" s="96"/>
      <c r="E911" s="3"/>
      <c r="F911" s="96"/>
      <c r="G911" s="3"/>
      <c r="H911" s="96"/>
      <c r="I911" s="3"/>
      <c r="J911" s="96"/>
      <c r="K911" s="3"/>
      <c r="L911" s="96"/>
      <c r="M911" s="3"/>
      <c r="N911" s="96"/>
      <c r="O911" s="3"/>
      <c r="P911" s="96"/>
      <c r="Q911" s="1265"/>
      <c r="R911" s="3"/>
      <c r="S911" s="3"/>
      <c r="T911" s="1685"/>
      <c r="U911" s="3"/>
      <c r="V911" s="96"/>
      <c r="W911" s="1265"/>
      <c r="X911" s="3"/>
      <c r="Y911" s="3"/>
      <c r="Z911" s="1569"/>
      <c r="AA911" s="96"/>
    </row>
    <row r="912" spans="1:27" ht="15">
      <c r="A912" s="3"/>
      <c r="B912" s="3"/>
      <c r="C912" s="1536"/>
      <c r="D912" s="96"/>
      <c r="E912" s="3"/>
      <c r="F912" s="96"/>
      <c r="G912" s="3"/>
      <c r="H912" s="96"/>
      <c r="I912" s="3"/>
      <c r="J912" s="96"/>
      <c r="K912" s="3"/>
      <c r="L912" s="96"/>
      <c r="M912" s="3"/>
      <c r="N912" s="96"/>
      <c r="O912" s="3"/>
      <c r="P912" s="96"/>
      <c r="Q912" s="1265"/>
      <c r="R912" s="3"/>
      <c r="S912" s="3"/>
      <c r="T912" s="1685"/>
      <c r="U912" s="3"/>
      <c r="V912" s="96"/>
      <c r="W912" s="1265"/>
      <c r="X912" s="3"/>
      <c r="Y912" s="3"/>
      <c r="Z912" s="1569"/>
      <c r="AA912" s="96"/>
    </row>
    <row r="913" spans="1:27" ht="15">
      <c r="A913" s="3"/>
      <c r="B913" s="3"/>
      <c r="C913" s="1536"/>
      <c r="D913" s="96"/>
      <c r="E913" s="3"/>
      <c r="F913" s="96"/>
      <c r="G913" s="3"/>
      <c r="H913" s="96"/>
      <c r="I913" s="3"/>
      <c r="J913" s="96"/>
      <c r="K913" s="3"/>
      <c r="L913" s="96"/>
      <c r="M913" s="3"/>
      <c r="N913" s="96"/>
      <c r="O913" s="3"/>
      <c r="P913" s="96"/>
      <c r="Q913" s="1265"/>
      <c r="R913" s="3"/>
      <c r="S913" s="3"/>
      <c r="T913" s="1685"/>
      <c r="U913" s="3"/>
      <c r="V913" s="96"/>
      <c r="W913" s="1265"/>
      <c r="X913" s="3"/>
      <c r="Y913" s="3"/>
      <c r="Z913" s="1569"/>
      <c r="AA913" s="96"/>
    </row>
    <row r="914" spans="1:27" ht="15">
      <c r="A914" s="3"/>
      <c r="B914" s="3"/>
      <c r="C914" s="1536"/>
      <c r="D914" s="96"/>
      <c r="E914" s="3"/>
      <c r="F914" s="96"/>
      <c r="G914" s="3"/>
      <c r="H914" s="96"/>
      <c r="I914" s="3"/>
      <c r="J914" s="96"/>
      <c r="K914" s="3"/>
      <c r="L914" s="96"/>
      <c r="M914" s="3"/>
      <c r="N914" s="96"/>
      <c r="O914" s="3"/>
      <c r="P914" s="96"/>
      <c r="Q914" s="1265"/>
      <c r="R914" s="3"/>
      <c r="S914" s="3"/>
      <c r="T914" s="1685"/>
      <c r="U914" s="3"/>
      <c r="V914" s="96"/>
      <c r="W914" s="1265"/>
      <c r="X914" s="3"/>
      <c r="Y914" s="3"/>
      <c r="Z914" s="1569"/>
      <c r="AA914" s="96"/>
    </row>
    <row r="915" spans="1:27" ht="15">
      <c r="A915" s="3"/>
      <c r="B915" s="3"/>
      <c r="C915" s="1536"/>
      <c r="D915" s="96"/>
      <c r="E915" s="3"/>
      <c r="F915" s="96"/>
      <c r="G915" s="3"/>
      <c r="H915" s="96"/>
      <c r="I915" s="3"/>
      <c r="J915" s="96"/>
      <c r="K915" s="3"/>
      <c r="L915" s="96"/>
      <c r="M915" s="3"/>
      <c r="N915" s="96"/>
      <c r="O915" s="3"/>
      <c r="P915" s="96"/>
      <c r="Q915" s="1265"/>
      <c r="R915" s="3"/>
      <c r="S915" s="3"/>
      <c r="T915" s="1685"/>
      <c r="U915" s="3"/>
      <c r="V915" s="96"/>
      <c r="W915" s="1265"/>
      <c r="X915" s="3"/>
      <c r="Y915" s="3"/>
      <c r="Z915" s="1569"/>
      <c r="AA915" s="96"/>
    </row>
    <row r="916" spans="1:27" ht="15">
      <c r="A916" s="3"/>
      <c r="B916" s="3"/>
      <c r="C916" s="1536"/>
      <c r="D916" s="96"/>
      <c r="E916" s="3"/>
      <c r="F916" s="96"/>
      <c r="G916" s="3"/>
      <c r="H916" s="96"/>
      <c r="I916" s="3"/>
      <c r="J916" s="96"/>
      <c r="K916" s="3"/>
      <c r="L916" s="96"/>
      <c r="M916" s="3"/>
      <c r="N916" s="96"/>
      <c r="O916" s="3"/>
      <c r="P916" s="96"/>
      <c r="Q916" s="1265"/>
      <c r="R916" s="3"/>
      <c r="S916" s="3"/>
      <c r="T916" s="1685"/>
      <c r="U916" s="3"/>
      <c r="V916" s="96"/>
      <c r="W916" s="1265"/>
      <c r="X916" s="3"/>
      <c r="Y916" s="3"/>
      <c r="Z916" s="1569"/>
      <c r="AA916" s="96"/>
    </row>
    <row r="917" spans="1:27" ht="15">
      <c r="A917" s="3"/>
      <c r="B917" s="3"/>
      <c r="C917" s="1536"/>
      <c r="D917" s="96"/>
      <c r="E917" s="3"/>
      <c r="F917" s="96"/>
      <c r="G917" s="3"/>
      <c r="H917" s="96"/>
      <c r="I917" s="3"/>
      <c r="J917" s="96"/>
      <c r="K917" s="3"/>
      <c r="L917" s="96"/>
      <c r="M917" s="3"/>
      <c r="N917" s="96"/>
      <c r="O917" s="3"/>
      <c r="P917" s="96"/>
      <c r="Q917" s="1265"/>
      <c r="R917" s="3"/>
      <c r="S917" s="3"/>
      <c r="T917" s="1685"/>
      <c r="U917" s="3"/>
      <c r="V917" s="96"/>
      <c r="W917" s="1265"/>
      <c r="X917" s="3"/>
      <c r="Y917" s="3"/>
      <c r="Z917" s="1569"/>
      <c r="AA917" s="96"/>
    </row>
    <row r="918" spans="1:27" ht="15">
      <c r="A918" s="3"/>
      <c r="B918" s="3"/>
      <c r="C918" s="1536"/>
      <c r="D918" s="96"/>
      <c r="E918" s="3"/>
      <c r="F918" s="96"/>
      <c r="G918" s="3"/>
      <c r="H918" s="96"/>
      <c r="I918" s="3"/>
      <c r="J918" s="96"/>
      <c r="K918" s="3"/>
      <c r="L918" s="96"/>
      <c r="M918" s="3"/>
      <c r="N918" s="96"/>
      <c r="O918" s="3"/>
      <c r="P918" s="96"/>
      <c r="Q918" s="1265"/>
      <c r="R918" s="3"/>
      <c r="S918" s="3"/>
      <c r="T918" s="1685"/>
      <c r="U918" s="3"/>
      <c r="V918" s="96"/>
      <c r="W918" s="1265"/>
      <c r="X918" s="3"/>
      <c r="Y918" s="3"/>
      <c r="Z918" s="1569"/>
      <c r="AA918" s="96"/>
    </row>
    <row r="919" spans="1:27" ht="15">
      <c r="A919" s="3"/>
      <c r="B919" s="3"/>
      <c r="C919" s="1536"/>
      <c r="D919" s="96"/>
      <c r="E919" s="3"/>
      <c r="F919" s="96"/>
      <c r="G919" s="3"/>
      <c r="H919" s="96"/>
      <c r="I919" s="3"/>
      <c r="J919" s="96"/>
      <c r="K919" s="3"/>
      <c r="L919" s="96"/>
      <c r="M919" s="3"/>
      <c r="N919" s="96"/>
      <c r="O919" s="3"/>
      <c r="P919" s="96"/>
      <c r="Q919" s="1265"/>
      <c r="R919" s="3"/>
      <c r="S919" s="3"/>
      <c r="T919" s="1685"/>
      <c r="U919" s="3"/>
      <c r="V919" s="96"/>
      <c r="W919" s="1265"/>
      <c r="X919" s="3"/>
      <c r="Y919" s="3"/>
      <c r="Z919" s="1569"/>
      <c r="AA919" s="96"/>
    </row>
    <row r="920" spans="1:27" ht="15">
      <c r="A920" s="3"/>
      <c r="B920" s="3"/>
      <c r="C920" s="1536"/>
      <c r="D920" s="96"/>
      <c r="E920" s="3"/>
      <c r="F920" s="96"/>
      <c r="G920" s="3"/>
      <c r="H920" s="96"/>
      <c r="I920" s="3"/>
      <c r="J920" s="96"/>
      <c r="K920" s="3"/>
      <c r="L920" s="96"/>
      <c r="M920" s="3"/>
      <c r="N920" s="96"/>
      <c r="O920" s="3"/>
      <c r="P920" s="96"/>
      <c r="Q920" s="1265"/>
      <c r="R920" s="3"/>
      <c r="S920" s="3"/>
      <c r="T920" s="1685"/>
      <c r="U920" s="3"/>
      <c r="V920" s="96"/>
      <c r="W920" s="1265"/>
      <c r="X920" s="3"/>
      <c r="Y920" s="3"/>
      <c r="Z920" s="1569"/>
      <c r="AA920" s="96"/>
    </row>
    <row r="921" spans="1:27" ht="15">
      <c r="A921" s="3"/>
      <c r="B921" s="3"/>
      <c r="C921" s="1536"/>
      <c r="D921" s="96"/>
      <c r="E921" s="3"/>
      <c r="F921" s="96"/>
      <c r="G921" s="3"/>
      <c r="H921" s="96"/>
      <c r="I921" s="3"/>
      <c r="J921" s="96"/>
      <c r="K921" s="3"/>
      <c r="L921" s="96"/>
      <c r="M921" s="3"/>
      <c r="N921" s="96"/>
      <c r="O921" s="3"/>
      <c r="P921" s="96"/>
      <c r="Q921" s="1265"/>
      <c r="R921" s="3"/>
      <c r="S921" s="3"/>
      <c r="T921" s="1685"/>
      <c r="U921" s="3"/>
      <c r="V921" s="96"/>
      <c r="W921" s="1265"/>
      <c r="X921" s="3"/>
      <c r="Y921" s="3"/>
      <c r="Z921" s="1569"/>
      <c r="AA921" s="96"/>
    </row>
    <row r="922" spans="1:27" ht="15">
      <c r="A922" s="3"/>
      <c r="B922" s="3"/>
      <c r="C922" s="1536"/>
      <c r="D922" s="96"/>
      <c r="E922" s="3"/>
      <c r="F922" s="96"/>
      <c r="G922" s="3"/>
      <c r="H922" s="96"/>
      <c r="I922" s="3"/>
      <c r="J922" s="96"/>
      <c r="K922" s="3"/>
      <c r="L922" s="96"/>
      <c r="M922" s="3"/>
      <c r="N922" s="96"/>
      <c r="O922" s="3"/>
      <c r="P922" s="96"/>
      <c r="Q922" s="1265"/>
      <c r="R922" s="3"/>
      <c r="S922" s="3"/>
      <c r="T922" s="1685"/>
      <c r="U922" s="3"/>
      <c r="V922" s="96"/>
      <c r="W922" s="1265"/>
      <c r="X922" s="3"/>
      <c r="Y922" s="3"/>
      <c r="Z922" s="1569"/>
      <c r="AA922" s="96"/>
    </row>
    <row r="923" spans="1:27" ht="15">
      <c r="A923" s="3"/>
      <c r="B923" s="3"/>
      <c r="C923" s="1536"/>
      <c r="D923" s="96"/>
      <c r="E923" s="3"/>
      <c r="F923" s="96"/>
      <c r="G923" s="3"/>
      <c r="H923" s="96"/>
      <c r="I923" s="3"/>
      <c r="J923" s="96"/>
      <c r="K923" s="3"/>
      <c r="L923" s="96"/>
      <c r="M923" s="3"/>
      <c r="N923" s="96"/>
      <c r="O923" s="3"/>
      <c r="P923" s="96"/>
      <c r="Q923" s="1265"/>
      <c r="R923" s="3"/>
      <c r="S923" s="3"/>
      <c r="T923" s="1685"/>
      <c r="U923" s="3"/>
      <c r="V923" s="96"/>
      <c r="W923" s="1265"/>
      <c r="X923" s="3"/>
      <c r="Y923" s="3"/>
      <c r="Z923" s="1569"/>
      <c r="AA923" s="96"/>
    </row>
    <row r="924" spans="1:27" ht="15">
      <c r="A924" s="3"/>
      <c r="B924" s="3"/>
      <c r="C924" s="1536"/>
      <c r="D924" s="96"/>
      <c r="E924" s="3"/>
      <c r="F924" s="96"/>
      <c r="G924" s="3"/>
      <c r="H924" s="96"/>
      <c r="I924" s="3"/>
      <c r="J924" s="96"/>
      <c r="K924" s="3"/>
      <c r="L924" s="96"/>
      <c r="M924" s="3"/>
      <c r="N924" s="96"/>
      <c r="O924" s="3"/>
      <c r="P924" s="96"/>
      <c r="Q924" s="1265"/>
      <c r="R924" s="3"/>
      <c r="S924" s="3"/>
      <c r="T924" s="1685"/>
      <c r="U924" s="3"/>
      <c r="V924" s="96"/>
      <c r="W924" s="1265"/>
      <c r="X924" s="3"/>
      <c r="Y924" s="3"/>
      <c r="Z924" s="1569"/>
      <c r="AA924" s="96"/>
    </row>
    <row r="925" spans="1:27" ht="15">
      <c r="A925" s="3"/>
      <c r="B925" s="3"/>
      <c r="C925" s="1536"/>
      <c r="D925" s="96"/>
      <c r="E925" s="3"/>
      <c r="F925" s="96"/>
      <c r="G925" s="3"/>
      <c r="H925" s="96"/>
      <c r="I925" s="3"/>
      <c r="J925" s="96"/>
      <c r="K925" s="3"/>
      <c r="L925" s="96"/>
      <c r="M925" s="3"/>
      <c r="N925" s="96"/>
      <c r="O925" s="3"/>
      <c r="P925" s="96"/>
      <c r="Q925" s="1265"/>
      <c r="R925" s="3"/>
      <c r="S925" s="3"/>
      <c r="T925" s="1685"/>
      <c r="U925" s="3"/>
      <c r="V925" s="96"/>
      <c r="W925" s="1265"/>
      <c r="X925" s="3"/>
      <c r="Y925" s="3"/>
      <c r="Z925" s="1569"/>
      <c r="AA925" s="96"/>
    </row>
    <row r="926" spans="1:27" ht="15">
      <c r="A926" s="3"/>
      <c r="B926" s="3"/>
      <c r="C926" s="1536"/>
      <c r="D926" s="96"/>
      <c r="E926" s="3"/>
      <c r="F926" s="96"/>
      <c r="G926" s="3"/>
      <c r="H926" s="96"/>
      <c r="I926" s="3"/>
      <c r="J926" s="96"/>
      <c r="K926" s="3"/>
      <c r="L926" s="96"/>
      <c r="M926" s="3"/>
      <c r="N926" s="96"/>
      <c r="O926" s="3"/>
      <c r="P926" s="96"/>
      <c r="Q926" s="1265"/>
      <c r="R926" s="3"/>
      <c r="S926" s="3"/>
      <c r="T926" s="1685"/>
      <c r="U926" s="3"/>
      <c r="V926" s="96"/>
      <c r="W926" s="1265"/>
      <c r="X926" s="3"/>
      <c r="Y926" s="3"/>
      <c r="Z926" s="1569"/>
      <c r="AA926" s="96"/>
    </row>
    <row r="927" spans="1:27" ht="15">
      <c r="A927" s="3"/>
      <c r="B927" s="3"/>
      <c r="C927" s="1536"/>
      <c r="D927" s="96"/>
      <c r="E927" s="3"/>
      <c r="F927" s="96"/>
      <c r="G927" s="3"/>
      <c r="H927" s="96"/>
      <c r="I927" s="3"/>
      <c r="J927" s="96"/>
      <c r="K927" s="3"/>
      <c r="L927" s="96"/>
      <c r="M927" s="3"/>
      <c r="N927" s="96"/>
      <c r="O927" s="3"/>
      <c r="P927" s="96"/>
      <c r="Q927" s="1265"/>
      <c r="R927" s="3"/>
      <c r="S927" s="3"/>
      <c r="T927" s="1685"/>
      <c r="U927" s="3"/>
      <c r="V927" s="96"/>
      <c r="W927" s="1265"/>
      <c r="X927" s="3"/>
      <c r="Y927" s="3"/>
      <c r="Z927" s="1569"/>
      <c r="AA927" s="96"/>
    </row>
    <row r="928" spans="1:27" ht="15">
      <c r="A928" s="3"/>
      <c r="B928" s="3"/>
      <c r="C928" s="1536"/>
      <c r="D928" s="96"/>
      <c r="E928" s="3"/>
      <c r="F928" s="96"/>
      <c r="G928" s="3"/>
      <c r="H928" s="96"/>
      <c r="I928" s="3"/>
      <c r="J928" s="96"/>
      <c r="K928" s="3"/>
      <c r="L928" s="96"/>
      <c r="M928" s="3"/>
      <c r="N928" s="96"/>
      <c r="O928" s="3"/>
      <c r="P928" s="96"/>
      <c r="Q928" s="1265"/>
      <c r="R928" s="3"/>
      <c r="S928" s="3"/>
      <c r="T928" s="1685"/>
      <c r="U928" s="3"/>
      <c r="V928" s="96"/>
      <c r="W928" s="1265"/>
      <c r="X928" s="3"/>
      <c r="Y928" s="3"/>
      <c r="Z928" s="1569"/>
      <c r="AA928" s="96"/>
    </row>
    <row r="929" spans="1:27" ht="15">
      <c r="A929" s="3"/>
      <c r="B929" s="3"/>
      <c r="C929" s="1536"/>
      <c r="D929" s="96"/>
      <c r="E929" s="3"/>
      <c r="F929" s="96"/>
      <c r="G929" s="3"/>
      <c r="H929" s="96"/>
      <c r="I929" s="3"/>
      <c r="J929" s="96"/>
      <c r="K929" s="3"/>
      <c r="L929" s="96"/>
      <c r="M929" s="3"/>
      <c r="N929" s="96"/>
      <c r="O929" s="3"/>
      <c r="P929" s="96"/>
      <c r="Q929" s="1265"/>
      <c r="R929" s="3"/>
      <c r="S929" s="3"/>
      <c r="T929" s="1685"/>
      <c r="U929" s="3"/>
      <c r="V929" s="96"/>
      <c r="W929" s="1265"/>
      <c r="X929" s="3"/>
      <c r="Y929" s="3"/>
      <c r="Z929" s="1569"/>
      <c r="AA929" s="96"/>
    </row>
    <row r="930" spans="1:27" ht="15">
      <c r="A930" s="3"/>
      <c r="B930" s="3"/>
      <c r="C930" s="1536"/>
      <c r="D930" s="96"/>
      <c r="E930" s="3"/>
      <c r="F930" s="96"/>
      <c r="G930" s="3"/>
      <c r="H930" s="96"/>
      <c r="I930" s="3"/>
      <c r="J930" s="96"/>
      <c r="K930" s="3"/>
      <c r="L930" s="96"/>
      <c r="M930" s="3"/>
      <c r="N930" s="96"/>
      <c r="O930" s="3"/>
      <c r="P930" s="96"/>
      <c r="Q930" s="1265"/>
      <c r="R930" s="3"/>
      <c r="S930" s="3"/>
      <c r="T930" s="1685"/>
      <c r="U930" s="3"/>
      <c r="V930" s="96"/>
      <c r="W930" s="1265"/>
      <c r="X930" s="3"/>
      <c r="Y930" s="3"/>
      <c r="Z930" s="1569"/>
      <c r="AA930" s="96"/>
    </row>
    <row r="931" spans="1:27" ht="15">
      <c r="A931" s="3"/>
      <c r="B931" s="3"/>
      <c r="C931" s="1536"/>
      <c r="D931" s="96"/>
      <c r="E931" s="3"/>
      <c r="F931" s="96"/>
      <c r="G931" s="3"/>
      <c r="H931" s="96"/>
      <c r="I931" s="3"/>
      <c r="J931" s="96"/>
      <c r="K931" s="3"/>
      <c r="L931" s="96"/>
      <c r="M931" s="3"/>
      <c r="N931" s="96"/>
      <c r="O931" s="3"/>
      <c r="P931" s="96"/>
      <c r="Q931" s="1265"/>
      <c r="R931" s="3"/>
      <c r="S931" s="3"/>
      <c r="T931" s="1685"/>
      <c r="U931" s="3"/>
      <c r="V931" s="96"/>
      <c r="W931" s="1265"/>
      <c r="X931" s="3"/>
      <c r="Y931" s="3"/>
      <c r="Z931" s="1569"/>
      <c r="AA931" s="96"/>
    </row>
    <row r="932" spans="1:27" ht="15">
      <c r="A932" s="3"/>
      <c r="B932" s="3"/>
      <c r="C932" s="1536"/>
      <c r="D932" s="96"/>
      <c r="E932" s="3"/>
      <c r="F932" s="96"/>
      <c r="G932" s="3"/>
      <c r="H932" s="96"/>
      <c r="I932" s="3"/>
      <c r="J932" s="96"/>
      <c r="K932" s="3"/>
      <c r="L932" s="96"/>
      <c r="M932" s="3"/>
      <c r="N932" s="96"/>
      <c r="O932" s="3"/>
      <c r="P932" s="96"/>
      <c r="Q932" s="1265"/>
      <c r="R932" s="3"/>
      <c r="S932" s="3"/>
      <c r="T932" s="1685"/>
      <c r="U932" s="3"/>
      <c r="V932" s="96"/>
      <c r="W932" s="1265"/>
      <c r="X932" s="3"/>
      <c r="Y932" s="3"/>
      <c r="Z932" s="1569"/>
      <c r="AA932" s="96"/>
    </row>
    <row r="933" spans="1:27" ht="15">
      <c r="A933" s="3"/>
      <c r="B933" s="3"/>
      <c r="C933" s="1536"/>
      <c r="D933" s="96"/>
      <c r="E933" s="3"/>
      <c r="F933" s="96"/>
      <c r="G933" s="3"/>
      <c r="H933" s="96"/>
      <c r="I933" s="3"/>
      <c r="J933" s="96"/>
      <c r="K933" s="3"/>
      <c r="L933" s="96"/>
      <c r="M933" s="3"/>
      <c r="N933" s="96"/>
      <c r="O933" s="3"/>
      <c r="P933" s="96"/>
      <c r="Q933" s="1265"/>
      <c r="R933" s="3"/>
      <c r="S933" s="3"/>
      <c r="T933" s="1685"/>
      <c r="U933" s="3"/>
      <c r="V933" s="96"/>
      <c r="W933" s="1265"/>
      <c r="X933" s="3"/>
      <c r="Y933" s="3"/>
      <c r="Z933" s="1569"/>
      <c r="AA933" s="96"/>
    </row>
    <row r="934" spans="1:27" ht="15">
      <c r="A934" s="3"/>
      <c r="B934" s="3"/>
      <c r="C934" s="1536"/>
      <c r="D934" s="96"/>
      <c r="E934" s="3"/>
      <c r="F934" s="96"/>
      <c r="G934" s="3"/>
      <c r="H934" s="96"/>
      <c r="I934" s="3"/>
      <c r="J934" s="96"/>
      <c r="K934" s="3"/>
      <c r="L934" s="96"/>
      <c r="M934" s="3"/>
      <c r="N934" s="96"/>
      <c r="O934" s="3"/>
      <c r="P934" s="96"/>
      <c r="Q934" s="1265"/>
      <c r="R934" s="3"/>
      <c r="S934" s="3"/>
      <c r="T934" s="1685"/>
      <c r="U934" s="3"/>
      <c r="V934" s="96"/>
      <c r="W934" s="1265"/>
      <c r="X934" s="3"/>
      <c r="Y934" s="3"/>
      <c r="Z934" s="1569"/>
      <c r="AA934" s="96"/>
    </row>
    <row r="935" spans="1:27" ht="15">
      <c r="A935" s="3"/>
      <c r="B935" s="3"/>
      <c r="C935" s="1536"/>
      <c r="D935" s="96"/>
      <c r="E935" s="3"/>
      <c r="F935" s="96"/>
      <c r="G935" s="3"/>
      <c r="H935" s="96"/>
      <c r="I935" s="3"/>
      <c r="J935" s="96"/>
      <c r="K935" s="3"/>
      <c r="L935" s="96"/>
      <c r="M935" s="3"/>
      <c r="N935" s="96"/>
      <c r="O935" s="3"/>
      <c r="P935" s="96"/>
      <c r="Q935" s="1265"/>
      <c r="R935" s="3"/>
      <c r="S935" s="3"/>
      <c r="T935" s="1685"/>
      <c r="U935" s="3"/>
      <c r="V935" s="96"/>
      <c r="W935" s="1265"/>
      <c r="X935" s="3"/>
      <c r="Y935" s="3"/>
      <c r="Z935" s="1569"/>
      <c r="AA935" s="96"/>
    </row>
    <row r="936" spans="1:27" ht="15">
      <c r="A936" s="3"/>
      <c r="B936" s="3"/>
      <c r="C936" s="1536"/>
      <c r="D936" s="96"/>
      <c r="E936" s="3"/>
      <c r="F936" s="96"/>
      <c r="G936" s="3"/>
      <c r="H936" s="96"/>
      <c r="I936" s="3"/>
      <c r="J936" s="96"/>
      <c r="K936" s="3"/>
      <c r="L936" s="96"/>
      <c r="M936" s="3"/>
      <c r="N936" s="96"/>
      <c r="O936" s="3"/>
      <c r="P936" s="96"/>
      <c r="Q936" s="1265"/>
      <c r="R936" s="3"/>
      <c r="S936" s="3"/>
      <c r="T936" s="1685"/>
      <c r="U936" s="3"/>
      <c r="V936" s="96"/>
      <c r="W936" s="1265"/>
      <c r="X936" s="3"/>
      <c r="Y936" s="3"/>
      <c r="Z936" s="1569"/>
      <c r="AA936" s="96"/>
    </row>
    <row r="937" spans="1:27" ht="15">
      <c r="A937" s="3"/>
      <c r="B937" s="3"/>
      <c r="C937" s="1536"/>
      <c r="D937" s="96"/>
      <c r="E937" s="3"/>
      <c r="F937" s="96"/>
      <c r="G937" s="3"/>
      <c r="H937" s="96"/>
      <c r="I937" s="3"/>
      <c r="J937" s="96"/>
      <c r="K937" s="3"/>
      <c r="L937" s="96"/>
      <c r="M937" s="3"/>
      <c r="N937" s="96"/>
      <c r="O937" s="3"/>
      <c r="P937" s="96"/>
      <c r="Q937" s="1265"/>
      <c r="R937" s="3"/>
      <c r="S937" s="3"/>
      <c r="T937" s="1685"/>
      <c r="U937" s="3"/>
      <c r="V937" s="96"/>
      <c r="W937" s="1265"/>
      <c r="X937" s="3"/>
      <c r="Y937" s="3"/>
      <c r="Z937" s="1569"/>
      <c r="AA937" s="96"/>
    </row>
    <row r="938" spans="1:27" ht="15">
      <c r="A938" s="3"/>
      <c r="B938" s="3"/>
      <c r="C938" s="1536"/>
      <c r="D938" s="96"/>
      <c r="E938" s="3"/>
      <c r="F938" s="96"/>
      <c r="G938" s="3"/>
      <c r="H938" s="96"/>
      <c r="I938" s="3"/>
      <c r="J938" s="96"/>
      <c r="K938" s="3"/>
      <c r="L938" s="96"/>
      <c r="M938" s="3"/>
      <c r="N938" s="96"/>
      <c r="O938" s="3"/>
      <c r="P938" s="96"/>
      <c r="Q938" s="1265"/>
      <c r="R938" s="3"/>
      <c r="S938" s="3"/>
      <c r="T938" s="1685"/>
      <c r="U938" s="3"/>
      <c r="V938" s="96"/>
      <c r="W938" s="1265"/>
      <c r="X938" s="3"/>
      <c r="Y938" s="3"/>
      <c r="Z938" s="1569"/>
      <c r="AA938" s="96"/>
    </row>
    <row r="939" spans="1:27" ht="15">
      <c r="A939" s="3"/>
      <c r="B939" s="3"/>
      <c r="C939" s="1536"/>
      <c r="D939" s="96"/>
      <c r="E939" s="3"/>
      <c r="F939" s="96"/>
      <c r="G939" s="3"/>
      <c r="H939" s="96"/>
      <c r="I939" s="3"/>
      <c r="J939" s="96"/>
      <c r="K939" s="3"/>
      <c r="L939" s="96"/>
      <c r="M939" s="3"/>
      <c r="N939" s="96"/>
      <c r="O939" s="3"/>
      <c r="P939" s="96"/>
      <c r="Q939" s="1265"/>
      <c r="R939" s="3"/>
      <c r="S939" s="3"/>
      <c r="T939" s="1685"/>
      <c r="U939" s="3"/>
      <c r="V939" s="96"/>
      <c r="W939" s="1265"/>
      <c r="X939" s="3"/>
      <c r="Y939" s="3"/>
      <c r="Z939" s="1569"/>
      <c r="AA939" s="96"/>
    </row>
    <row r="940" spans="1:27" ht="15">
      <c r="A940" s="3"/>
      <c r="B940" s="3"/>
      <c r="C940" s="1536"/>
      <c r="D940" s="96"/>
      <c r="E940" s="3"/>
      <c r="F940" s="96"/>
      <c r="G940" s="3"/>
      <c r="H940" s="96"/>
      <c r="I940" s="3"/>
      <c r="J940" s="96"/>
      <c r="K940" s="3"/>
      <c r="L940" s="96"/>
      <c r="M940" s="3"/>
      <c r="N940" s="96"/>
      <c r="O940" s="3"/>
      <c r="P940" s="96"/>
      <c r="Q940" s="1265"/>
      <c r="R940" s="3"/>
      <c r="S940" s="3"/>
      <c r="T940" s="1685"/>
      <c r="U940" s="3"/>
      <c r="V940" s="96"/>
      <c r="W940" s="1265"/>
      <c r="X940" s="3"/>
      <c r="Y940" s="3"/>
      <c r="Z940" s="1569"/>
      <c r="AA940" s="96"/>
    </row>
    <row r="941" spans="1:27" ht="15">
      <c r="A941" s="3"/>
      <c r="B941" s="3"/>
      <c r="C941" s="1536"/>
      <c r="D941" s="96"/>
      <c r="E941" s="3"/>
      <c r="F941" s="96"/>
      <c r="G941" s="3"/>
      <c r="H941" s="96"/>
      <c r="I941" s="3"/>
      <c r="J941" s="96"/>
      <c r="K941" s="3"/>
      <c r="L941" s="96"/>
      <c r="M941" s="3"/>
      <c r="N941" s="96"/>
      <c r="O941" s="3"/>
      <c r="P941" s="96"/>
      <c r="Q941" s="1265"/>
      <c r="R941" s="3"/>
      <c r="S941" s="3"/>
      <c r="T941" s="1685"/>
      <c r="U941" s="3"/>
      <c r="V941" s="96"/>
      <c r="W941" s="1265"/>
      <c r="X941" s="3"/>
      <c r="Y941" s="3"/>
      <c r="Z941" s="1569"/>
      <c r="AA941" s="96"/>
    </row>
    <row r="942" spans="1:27" ht="15">
      <c r="A942" s="3"/>
      <c r="B942" s="3"/>
      <c r="C942" s="1536"/>
      <c r="D942" s="96"/>
      <c r="E942" s="3"/>
      <c r="F942" s="96"/>
      <c r="G942" s="3"/>
      <c r="H942" s="96"/>
      <c r="I942" s="3"/>
      <c r="J942" s="96"/>
      <c r="K942" s="3"/>
      <c r="L942" s="96"/>
      <c r="M942" s="3"/>
      <c r="N942" s="96"/>
      <c r="O942" s="3"/>
      <c r="P942" s="96"/>
      <c r="Q942" s="1265"/>
      <c r="R942" s="3"/>
      <c r="S942" s="3"/>
      <c r="T942" s="1685"/>
      <c r="U942" s="3"/>
      <c r="V942" s="96"/>
      <c r="W942" s="1265"/>
      <c r="X942" s="3"/>
      <c r="Y942" s="3"/>
      <c r="Z942" s="1569"/>
      <c r="AA942" s="96"/>
    </row>
    <row r="943" spans="1:27" ht="15">
      <c r="A943" s="3"/>
      <c r="B943" s="3"/>
      <c r="C943" s="1536"/>
      <c r="D943" s="96"/>
      <c r="E943" s="3"/>
      <c r="F943" s="96"/>
      <c r="G943" s="3"/>
      <c r="H943" s="96"/>
      <c r="I943" s="3"/>
      <c r="J943" s="96"/>
      <c r="K943" s="3"/>
      <c r="L943" s="96"/>
      <c r="M943" s="3"/>
      <c r="N943" s="96"/>
      <c r="O943" s="3"/>
      <c r="P943" s="96"/>
      <c r="Q943" s="1265"/>
      <c r="R943" s="3"/>
      <c r="S943" s="3"/>
      <c r="T943" s="1685"/>
      <c r="U943" s="3"/>
      <c r="V943" s="96"/>
      <c r="W943" s="1265"/>
      <c r="X943" s="3"/>
      <c r="Y943" s="3"/>
      <c r="Z943" s="1569"/>
      <c r="AA943" s="96"/>
    </row>
    <row r="944" spans="1:27" ht="15">
      <c r="A944" s="3"/>
      <c r="B944" s="3"/>
      <c r="C944" s="1536"/>
      <c r="D944" s="96"/>
      <c r="E944" s="3"/>
      <c r="F944" s="96"/>
      <c r="G944" s="3"/>
      <c r="H944" s="96"/>
      <c r="I944" s="3"/>
      <c r="J944" s="96"/>
      <c r="K944" s="3"/>
      <c r="L944" s="96"/>
      <c r="M944" s="3"/>
      <c r="N944" s="96"/>
      <c r="O944" s="3"/>
      <c r="P944" s="96"/>
      <c r="Q944" s="1265"/>
      <c r="R944" s="3"/>
      <c r="S944" s="3"/>
      <c r="T944" s="1685"/>
      <c r="U944" s="3"/>
      <c r="V944" s="96"/>
      <c r="W944" s="1265"/>
      <c r="X944" s="3"/>
      <c r="Y944" s="3"/>
      <c r="Z944" s="1569"/>
      <c r="AA944" s="96"/>
    </row>
    <row r="945" spans="1:27" ht="15">
      <c r="A945" s="3"/>
      <c r="B945" s="3"/>
      <c r="C945" s="1536"/>
      <c r="D945" s="96"/>
      <c r="E945" s="3"/>
      <c r="F945" s="96"/>
      <c r="G945" s="3"/>
      <c r="H945" s="96"/>
      <c r="I945" s="3"/>
      <c r="J945" s="96"/>
      <c r="K945" s="3"/>
      <c r="L945" s="96"/>
      <c r="M945" s="3"/>
      <c r="N945" s="96"/>
      <c r="O945" s="3"/>
      <c r="P945" s="96"/>
      <c r="Q945" s="1265"/>
      <c r="R945" s="3"/>
      <c r="S945" s="3"/>
      <c r="T945" s="1685"/>
      <c r="U945" s="3"/>
      <c r="V945" s="96"/>
      <c r="W945" s="1265"/>
      <c r="X945" s="3"/>
      <c r="Y945" s="3"/>
      <c r="Z945" s="1569"/>
      <c r="AA945" s="96"/>
    </row>
    <row r="946" spans="1:27" ht="15">
      <c r="A946" s="3"/>
      <c r="B946" s="3"/>
      <c r="C946" s="1536"/>
      <c r="D946" s="96"/>
      <c r="E946" s="3"/>
      <c r="F946" s="96"/>
      <c r="G946" s="3"/>
      <c r="H946" s="96"/>
      <c r="I946" s="3"/>
      <c r="J946" s="96"/>
      <c r="K946" s="3"/>
      <c r="L946" s="96"/>
      <c r="M946" s="3"/>
      <c r="N946" s="96"/>
      <c r="O946" s="3"/>
      <c r="P946" s="96"/>
      <c r="Q946" s="1265"/>
      <c r="R946" s="3"/>
      <c r="S946" s="3"/>
      <c r="T946" s="1685"/>
      <c r="U946" s="3"/>
      <c r="V946" s="96"/>
      <c r="W946" s="1265"/>
      <c r="X946" s="3"/>
      <c r="Y946" s="3"/>
      <c r="Z946" s="1569"/>
      <c r="AA946" s="96"/>
    </row>
    <row r="947" spans="1:27" ht="15">
      <c r="A947" s="3"/>
      <c r="B947" s="3"/>
      <c r="C947" s="1536"/>
      <c r="D947" s="96"/>
      <c r="E947" s="3"/>
      <c r="F947" s="96"/>
      <c r="G947" s="3"/>
      <c r="H947" s="96"/>
      <c r="I947" s="3"/>
      <c r="J947" s="96"/>
      <c r="K947" s="3"/>
      <c r="L947" s="96"/>
      <c r="M947" s="3"/>
      <c r="N947" s="96"/>
      <c r="O947" s="3"/>
      <c r="P947" s="96"/>
      <c r="Q947" s="1265"/>
      <c r="R947" s="3"/>
      <c r="S947" s="3"/>
      <c r="T947" s="1685"/>
      <c r="U947" s="3"/>
      <c r="V947" s="96"/>
      <c r="W947" s="1265"/>
      <c r="X947" s="3"/>
      <c r="Y947" s="3"/>
      <c r="Z947" s="1569"/>
      <c r="AA947" s="96"/>
    </row>
    <row r="948" spans="1:27" ht="15">
      <c r="A948" s="3"/>
      <c r="B948" s="3"/>
      <c r="C948" s="1536"/>
      <c r="D948" s="96"/>
      <c r="E948" s="3"/>
      <c r="F948" s="96"/>
      <c r="G948" s="3"/>
      <c r="H948" s="96"/>
      <c r="I948" s="3"/>
      <c r="J948" s="96"/>
      <c r="K948" s="3"/>
      <c r="L948" s="96"/>
      <c r="M948" s="3"/>
      <c r="N948" s="96"/>
      <c r="O948" s="3"/>
      <c r="P948" s="96"/>
      <c r="Q948" s="1265"/>
      <c r="R948" s="3"/>
      <c r="S948" s="3"/>
      <c r="T948" s="1685"/>
      <c r="U948" s="3"/>
      <c r="V948" s="96"/>
      <c r="W948" s="1265"/>
      <c r="X948" s="3"/>
      <c r="Y948" s="3"/>
      <c r="Z948" s="1569"/>
      <c r="AA948" s="96"/>
    </row>
    <row r="949" spans="1:27" ht="15">
      <c r="A949" s="3"/>
      <c r="B949" s="3"/>
      <c r="C949" s="1536"/>
      <c r="D949" s="96"/>
      <c r="E949" s="3"/>
      <c r="F949" s="96"/>
      <c r="G949" s="3"/>
      <c r="H949" s="96"/>
      <c r="I949" s="3"/>
      <c r="J949" s="96"/>
      <c r="K949" s="3"/>
      <c r="L949" s="96"/>
      <c r="M949" s="3"/>
      <c r="N949" s="96"/>
      <c r="O949" s="3"/>
      <c r="P949" s="96"/>
      <c r="Q949" s="1265"/>
      <c r="R949" s="3"/>
      <c r="S949" s="3"/>
      <c r="T949" s="1685"/>
      <c r="U949" s="3"/>
      <c r="V949" s="96"/>
      <c r="W949" s="1265"/>
      <c r="X949" s="3"/>
      <c r="Y949" s="3"/>
      <c r="Z949" s="1569"/>
      <c r="AA949" s="96"/>
    </row>
    <row r="950" spans="1:27" ht="15">
      <c r="A950" s="3"/>
      <c r="B950" s="3"/>
      <c r="C950" s="1536"/>
      <c r="D950" s="96"/>
      <c r="E950" s="3"/>
      <c r="F950" s="96"/>
      <c r="G950" s="3"/>
      <c r="H950" s="96"/>
      <c r="I950" s="3"/>
      <c r="J950" s="96"/>
      <c r="K950" s="3"/>
      <c r="L950" s="96"/>
      <c r="M950" s="3"/>
      <c r="N950" s="96"/>
      <c r="O950" s="3"/>
      <c r="P950" s="96"/>
      <c r="Q950" s="1265"/>
      <c r="R950" s="3"/>
      <c r="S950" s="3"/>
      <c r="T950" s="1685"/>
      <c r="U950" s="3"/>
      <c r="V950" s="96"/>
      <c r="W950" s="1265"/>
      <c r="X950" s="3"/>
      <c r="Y950" s="3"/>
      <c r="Z950" s="1569"/>
      <c r="AA950" s="96"/>
    </row>
    <row r="951" spans="1:27" ht="15">
      <c r="A951" s="3"/>
      <c r="B951" s="3"/>
      <c r="C951" s="1536"/>
      <c r="D951" s="96"/>
      <c r="E951" s="3"/>
      <c r="F951" s="96"/>
      <c r="G951" s="3"/>
      <c r="H951" s="96"/>
      <c r="I951" s="3"/>
      <c r="J951" s="96"/>
      <c r="K951" s="3"/>
      <c r="L951" s="96"/>
      <c r="M951" s="3"/>
      <c r="N951" s="96"/>
      <c r="O951" s="3"/>
      <c r="P951" s="96"/>
      <c r="Q951" s="1265"/>
      <c r="R951" s="3"/>
      <c r="S951" s="3"/>
      <c r="T951" s="1685"/>
      <c r="U951" s="3"/>
      <c r="V951" s="96"/>
      <c r="W951" s="1265"/>
      <c r="X951" s="3"/>
      <c r="Y951" s="3"/>
      <c r="Z951" s="1569"/>
      <c r="AA951" s="96"/>
    </row>
    <row r="952" spans="1:27" ht="15">
      <c r="A952" s="3"/>
      <c r="B952" s="3"/>
      <c r="C952" s="1536"/>
      <c r="D952" s="96"/>
      <c r="E952" s="3"/>
      <c r="F952" s="96"/>
      <c r="G952" s="3"/>
      <c r="H952" s="96"/>
      <c r="I952" s="3"/>
      <c r="J952" s="96"/>
      <c r="K952" s="3"/>
      <c r="L952" s="96"/>
      <c r="M952" s="3"/>
      <c r="N952" s="96"/>
      <c r="O952" s="3"/>
      <c r="P952" s="96"/>
      <c r="Q952" s="1265"/>
      <c r="R952" s="3"/>
      <c r="S952" s="3"/>
      <c r="T952" s="1685"/>
      <c r="U952" s="3"/>
      <c r="V952" s="96"/>
      <c r="W952" s="1265"/>
      <c r="X952" s="3"/>
      <c r="Y952" s="3"/>
      <c r="Z952" s="1569"/>
      <c r="AA952" s="96"/>
    </row>
    <row r="953" spans="1:27" ht="15">
      <c r="A953" s="3"/>
      <c r="B953" s="3"/>
      <c r="C953" s="1536"/>
      <c r="D953" s="96"/>
      <c r="E953" s="3"/>
      <c r="F953" s="96"/>
      <c r="G953" s="3"/>
      <c r="H953" s="96"/>
      <c r="I953" s="3"/>
      <c r="J953" s="96"/>
      <c r="K953" s="3"/>
      <c r="L953" s="96"/>
      <c r="M953" s="3"/>
      <c r="N953" s="96"/>
      <c r="O953" s="3"/>
      <c r="P953" s="96"/>
      <c r="Q953" s="1265"/>
      <c r="R953" s="3"/>
      <c r="S953" s="3"/>
      <c r="T953" s="1685"/>
      <c r="U953" s="3"/>
      <c r="V953" s="96"/>
      <c r="W953" s="1265"/>
      <c r="X953" s="3"/>
      <c r="Y953" s="3"/>
      <c r="Z953" s="1569"/>
      <c r="AA953" s="96"/>
    </row>
    <row r="954" spans="1:27" ht="15">
      <c r="A954" s="3"/>
      <c r="B954" s="3"/>
      <c r="C954" s="1536"/>
      <c r="D954" s="96"/>
      <c r="E954" s="3"/>
      <c r="F954" s="96"/>
      <c r="G954" s="3"/>
      <c r="H954" s="96"/>
      <c r="I954" s="3"/>
      <c r="J954" s="96"/>
      <c r="K954" s="3"/>
      <c r="L954" s="96"/>
      <c r="M954" s="3"/>
      <c r="N954" s="96"/>
      <c r="O954" s="3"/>
      <c r="P954" s="96"/>
      <c r="Q954" s="1265"/>
      <c r="R954" s="3"/>
      <c r="S954" s="3"/>
      <c r="T954" s="1685"/>
      <c r="U954" s="3"/>
      <c r="V954" s="96"/>
      <c r="W954" s="1265"/>
      <c r="X954" s="3"/>
      <c r="Y954" s="3"/>
      <c r="Z954" s="1569"/>
      <c r="AA954" s="96"/>
    </row>
    <row r="955" spans="1:27" ht="15">
      <c r="A955" s="3"/>
      <c r="B955" s="3"/>
      <c r="C955" s="1536"/>
      <c r="D955" s="96"/>
      <c r="E955" s="3"/>
      <c r="F955" s="96"/>
      <c r="G955" s="3"/>
      <c r="H955" s="96"/>
      <c r="I955" s="3"/>
      <c r="J955" s="96"/>
      <c r="K955" s="3"/>
      <c r="L955" s="96"/>
      <c r="M955" s="3"/>
      <c r="N955" s="96"/>
      <c r="O955" s="3"/>
      <c r="P955" s="96"/>
      <c r="Q955" s="1265"/>
      <c r="R955" s="3"/>
      <c r="S955" s="3"/>
      <c r="T955" s="1685"/>
      <c r="U955" s="3"/>
      <c r="V955" s="96"/>
      <c r="W955" s="1265"/>
      <c r="X955" s="3"/>
      <c r="Y955" s="3"/>
      <c r="Z955" s="1569"/>
      <c r="AA955" s="96"/>
    </row>
    <row r="956" spans="1:27" ht="15">
      <c r="A956" s="3"/>
      <c r="B956" s="3"/>
      <c r="C956" s="1536"/>
      <c r="D956" s="96"/>
      <c r="E956" s="3"/>
      <c r="F956" s="96"/>
      <c r="G956" s="3"/>
      <c r="H956" s="96"/>
      <c r="I956" s="3"/>
      <c r="J956" s="96"/>
      <c r="K956" s="3"/>
      <c r="L956" s="96"/>
      <c r="M956" s="3"/>
      <c r="N956" s="96"/>
      <c r="O956" s="3"/>
      <c r="P956" s="96"/>
      <c r="Q956" s="1265"/>
      <c r="R956" s="3"/>
      <c r="S956" s="3"/>
      <c r="T956" s="1685"/>
      <c r="U956" s="3"/>
      <c r="V956" s="96"/>
      <c r="W956" s="1265"/>
      <c r="X956" s="3"/>
      <c r="Y956" s="3"/>
      <c r="Z956" s="1569"/>
      <c r="AA956" s="96"/>
    </row>
    <row r="957" spans="1:27" ht="15">
      <c r="A957" s="3"/>
      <c r="B957" s="3"/>
      <c r="C957" s="1536"/>
      <c r="D957" s="96"/>
      <c r="E957" s="3"/>
      <c r="F957" s="96"/>
      <c r="G957" s="3"/>
      <c r="H957" s="96"/>
      <c r="I957" s="3"/>
      <c r="J957" s="96"/>
      <c r="K957" s="3"/>
      <c r="L957" s="96"/>
      <c r="M957" s="3"/>
      <c r="N957" s="96"/>
      <c r="O957" s="3"/>
      <c r="P957" s="96"/>
      <c r="Q957" s="1265"/>
      <c r="R957" s="3"/>
      <c r="S957" s="3"/>
      <c r="T957" s="1685"/>
      <c r="U957" s="3"/>
      <c r="V957" s="96"/>
      <c r="W957" s="1265"/>
      <c r="X957" s="3"/>
      <c r="Y957" s="3"/>
      <c r="Z957" s="1569"/>
      <c r="AA957" s="96"/>
    </row>
    <row r="958" spans="1:27" ht="15">
      <c r="A958" s="3"/>
      <c r="B958" s="3"/>
      <c r="C958" s="1536"/>
      <c r="D958" s="96"/>
      <c r="E958" s="3"/>
      <c r="F958" s="96"/>
      <c r="G958" s="3"/>
      <c r="H958" s="96"/>
      <c r="I958" s="3"/>
      <c r="J958" s="96"/>
      <c r="K958" s="3"/>
      <c r="L958" s="96"/>
      <c r="M958" s="3"/>
      <c r="N958" s="96"/>
      <c r="O958" s="3"/>
      <c r="P958" s="96"/>
      <c r="Q958" s="1265"/>
      <c r="R958" s="3"/>
      <c r="S958" s="3"/>
      <c r="T958" s="1685"/>
      <c r="U958" s="3"/>
      <c r="V958" s="96"/>
      <c r="W958" s="1265"/>
      <c r="X958" s="3"/>
      <c r="Y958" s="3"/>
      <c r="Z958" s="1569"/>
      <c r="AA958" s="96"/>
    </row>
    <row r="959" spans="1:27" ht="15">
      <c r="A959" s="3"/>
      <c r="B959" s="3"/>
      <c r="C959" s="1536"/>
      <c r="D959" s="96"/>
      <c r="E959" s="3"/>
      <c r="F959" s="96"/>
      <c r="G959" s="3"/>
      <c r="H959" s="96"/>
      <c r="I959" s="3"/>
      <c r="J959" s="96"/>
      <c r="K959" s="3"/>
      <c r="L959" s="96"/>
      <c r="M959" s="3"/>
      <c r="N959" s="96"/>
      <c r="O959" s="3"/>
      <c r="P959" s="96"/>
      <c r="Q959" s="1265"/>
      <c r="R959" s="3"/>
      <c r="S959" s="3"/>
      <c r="T959" s="1685"/>
      <c r="U959" s="3"/>
      <c r="V959" s="96"/>
      <c r="W959" s="1265"/>
      <c r="X959" s="3"/>
      <c r="Y959" s="3"/>
      <c r="Z959" s="1569"/>
      <c r="AA959" s="96"/>
    </row>
    <row r="960" spans="1:27" ht="15">
      <c r="A960" s="3"/>
      <c r="B960" s="3"/>
      <c r="C960" s="1536"/>
      <c r="D960" s="96"/>
      <c r="E960" s="3"/>
      <c r="F960" s="96"/>
      <c r="G960" s="3"/>
      <c r="H960" s="96"/>
      <c r="I960" s="3"/>
      <c r="J960" s="96"/>
      <c r="K960" s="3"/>
      <c r="L960" s="96"/>
      <c r="M960" s="3"/>
      <c r="N960" s="96"/>
      <c r="O960" s="3"/>
      <c r="P960" s="96"/>
      <c r="Q960" s="1265"/>
      <c r="R960" s="3"/>
      <c r="S960" s="3"/>
      <c r="T960" s="1685"/>
      <c r="U960" s="3"/>
      <c r="V960" s="96"/>
      <c r="W960" s="1265"/>
      <c r="X960" s="3"/>
      <c r="Y960" s="3"/>
      <c r="Z960" s="1569"/>
      <c r="AA960" s="96"/>
    </row>
    <row r="961" spans="1:27" ht="15">
      <c r="A961" s="3"/>
      <c r="B961" s="3"/>
      <c r="C961" s="1536"/>
      <c r="D961" s="96"/>
      <c r="E961" s="3"/>
      <c r="F961" s="96"/>
      <c r="G961" s="3"/>
      <c r="H961" s="96"/>
      <c r="I961" s="3"/>
      <c r="J961" s="96"/>
      <c r="K961" s="3"/>
      <c r="L961" s="96"/>
      <c r="M961" s="3"/>
      <c r="N961" s="96"/>
      <c r="O961" s="3"/>
      <c r="P961" s="96"/>
      <c r="Q961" s="1265"/>
      <c r="R961" s="3"/>
      <c r="S961" s="3"/>
      <c r="T961" s="1685"/>
      <c r="U961" s="3"/>
      <c r="V961" s="96"/>
      <c r="W961" s="1265"/>
      <c r="X961" s="3"/>
      <c r="Y961" s="3"/>
      <c r="Z961" s="1569"/>
      <c r="AA961" s="96"/>
    </row>
    <row r="962" spans="1:27" ht="15">
      <c r="A962" s="3"/>
      <c r="B962" s="3"/>
      <c r="C962" s="1536"/>
      <c r="D962" s="96"/>
      <c r="E962" s="3"/>
      <c r="F962" s="96"/>
      <c r="G962" s="3"/>
      <c r="H962" s="96"/>
      <c r="I962" s="3"/>
      <c r="J962" s="96"/>
      <c r="K962" s="3"/>
      <c r="L962" s="96"/>
      <c r="M962" s="3"/>
      <c r="N962" s="96"/>
      <c r="O962" s="3"/>
      <c r="P962" s="96"/>
      <c r="Q962" s="1265"/>
      <c r="R962" s="3"/>
      <c r="S962" s="3"/>
      <c r="T962" s="1685"/>
      <c r="U962" s="3"/>
      <c r="V962" s="96"/>
      <c r="W962" s="1265"/>
      <c r="X962" s="3"/>
      <c r="Y962" s="3"/>
      <c r="Z962" s="1569"/>
      <c r="AA962" s="96"/>
    </row>
    <row r="963" spans="1:27" ht="15">
      <c r="A963" s="3"/>
      <c r="B963" s="3"/>
      <c r="C963" s="1536"/>
      <c r="D963" s="96"/>
      <c r="E963" s="3"/>
      <c r="F963" s="96"/>
      <c r="G963" s="3"/>
      <c r="H963" s="96"/>
      <c r="I963" s="3"/>
      <c r="J963" s="96"/>
      <c r="K963" s="3"/>
      <c r="L963" s="96"/>
      <c r="M963" s="3"/>
      <c r="N963" s="96"/>
      <c r="O963" s="3"/>
      <c r="P963" s="96"/>
      <c r="Q963" s="1265"/>
      <c r="R963" s="3"/>
      <c r="S963" s="3"/>
      <c r="T963" s="1685"/>
      <c r="U963" s="3"/>
      <c r="V963" s="96"/>
      <c r="W963" s="1265"/>
      <c r="X963" s="3"/>
      <c r="Y963" s="3"/>
      <c r="Z963" s="1569"/>
      <c r="AA963" s="96"/>
    </row>
    <row r="964" spans="1:27" ht="15">
      <c r="A964" s="3"/>
      <c r="B964" s="3"/>
      <c r="C964" s="1536"/>
      <c r="D964" s="96"/>
      <c r="E964" s="3"/>
      <c r="F964" s="96"/>
      <c r="G964" s="3"/>
      <c r="H964" s="96"/>
      <c r="I964" s="3"/>
      <c r="J964" s="96"/>
      <c r="K964" s="3"/>
      <c r="L964" s="96"/>
      <c r="M964" s="3"/>
      <c r="N964" s="96"/>
      <c r="O964" s="3"/>
      <c r="P964" s="96"/>
      <c r="Q964" s="1265"/>
      <c r="R964" s="3"/>
      <c r="S964" s="3"/>
      <c r="T964" s="1685"/>
      <c r="U964" s="3"/>
      <c r="V964" s="96"/>
      <c r="W964" s="1265"/>
      <c r="X964" s="3"/>
      <c r="Y964" s="3"/>
      <c r="Z964" s="1569"/>
      <c r="AA964" s="96"/>
    </row>
    <row r="965" spans="1:27" ht="15">
      <c r="A965" s="3"/>
      <c r="B965" s="3"/>
      <c r="C965" s="1536"/>
      <c r="D965" s="96"/>
      <c r="E965" s="3"/>
      <c r="F965" s="96"/>
      <c r="G965" s="3"/>
      <c r="H965" s="96"/>
      <c r="I965" s="3"/>
      <c r="J965" s="96"/>
      <c r="K965" s="3"/>
      <c r="L965" s="96"/>
      <c r="M965" s="3"/>
      <c r="N965" s="96"/>
      <c r="O965" s="3"/>
      <c r="P965" s="96"/>
      <c r="Q965" s="1265"/>
      <c r="R965" s="3"/>
      <c r="S965" s="3"/>
      <c r="T965" s="1685"/>
      <c r="U965" s="3"/>
      <c r="V965" s="96"/>
      <c r="W965" s="1265"/>
      <c r="X965" s="3"/>
      <c r="Y965" s="3"/>
      <c r="Z965" s="1569"/>
      <c r="AA965" s="96"/>
    </row>
    <row r="966" spans="1:27" ht="15">
      <c r="A966" s="3"/>
      <c r="B966" s="3"/>
      <c r="C966" s="1536"/>
      <c r="D966" s="96"/>
      <c r="E966" s="3"/>
      <c r="F966" s="96"/>
      <c r="G966" s="3"/>
      <c r="H966" s="96"/>
      <c r="I966" s="3"/>
      <c r="J966" s="96"/>
      <c r="K966" s="3"/>
      <c r="L966" s="96"/>
      <c r="M966" s="3"/>
      <c r="N966" s="96"/>
      <c r="O966" s="3"/>
      <c r="P966" s="96"/>
      <c r="Q966" s="1265"/>
      <c r="R966" s="3"/>
      <c r="S966" s="3"/>
      <c r="T966" s="1685"/>
      <c r="U966" s="3"/>
      <c r="V966" s="96"/>
      <c r="W966" s="1265"/>
      <c r="X966" s="3"/>
      <c r="Y966" s="3"/>
      <c r="Z966" s="1569"/>
      <c r="AA966" s="96"/>
    </row>
    <row r="967" spans="1:27" ht="15">
      <c r="A967" s="3"/>
      <c r="B967" s="3"/>
      <c r="C967" s="1536"/>
      <c r="D967" s="96"/>
      <c r="E967" s="3"/>
      <c r="F967" s="96"/>
      <c r="G967" s="3"/>
      <c r="H967" s="96"/>
      <c r="I967" s="3"/>
      <c r="J967" s="96"/>
      <c r="K967" s="3"/>
      <c r="L967" s="96"/>
      <c r="M967" s="3"/>
      <c r="N967" s="96"/>
      <c r="O967" s="3"/>
      <c r="P967" s="96"/>
      <c r="Q967" s="1265"/>
      <c r="R967" s="3"/>
      <c r="S967" s="3"/>
      <c r="T967" s="1685"/>
      <c r="U967" s="3"/>
      <c r="V967" s="96"/>
      <c r="W967" s="1265"/>
      <c r="X967" s="3"/>
      <c r="Y967" s="3"/>
      <c r="Z967" s="1569"/>
      <c r="AA967" s="96"/>
    </row>
    <row r="968" spans="1:27" ht="15">
      <c r="A968" s="3"/>
      <c r="B968" s="3"/>
      <c r="C968" s="1536"/>
      <c r="D968" s="96"/>
      <c r="E968" s="3"/>
      <c r="F968" s="96"/>
      <c r="G968" s="3"/>
      <c r="H968" s="96"/>
      <c r="I968" s="3"/>
      <c r="J968" s="96"/>
      <c r="K968" s="3"/>
      <c r="L968" s="96"/>
      <c r="M968" s="3"/>
      <c r="N968" s="96"/>
      <c r="O968" s="3"/>
      <c r="P968" s="96"/>
      <c r="Q968" s="1265"/>
      <c r="R968" s="3"/>
      <c r="S968" s="3"/>
      <c r="T968" s="1685"/>
      <c r="U968" s="3"/>
      <c r="V968" s="96"/>
      <c r="W968" s="1265"/>
      <c r="X968" s="3"/>
      <c r="Y968" s="3"/>
      <c r="Z968" s="1569"/>
      <c r="AA968" s="96"/>
    </row>
    <row r="969" spans="1:27" ht="15">
      <c r="A969" s="3"/>
      <c r="B969" s="3"/>
      <c r="C969" s="1536"/>
      <c r="D969" s="96"/>
      <c r="E969" s="3"/>
      <c r="F969" s="96"/>
      <c r="G969" s="3"/>
      <c r="H969" s="96"/>
      <c r="I969" s="3"/>
      <c r="J969" s="96"/>
      <c r="K969" s="3"/>
      <c r="L969" s="96"/>
      <c r="M969" s="3"/>
      <c r="N969" s="96"/>
      <c r="O969" s="3"/>
      <c r="P969" s="96"/>
      <c r="Q969" s="1265"/>
      <c r="R969" s="3"/>
      <c r="S969" s="3"/>
      <c r="T969" s="1685"/>
      <c r="U969" s="3"/>
      <c r="V969" s="96"/>
      <c r="W969" s="1265"/>
      <c r="X969" s="3"/>
      <c r="Y969" s="3"/>
      <c r="Z969" s="1569"/>
      <c r="AA969" s="96"/>
    </row>
    <row r="970" spans="1:27" ht="15">
      <c r="A970" s="3"/>
      <c r="B970" s="3"/>
      <c r="C970" s="1536"/>
      <c r="D970" s="96"/>
      <c r="E970" s="3"/>
      <c r="F970" s="96"/>
      <c r="G970" s="3"/>
      <c r="H970" s="96"/>
      <c r="I970" s="3"/>
      <c r="J970" s="96"/>
      <c r="K970" s="3"/>
      <c r="L970" s="96"/>
      <c r="M970" s="3"/>
      <c r="N970" s="96"/>
      <c r="O970" s="3"/>
      <c r="P970" s="96"/>
      <c r="Q970" s="1265"/>
      <c r="R970" s="3"/>
      <c r="S970" s="3"/>
      <c r="T970" s="1685"/>
      <c r="U970" s="3"/>
      <c r="V970" s="96"/>
      <c r="W970" s="1265"/>
      <c r="X970" s="3"/>
      <c r="Y970" s="3"/>
      <c r="Z970" s="1569"/>
      <c r="AA970" s="96"/>
    </row>
    <row r="971" spans="1:27" ht="15">
      <c r="A971" s="3"/>
      <c r="B971" s="3"/>
      <c r="C971" s="1536"/>
      <c r="D971" s="96"/>
      <c r="E971" s="3"/>
      <c r="F971" s="96"/>
      <c r="G971" s="3"/>
      <c r="H971" s="96"/>
      <c r="I971" s="3"/>
      <c r="J971" s="96"/>
      <c r="K971" s="3"/>
      <c r="L971" s="96"/>
      <c r="M971" s="3"/>
      <c r="N971" s="96"/>
      <c r="O971" s="3"/>
      <c r="P971" s="96"/>
      <c r="Q971" s="1265"/>
      <c r="R971" s="3"/>
      <c r="S971" s="3"/>
      <c r="T971" s="1685"/>
      <c r="U971" s="3"/>
      <c r="V971" s="96"/>
      <c r="W971" s="1265"/>
      <c r="X971" s="3"/>
      <c r="Y971" s="3"/>
      <c r="Z971" s="1569"/>
      <c r="AA971" s="96"/>
    </row>
    <row r="972" spans="1:27" ht="15">
      <c r="A972" s="3"/>
      <c r="B972" s="3"/>
      <c r="C972" s="1536"/>
      <c r="D972" s="96"/>
      <c r="E972" s="3"/>
      <c r="F972" s="96"/>
      <c r="G972" s="3"/>
      <c r="H972" s="96"/>
      <c r="I972" s="3"/>
      <c r="J972" s="96"/>
      <c r="K972" s="3"/>
      <c r="L972" s="96"/>
      <c r="M972" s="3"/>
      <c r="N972" s="96"/>
      <c r="O972" s="3"/>
      <c r="P972" s="96"/>
      <c r="Q972" s="1265"/>
      <c r="R972" s="3"/>
      <c r="S972" s="3"/>
      <c r="T972" s="1685"/>
      <c r="U972" s="3"/>
      <c r="V972" s="96"/>
      <c r="W972" s="1265"/>
      <c r="X972" s="3"/>
      <c r="Y972" s="3"/>
      <c r="Z972" s="1569"/>
      <c r="AA972" s="96"/>
    </row>
    <row r="973" spans="1:27" ht="15">
      <c r="A973" s="3"/>
      <c r="B973" s="3"/>
      <c r="C973" s="1536"/>
      <c r="D973" s="96"/>
      <c r="E973" s="3"/>
      <c r="F973" s="96"/>
      <c r="G973" s="3"/>
      <c r="H973" s="96"/>
      <c r="I973" s="3"/>
      <c r="J973" s="96"/>
      <c r="K973" s="3"/>
      <c r="L973" s="96"/>
      <c r="M973" s="3"/>
      <c r="N973" s="96"/>
      <c r="O973" s="3"/>
      <c r="P973" s="96"/>
      <c r="Q973" s="1265"/>
      <c r="R973" s="3"/>
      <c r="S973" s="3"/>
      <c r="T973" s="1685"/>
      <c r="U973" s="3"/>
      <c r="V973" s="96"/>
      <c r="W973" s="1265"/>
      <c r="X973" s="3"/>
      <c r="Y973" s="3"/>
      <c r="Z973" s="1569"/>
      <c r="AA973" s="96"/>
    </row>
    <row r="974" spans="1:27" ht="15">
      <c r="A974" s="3"/>
      <c r="B974" s="3"/>
      <c r="C974" s="1536"/>
      <c r="D974" s="96"/>
      <c r="E974" s="3"/>
      <c r="F974" s="96"/>
      <c r="G974" s="3"/>
      <c r="H974" s="96"/>
      <c r="I974" s="3"/>
      <c r="J974" s="96"/>
      <c r="K974" s="3"/>
      <c r="L974" s="96"/>
      <c r="M974" s="3"/>
      <c r="N974" s="96"/>
      <c r="O974" s="3"/>
      <c r="P974" s="96"/>
      <c r="Q974" s="1265"/>
      <c r="R974" s="3"/>
      <c r="S974" s="3"/>
      <c r="T974" s="1685"/>
      <c r="U974" s="3"/>
      <c r="V974" s="96"/>
      <c r="W974" s="1265"/>
      <c r="X974" s="3"/>
      <c r="Y974" s="3"/>
      <c r="Z974" s="1569"/>
      <c r="AA974" s="96"/>
    </row>
    <row r="975" spans="1:27" ht="15">
      <c r="A975" s="3"/>
      <c r="B975" s="3"/>
      <c r="C975" s="1536"/>
      <c r="D975" s="96"/>
      <c r="E975" s="3"/>
      <c r="F975" s="96"/>
      <c r="G975" s="3"/>
      <c r="H975" s="96"/>
      <c r="I975" s="3"/>
      <c r="J975" s="96"/>
      <c r="K975" s="3"/>
      <c r="L975" s="96"/>
      <c r="M975" s="3"/>
      <c r="N975" s="96"/>
      <c r="O975" s="3"/>
      <c r="P975" s="96"/>
      <c r="Q975" s="1265"/>
      <c r="R975" s="3"/>
      <c r="S975" s="3"/>
      <c r="T975" s="1685"/>
      <c r="U975" s="3"/>
      <c r="V975" s="96"/>
      <c r="W975" s="1265"/>
      <c r="X975" s="3"/>
      <c r="Y975" s="3"/>
      <c r="Z975" s="1569"/>
      <c r="AA975" s="96"/>
    </row>
    <row r="976" spans="1:27" ht="15">
      <c r="A976" s="3"/>
      <c r="B976" s="3"/>
      <c r="C976" s="1536"/>
      <c r="D976" s="96"/>
      <c r="E976" s="3"/>
      <c r="F976" s="96"/>
      <c r="G976" s="3"/>
      <c r="H976" s="96"/>
      <c r="I976" s="3"/>
      <c r="J976" s="96"/>
      <c r="K976" s="3"/>
      <c r="L976" s="96"/>
      <c r="M976" s="3"/>
      <c r="N976" s="96"/>
      <c r="O976" s="3"/>
      <c r="P976" s="96"/>
      <c r="Q976" s="1265"/>
      <c r="R976" s="3"/>
      <c r="S976" s="3"/>
      <c r="T976" s="1685"/>
      <c r="U976" s="3"/>
      <c r="V976" s="96"/>
      <c r="W976" s="1265"/>
      <c r="X976" s="3"/>
      <c r="Y976" s="3"/>
      <c r="Z976" s="1569"/>
      <c r="AA976" s="96"/>
    </row>
    <row r="977" spans="1:27" ht="15">
      <c r="A977" s="3"/>
      <c r="B977" s="3"/>
      <c r="C977" s="1536"/>
      <c r="D977" s="96"/>
      <c r="E977" s="3"/>
      <c r="F977" s="96"/>
      <c r="G977" s="3"/>
      <c r="H977" s="96"/>
      <c r="I977" s="3"/>
      <c r="J977" s="96"/>
      <c r="K977" s="3"/>
      <c r="L977" s="96"/>
      <c r="M977" s="3"/>
      <c r="N977" s="96"/>
      <c r="O977" s="3"/>
      <c r="P977" s="96"/>
      <c r="Q977" s="1265"/>
      <c r="R977" s="3"/>
      <c r="S977" s="3"/>
      <c r="T977" s="1685"/>
      <c r="U977" s="3"/>
      <c r="V977" s="96"/>
      <c r="W977" s="1265"/>
      <c r="X977" s="3"/>
      <c r="Y977" s="3"/>
      <c r="Z977" s="1569"/>
      <c r="AA977" s="96"/>
    </row>
    <row r="978" spans="1:27" ht="15">
      <c r="A978" s="3"/>
      <c r="B978" s="3"/>
      <c r="C978" s="1536"/>
      <c r="D978" s="96"/>
      <c r="E978" s="3"/>
      <c r="F978" s="96"/>
      <c r="G978" s="3"/>
      <c r="H978" s="96"/>
      <c r="I978" s="3"/>
      <c r="J978" s="96"/>
      <c r="K978" s="3"/>
      <c r="L978" s="96"/>
      <c r="M978" s="3"/>
      <c r="N978" s="96"/>
      <c r="O978" s="3"/>
      <c r="P978" s="96"/>
      <c r="Q978" s="1265"/>
      <c r="R978" s="3"/>
      <c r="S978" s="3"/>
      <c r="T978" s="1685"/>
      <c r="U978" s="3"/>
      <c r="V978" s="96"/>
      <c r="W978" s="1265"/>
      <c r="X978" s="3"/>
      <c r="Y978" s="3"/>
      <c r="Z978" s="1569"/>
      <c r="AA978" s="96"/>
    </row>
    <row r="979" spans="1:27" ht="15">
      <c r="A979" s="3"/>
      <c r="B979" s="3"/>
      <c r="C979" s="1536"/>
      <c r="D979" s="96"/>
      <c r="E979" s="3"/>
      <c r="F979" s="96"/>
      <c r="G979" s="3"/>
      <c r="H979" s="96"/>
      <c r="I979" s="3"/>
      <c r="J979" s="96"/>
      <c r="K979" s="3"/>
      <c r="L979" s="96"/>
      <c r="M979" s="3"/>
      <c r="N979" s="96"/>
      <c r="O979" s="3"/>
      <c r="P979" s="96"/>
      <c r="Q979" s="1265"/>
      <c r="R979" s="3"/>
      <c r="S979" s="3"/>
      <c r="T979" s="1685"/>
      <c r="U979" s="3"/>
      <c r="V979" s="96"/>
      <c r="W979" s="1265"/>
      <c r="X979" s="3"/>
      <c r="Y979" s="3"/>
      <c r="Z979" s="1569"/>
      <c r="AA979" s="96"/>
    </row>
    <row r="980" spans="1:27" ht="15">
      <c r="A980" s="3"/>
      <c r="B980" s="3"/>
      <c r="C980" s="1536"/>
      <c r="D980" s="96"/>
      <c r="E980" s="3"/>
      <c r="F980" s="96"/>
      <c r="G980" s="3"/>
      <c r="H980" s="96"/>
      <c r="I980" s="3"/>
      <c r="J980" s="96"/>
      <c r="K980" s="3"/>
      <c r="L980" s="96"/>
      <c r="M980" s="3"/>
      <c r="N980" s="96"/>
      <c r="O980" s="3"/>
      <c r="P980" s="96"/>
      <c r="Q980" s="1265"/>
      <c r="R980" s="3"/>
      <c r="S980" s="3"/>
      <c r="T980" s="1685"/>
      <c r="U980" s="3"/>
      <c r="V980" s="96"/>
      <c r="W980" s="1265"/>
      <c r="X980" s="3"/>
      <c r="Y980" s="3"/>
      <c r="Z980" s="1569"/>
      <c r="AA980" s="96"/>
    </row>
    <row r="981" spans="1:27" ht="15">
      <c r="A981" s="3"/>
      <c r="B981" s="3"/>
      <c r="C981" s="1536"/>
      <c r="D981" s="96"/>
      <c r="E981" s="3"/>
      <c r="F981" s="96"/>
      <c r="G981" s="3"/>
      <c r="H981" s="96"/>
      <c r="I981" s="3"/>
      <c r="J981" s="96"/>
      <c r="K981" s="3"/>
      <c r="L981" s="96"/>
      <c r="M981" s="3"/>
      <c r="N981" s="96"/>
      <c r="O981" s="3"/>
      <c r="P981" s="96"/>
      <c r="Q981" s="1265"/>
      <c r="R981" s="3"/>
      <c r="S981" s="3"/>
      <c r="T981" s="1685"/>
      <c r="U981" s="3"/>
      <c r="V981" s="96"/>
      <c r="W981" s="1265"/>
      <c r="X981" s="3"/>
      <c r="Y981" s="3"/>
      <c r="Z981" s="1569"/>
      <c r="AA981" s="96"/>
    </row>
    <row r="982" spans="1:27" ht="15">
      <c r="A982" s="3"/>
      <c r="B982" s="3"/>
      <c r="C982" s="1536"/>
      <c r="D982" s="96"/>
      <c r="E982" s="3"/>
      <c r="F982" s="96"/>
      <c r="G982" s="3"/>
      <c r="H982" s="96"/>
      <c r="I982" s="3"/>
      <c r="J982" s="96"/>
      <c r="K982" s="3"/>
      <c r="L982" s="96"/>
      <c r="M982" s="3"/>
      <c r="N982" s="96"/>
      <c r="O982" s="3"/>
      <c r="P982" s="96"/>
      <c r="Q982" s="1265"/>
      <c r="R982" s="3"/>
      <c r="S982" s="3"/>
      <c r="T982" s="1685"/>
      <c r="U982" s="3"/>
      <c r="V982" s="96"/>
      <c r="W982" s="1265"/>
      <c r="X982" s="3"/>
      <c r="Y982" s="3"/>
      <c r="Z982" s="1569"/>
      <c r="AA982" s="96"/>
    </row>
    <row r="983" spans="1:27" ht="15">
      <c r="A983" s="3"/>
      <c r="B983" s="3"/>
      <c r="C983" s="1536"/>
      <c r="D983" s="96"/>
      <c r="E983" s="3"/>
      <c r="F983" s="96"/>
      <c r="G983" s="3"/>
      <c r="H983" s="96"/>
      <c r="I983" s="3"/>
      <c r="J983" s="96"/>
      <c r="K983" s="3"/>
      <c r="L983" s="96"/>
      <c r="M983" s="3"/>
      <c r="N983" s="96"/>
      <c r="O983" s="3"/>
      <c r="P983" s="96"/>
      <c r="Q983" s="1265"/>
      <c r="R983" s="3"/>
      <c r="S983" s="3"/>
      <c r="T983" s="1685"/>
      <c r="U983" s="3"/>
      <c r="V983" s="96"/>
      <c r="W983" s="1265"/>
      <c r="X983" s="3"/>
      <c r="Y983" s="3"/>
      <c r="Z983" s="1569"/>
      <c r="AA983" s="96"/>
    </row>
    <row r="984" spans="1:27" ht="15">
      <c r="A984" s="3"/>
      <c r="B984" s="3"/>
      <c r="C984" s="1536"/>
      <c r="D984" s="96"/>
      <c r="E984" s="3"/>
      <c r="F984" s="96"/>
      <c r="G984" s="3"/>
      <c r="H984" s="96"/>
      <c r="I984" s="3"/>
      <c r="J984" s="96"/>
      <c r="K984" s="3"/>
      <c r="L984" s="96"/>
      <c r="M984" s="3"/>
      <c r="N984" s="96"/>
      <c r="O984" s="3"/>
      <c r="P984" s="96"/>
      <c r="Q984" s="1265"/>
      <c r="R984" s="3"/>
      <c r="S984" s="3"/>
      <c r="T984" s="1685"/>
      <c r="U984" s="3"/>
      <c r="V984" s="96"/>
      <c r="W984" s="1265"/>
      <c r="X984" s="3"/>
      <c r="Y984" s="3"/>
      <c r="Z984" s="1569"/>
      <c r="AA984" s="96"/>
    </row>
    <row r="985" spans="1:27" ht="15">
      <c r="A985" s="3"/>
      <c r="B985" s="3"/>
      <c r="C985" s="1536"/>
      <c r="D985" s="96"/>
      <c r="E985" s="3"/>
      <c r="F985" s="96"/>
      <c r="G985" s="3"/>
      <c r="H985" s="96"/>
      <c r="I985" s="3"/>
      <c r="J985" s="96"/>
      <c r="K985" s="3"/>
      <c r="L985" s="96"/>
      <c r="M985" s="3"/>
      <c r="N985" s="96"/>
      <c r="O985" s="3"/>
      <c r="P985" s="96"/>
      <c r="Q985" s="1265"/>
      <c r="R985" s="3"/>
      <c r="S985" s="3"/>
      <c r="T985" s="1685"/>
      <c r="U985" s="3"/>
      <c r="V985" s="96"/>
      <c r="W985" s="1265"/>
      <c r="X985" s="3"/>
      <c r="Y985" s="3"/>
      <c r="Z985" s="1569"/>
      <c r="AA985" s="96"/>
    </row>
    <row r="986" spans="1:27" ht="15">
      <c r="A986" s="3"/>
      <c r="B986" s="3"/>
      <c r="C986" s="1536"/>
      <c r="D986" s="96"/>
      <c r="E986" s="3"/>
      <c r="F986" s="96"/>
      <c r="G986" s="3"/>
      <c r="H986" s="96"/>
      <c r="I986" s="3"/>
      <c r="J986" s="96"/>
      <c r="K986" s="3"/>
      <c r="L986" s="96"/>
      <c r="M986" s="3"/>
      <c r="N986" s="96"/>
      <c r="O986" s="3"/>
      <c r="P986" s="96"/>
      <c r="Q986" s="1265"/>
      <c r="R986" s="3"/>
      <c r="S986" s="3"/>
      <c r="T986" s="1685"/>
      <c r="U986" s="3"/>
      <c r="V986" s="96"/>
      <c r="W986" s="1265"/>
      <c r="X986" s="3"/>
      <c r="Y986" s="3"/>
      <c r="Z986" s="1569"/>
      <c r="AA986" s="96"/>
    </row>
    <row r="987" spans="1:27" ht="15">
      <c r="A987" s="3"/>
      <c r="B987" s="3"/>
      <c r="C987" s="1536"/>
      <c r="D987" s="96"/>
      <c r="E987" s="3"/>
      <c r="F987" s="96"/>
      <c r="G987" s="3"/>
      <c r="H987" s="96"/>
      <c r="I987" s="3"/>
      <c r="J987" s="96"/>
      <c r="K987" s="3"/>
      <c r="L987" s="96"/>
      <c r="M987" s="3"/>
      <c r="N987" s="96"/>
      <c r="O987" s="3"/>
      <c r="P987" s="96"/>
      <c r="Q987" s="1265"/>
      <c r="R987" s="3"/>
      <c r="S987" s="3"/>
      <c r="T987" s="1685"/>
      <c r="U987" s="3"/>
      <c r="V987" s="96"/>
      <c r="W987" s="1265"/>
      <c r="X987" s="3"/>
      <c r="Y987" s="3"/>
      <c r="Z987" s="1569"/>
      <c r="AA987" s="96"/>
    </row>
    <row r="988" spans="1:27" ht="15">
      <c r="A988" s="3"/>
      <c r="B988" s="3"/>
      <c r="C988" s="1536"/>
      <c r="D988" s="96"/>
      <c r="E988" s="3"/>
      <c r="F988" s="96"/>
      <c r="G988" s="3"/>
      <c r="H988" s="96"/>
      <c r="I988" s="3"/>
      <c r="J988" s="96"/>
      <c r="K988" s="3"/>
      <c r="L988" s="96"/>
      <c r="M988" s="3"/>
      <c r="N988" s="96"/>
      <c r="O988" s="3"/>
      <c r="P988" s="96"/>
      <c r="Q988" s="1265"/>
      <c r="R988" s="3"/>
      <c r="S988" s="3"/>
      <c r="T988" s="1685"/>
      <c r="U988" s="3"/>
      <c r="V988" s="96"/>
      <c r="W988" s="1265"/>
      <c r="X988" s="3"/>
      <c r="Y988" s="3"/>
      <c r="Z988" s="1569"/>
      <c r="AA988" s="96"/>
    </row>
    <row r="989" spans="1:27" ht="15">
      <c r="A989" s="3"/>
      <c r="B989" s="3"/>
      <c r="C989" s="1536"/>
      <c r="D989" s="96"/>
      <c r="E989" s="3"/>
      <c r="F989" s="96"/>
      <c r="G989" s="3"/>
      <c r="H989" s="96"/>
      <c r="I989" s="3"/>
      <c r="J989" s="96"/>
      <c r="K989" s="3"/>
      <c r="L989" s="96"/>
      <c r="M989" s="3"/>
      <c r="N989" s="96"/>
      <c r="O989" s="3"/>
      <c r="P989" s="96"/>
      <c r="Q989" s="1265"/>
      <c r="R989" s="3"/>
      <c r="S989" s="3"/>
      <c r="T989" s="1685"/>
      <c r="U989" s="3"/>
      <c r="V989" s="96"/>
      <c r="W989" s="1265"/>
      <c r="X989" s="3"/>
      <c r="Y989" s="3"/>
      <c r="Z989" s="1569"/>
      <c r="AA989" s="96"/>
    </row>
    <row r="990" spans="1:27" ht="15">
      <c r="A990" s="3"/>
      <c r="B990" s="3"/>
      <c r="C990" s="1536"/>
      <c r="D990" s="96"/>
      <c r="E990" s="3"/>
      <c r="F990" s="96"/>
      <c r="G990" s="3"/>
      <c r="H990" s="96"/>
      <c r="I990" s="3"/>
      <c r="J990" s="96"/>
      <c r="K990" s="3"/>
      <c r="L990" s="96"/>
      <c r="M990" s="3"/>
      <c r="N990" s="96"/>
      <c r="O990" s="3"/>
      <c r="P990" s="96"/>
      <c r="Q990" s="1265"/>
      <c r="R990" s="3"/>
      <c r="S990" s="3"/>
      <c r="T990" s="1685"/>
      <c r="U990" s="3"/>
      <c r="V990" s="96"/>
      <c r="W990" s="1265"/>
      <c r="X990" s="3"/>
      <c r="Y990" s="3"/>
      <c r="Z990" s="1569"/>
      <c r="AA990" s="96"/>
    </row>
    <row r="991" spans="1:27" ht="15">
      <c r="A991" s="3"/>
      <c r="B991" s="3"/>
      <c r="C991" s="1536"/>
      <c r="D991" s="96"/>
      <c r="E991" s="3"/>
      <c r="F991" s="96"/>
      <c r="G991" s="3"/>
      <c r="H991" s="96"/>
      <c r="I991" s="3"/>
      <c r="J991" s="96"/>
      <c r="K991" s="3"/>
      <c r="L991" s="96"/>
      <c r="M991" s="3"/>
      <c r="N991" s="96"/>
      <c r="O991" s="3"/>
      <c r="P991" s="96"/>
      <c r="Q991" s="1265"/>
      <c r="R991" s="3"/>
      <c r="S991" s="3"/>
      <c r="T991" s="1685"/>
      <c r="U991" s="3"/>
      <c r="V991" s="96"/>
      <c r="W991" s="1265"/>
      <c r="X991" s="3"/>
      <c r="Y991" s="3"/>
      <c r="Z991" s="1569"/>
      <c r="AA991" s="96"/>
    </row>
    <row r="992" spans="1:27" ht="15">
      <c r="A992" s="3"/>
      <c r="B992" s="3"/>
      <c r="C992" s="1536"/>
      <c r="D992" s="96"/>
      <c r="E992" s="3"/>
      <c r="F992" s="96"/>
      <c r="G992" s="3"/>
      <c r="H992" s="96"/>
      <c r="I992" s="3"/>
      <c r="J992" s="96"/>
      <c r="K992" s="3"/>
      <c r="L992" s="96"/>
      <c r="M992" s="3"/>
      <c r="N992" s="96"/>
      <c r="O992" s="3"/>
      <c r="P992" s="96"/>
      <c r="Q992" s="1265"/>
      <c r="R992" s="3"/>
      <c r="S992" s="3"/>
      <c r="T992" s="1685"/>
      <c r="U992" s="3"/>
      <c r="V992" s="96"/>
      <c r="W992" s="1265"/>
      <c r="X992" s="3"/>
      <c r="Y992" s="3"/>
      <c r="Z992" s="1569"/>
      <c r="AA992" s="96"/>
    </row>
    <row r="993" spans="1:27" ht="15">
      <c r="A993" s="3"/>
      <c r="B993" s="3"/>
      <c r="C993" s="1536"/>
      <c r="D993" s="96"/>
      <c r="E993" s="3"/>
      <c r="F993" s="96"/>
      <c r="G993" s="3"/>
      <c r="H993" s="96"/>
      <c r="I993" s="3"/>
      <c r="J993" s="96"/>
      <c r="K993" s="3"/>
      <c r="L993" s="96"/>
      <c r="M993" s="3"/>
      <c r="N993" s="96"/>
      <c r="O993" s="3"/>
      <c r="P993" s="96"/>
      <c r="Q993" s="1265"/>
      <c r="R993" s="3"/>
      <c r="S993" s="3"/>
      <c r="T993" s="1685"/>
      <c r="U993" s="3"/>
      <c r="V993" s="96"/>
      <c r="W993" s="1265"/>
      <c r="X993" s="3"/>
      <c r="Y993" s="3"/>
      <c r="Z993" s="1569"/>
      <c r="AA993" s="96"/>
    </row>
    <row r="994" spans="1:27" ht="15">
      <c r="A994" s="3"/>
      <c r="B994" s="3"/>
      <c r="C994" s="1536"/>
      <c r="D994" s="96"/>
      <c r="E994" s="3"/>
      <c r="F994" s="96"/>
      <c r="G994" s="3"/>
      <c r="H994" s="96"/>
      <c r="I994" s="3"/>
      <c r="J994" s="96"/>
      <c r="K994" s="3"/>
      <c r="L994" s="96"/>
      <c r="M994" s="3"/>
      <c r="N994" s="96"/>
      <c r="O994" s="3"/>
      <c r="P994" s="96"/>
      <c r="Q994" s="1265"/>
      <c r="R994" s="3"/>
      <c r="S994" s="3"/>
      <c r="T994" s="1685"/>
      <c r="U994" s="3"/>
      <c r="V994" s="96"/>
      <c r="W994" s="1265"/>
      <c r="X994" s="3"/>
      <c r="Y994" s="3"/>
      <c r="Z994" s="1569"/>
      <c r="AA994" s="96"/>
    </row>
    <row r="995" spans="1:27" ht="15">
      <c r="A995" s="3"/>
      <c r="B995" s="3"/>
      <c r="C995" s="1536"/>
      <c r="D995" s="96"/>
      <c r="E995" s="3"/>
      <c r="F995" s="96"/>
      <c r="G995" s="3"/>
      <c r="H995" s="96"/>
      <c r="I995" s="3"/>
      <c r="J995" s="96"/>
      <c r="K995" s="3"/>
      <c r="L995" s="96"/>
      <c r="M995" s="3"/>
      <c r="N995" s="96"/>
      <c r="O995" s="3"/>
      <c r="P995" s="96"/>
      <c r="Q995" s="1265"/>
      <c r="R995" s="3"/>
      <c r="S995" s="3"/>
      <c r="T995" s="1685"/>
      <c r="U995" s="3"/>
      <c r="V995" s="96"/>
      <c r="W995" s="1265"/>
      <c r="X995" s="3"/>
      <c r="Y995" s="3"/>
      <c r="Z995" s="1569"/>
      <c r="AA995" s="96"/>
    </row>
    <row r="996" spans="1:27" ht="15">
      <c r="A996" s="3"/>
      <c r="B996" s="3"/>
      <c r="C996" s="1536"/>
      <c r="D996" s="96"/>
      <c r="E996" s="3"/>
      <c r="F996" s="96"/>
      <c r="G996" s="3"/>
      <c r="H996" s="96"/>
      <c r="I996" s="3"/>
      <c r="J996" s="96"/>
      <c r="K996" s="3"/>
      <c r="L996" s="96"/>
      <c r="M996" s="3"/>
      <c r="N996" s="96"/>
      <c r="O996" s="3"/>
      <c r="P996" s="96"/>
      <c r="Q996" s="1265"/>
      <c r="R996" s="3"/>
      <c r="S996" s="3"/>
      <c r="T996" s="1685"/>
      <c r="U996" s="3"/>
      <c r="V996" s="96"/>
      <c r="W996" s="1265"/>
      <c r="X996" s="3"/>
      <c r="Y996" s="3"/>
      <c r="Z996" s="1569"/>
      <c r="AA996" s="96"/>
    </row>
    <row r="997" spans="1:27" ht="15">
      <c r="A997" s="3"/>
      <c r="B997" s="3"/>
      <c r="C997" s="1536"/>
      <c r="D997" s="96"/>
      <c r="E997" s="3"/>
      <c r="F997" s="96"/>
      <c r="G997" s="3"/>
      <c r="H997" s="96"/>
      <c r="I997" s="3"/>
      <c r="J997" s="96"/>
      <c r="K997" s="3"/>
      <c r="L997" s="96"/>
      <c r="M997" s="3"/>
      <c r="N997" s="96"/>
      <c r="O997" s="3"/>
      <c r="P997" s="96"/>
      <c r="Q997" s="1265"/>
      <c r="R997" s="3"/>
      <c r="S997" s="3"/>
      <c r="T997" s="1685"/>
      <c r="U997" s="3"/>
      <c r="V997" s="96"/>
      <c r="W997" s="1265"/>
      <c r="X997" s="3"/>
      <c r="Y997" s="3"/>
      <c r="Z997" s="1569"/>
      <c r="AA997" s="96"/>
    </row>
    <row r="998" spans="1:27" ht="15">
      <c r="A998" s="3"/>
      <c r="B998" s="3"/>
      <c r="C998" s="1536"/>
      <c r="D998" s="96"/>
      <c r="E998" s="3"/>
      <c r="F998" s="96"/>
      <c r="G998" s="3"/>
      <c r="H998" s="96"/>
      <c r="I998" s="3"/>
      <c r="J998" s="96"/>
      <c r="K998" s="3"/>
      <c r="L998" s="96"/>
      <c r="M998" s="3"/>
      <c r="N998" s="96"/>
      <c r="O998" s="3"/>
      <c r="P998" s="96"/>
      <c r="Q998" s="1265"/>
      <c r="R998" s="3"/>
      <c r="S998" s="3"/>
      <c r="T998" s="1685"/>
      <c r="U998" s="3"/>
      <c r="V998" s="96"/>
      <c r="W998" s="1265"/>
      <c r="X998" s="3"/>
      <c r="Y998" s="3"/>
      <c r="Z998" s="1569"/>
      <c r="AA998" s="96"/>
    </row>
    <row r="999" spans="1:27" ht="15">
      <c r="A999" s="3"/>
      <c r="B999" s="3"/>
      <c r="C999" s="1536"/>
      <c r="D999" s="96"/>
      <c r="E999" s="3"/>
      <c r="F999" s="96"/>
      <c r="G999" s="3"/>
      <c r="H999" s="96"/>
      <c r="I999" s="3"/>
      <c r="J999" s="96"/>
      <c r="K999" s="3"/>
      <c r="L999" s="96"/>
      <c r="M999" s="3"/>
      <c r="N999" s="96"/>
      <c r="O999" s="3"/>
      <c r="P999" s="96"/>
      <c r="Q999" s="1265"/>
      <c r="R999" s="3"/>
      <c r="S999" s="3"/>
      <c r="T999" s="1685"/>
      <c r="U999" s="3"/>
      <c r="V999" s="96"/>
      <c r="W999" s="1265"/>
      <c r="X999" s="3"/>
      <c r="Y999" s="3"/>
      <c r="Z999" s="1569"/>
      <c r="AA999" s="96"/>
    </row>
    <row r="1000" spans="1:27" ht="15">
      <c r="A1000" s="3"/>
      <c r="B1000" s="3"/>
      <c r="C1000" s="1536"/>
      <c r="D1000" s="96"/>
      <c r="E1000" s="3"/>
      <c r="F1000" s="96"/>
      <c r="G1000" s="3"/>
      <c r="H1000" s="96"/>
      <c r="I1000" s="3"/>
      <c r="J1000" s="96"/>
      <c r="K1000" s="3"/>
      <c r="L1000" s="96"/>
      <c r="M1000" s="3"/>
      <c r="N1000" s="96"/>
      <c r="O1000" s="3"/>
      <c r="P1000" s="96"/>
      <c r="Q1000" s="1265"/>
      <c r="R1000" s="3"/>
      <c r="S1000" s="3"/>
      <c r="T1000" s="1685"/>
      <c r="U1000" s="3"/>
      <c r="V1000" s="96"/>
      <c r="W1000" s="1265"/>
      <c r="X1000" s="3"/>
      <c r="Y1000" s="3"/>
      <c r="Z1000" s="1569"/>
      <c r="AA1000" s="96"/>
    </row>
    <row r="1001" spans="1:27" ht="15">
      <c r="A1001" s="3"/>
      <c r="B1001" s="3"/>
      <c r="C1001" s="1536"/>
      <c r="D1001" s="96"/>
      <c r="E1001" s="3"/>
      <c r="F1001" s="96"/>
      <c r="G1001" s="3"/>
      <c r="H1001" s="96"/>
      <c r="I1001" s="3"/>
      <c r="J1001" s="96"/>
      <c r="K1001" s="3"/>
      <c r="L1001" s="96"/>
      <c r="M1001" s="3"/>
      <c r="N1001" s="96"/>
      <c r="O1001" s="3"/>
      <c r="P1001" s="96"/>
      <c r="Q1001" s="1265"/>
      <c r="R1001" s="3"/>
      <c r="S1001" s="3"/>
      <c r="T1001" s="1685"/>
      <c r="U1001" s="3"/>
      <c r="V1001" s="96"/>
      <c r="W1001" s="1265"/>
      <c r="X1001" s="3"/>
      <c r="Y1001" s="3"/>
      <c r="Z1001" s="1569"/>
      <c r="AA1001" s="96"/>
    </row>
    <row r="1002" spans="1:27" ht="15">
      <c r="A1002" s="3"/>
      <c r="B1002" s="3"/>
      <c r="C1002" s="1536"/>
      <c r="D1002" s="96"/>
      <c r="E1002" s="3"/>
      <c r="F1002" s="96"/>
      <c r="G1002" s="3"/>
      <c r="H1002" s="96"/>
      <c r="I1002" s="3"/>
      <c r="J1002" s="96"/>
      <c r="K1002" s="3"/>
      <c r="L1002" s="96"/>
      <c r="M1002" s="3"/>
      <c r="N1002" s="96"/>
      <c r="O1002" s="3"/>
      <c r="P1002" s="96"/>
      <c r="Q1002" s="1265"/>
      <c r="R1002" s="3"/>
      <c r="S1002" s="3"/>
      <c r="T1002" s="1685"/>
      <c r="U1002" s="3"/>
      <c r="V1002" s="96"/>
      <c r="W1002" s="1265"/>
      <c r="X1002" s="3"/>
      <c r="Y1002" s="3"/>
      <c r="Z1002" s="1569"/>
      <c r="AA1002" s="96"/>
    </row>
    <row r="1003" spans="1:27" ht="15">
      <c r="A1003" s="3"/>
      <c r="B1003" s="3"/>
      <c r="C1003" s="1536"/>
      <c r="D1003" s="96"/>
      <c r="E1003" s="3"/>
      <c r="F1003" s="96"/>
      <c r="G1003" s="3"/>
      <c r="H1003" s="96"/>
      <c r="I1003" s="3"/>
      <c r="J1003" s="96"/>
      <c r="K1003" s="3"/>
      <c r="L1003" s="96"/>
      <c r="M1003" s="3"/>
      <c r="N1003" s="96"/>
      <c r="O1003" s="3"/>
      <c r="P1003" s="96"/>
      <c r="Q1003" s="1265"/>
      <c r="R1003" s="3"/>
      <c r="S1003" s="3"/>
      <c r="T1003" s="1685"/>
      <c r="U1003" s="3"/>
      <c r="V1003" s="96"/>
      <c r="W1003" s="1265"/>
      <c r="X1003" s="3"/>
      <c r="Y1003" s="3"/>
      <c r="Z1003" s="1569"/>
      <c r="AA1003" s="96"/>
    </row>
    <row r="1004" spans="1:27" ht="15">
      <c r="A1004" s="3"/>
      <c r="B1004" s="3"/>
      <c r="C1004" s="1536"/>
      <c r="D1004" s="96"/>
      <c r="E1004" s="3"/>
      <c r="F1004" s="96"/>
      <c r="G1004" s="3"/>
      <c r="H1004" s="96"/>
      <c r="I1004" s="3"/>
      <c r="J1004" s="96"/>
      <c r="K1004" s="3"/>
      <c r="L1004" s="96"/>
      <c r="M1004" s="3"/>
      <c r="N1004" s="96"/>
      <c r="O1004" s="3"/>
      <c r="P1004" s="96"/>
      <c r="Q1004" s="1265"/>
      <c r="R1004" s="3"/>
      <c r="S1004" s="3"/>
      <c r="T1004" s="1685"/>
      <c r="U1004" s="3"/>
      <c r="V1004" s="96"/>
      <c r="W1004" s="1265"/>
      <c r="X1004" s="3"/>
      <c r="Y1004" s="3"/>
      <c r="Z1004" s="1569"/>
      <c r="AA1004" s="96"/>
    </row>
    <row r="1005" spans="1:27" ht="15">
      <c r="A1005" s="3"/>
      <c r="B1005" s="3"/>
      <c r="C1005" s="1536"/>
      <c r="D1005" s="96"/>
      <c r="E1005" s="3"/>
      <c r="F1005" s="96"/>
      <c r="G1005" s="3"/>
      <c r="H1005" s="96"/>
      <c r="I1005" s="3"/>
      <c r="J1005" s="96"/>
      <c r="K1005" s="3"/>
      <c r="L1005" s="96"/>
      <c r="M1005" s="3"/>
      <c r="N1005" s="96"/>
      <c r="O1005" s="3"/>
      <c r="P1005" s="96"/>
      <c r="Q1005" s="1265"/>
      <c r="R1005" s="3"/>
      <c r="S1005" s="3"/>
      <c r="T1005" s="1685"/>
      <c r="U1005" s="3"/>
      <c r="V1005" s="96"/>
      <c r="W1005" s="1265"/>
      <c r="X1005" s="3"/>
      <c r="Y1005" s="3"/>
      <c r="Z1005" s="1569"/>
      <c r="AA1005" s="96"/>
    </row>
    <row r="1006" spans="1:27" ht="15">
      <c r="A1006" s="3"/>
      <c r="B1006" s="3"/>
      <c r="C1006" s="1536"/>
      <c r="D1006" s="96"/>
      <c r="E1006" s="3"/>
      <c r="F1006" s="96"/>
      <c r="G1006" s="3"/>
      <c r="H1006" s="96"/>
      <c r="I1006" s="3"/>
      <c r="J1006" s="96"/>
      <c r="K1006" s="3"/>
      <c r="L1006" s="96"/>
      <c r="M1006" s="3"/>
      <c r="N1006" s="96"/>
      <c r="O1006" s="3"/>
      <c r="P1006" s="96"/>
      <c r="Q1006" s="1265"/>
      <c r="R1006" s="3"/>
      <c r="S1006" s="3"/>
      <c r="T1006" s="1685"/>
      <c r="U1006" s="3"/>
      <c r="V1006" s="96"/>
      <c r="W1006" s="1265"/>
      <c r="X1006" s="3"/>
      <c r="Y1006" s="3"/>
      <c r="Z1006" s="1569"/>
      <c r="AA1006" s="96"/>
    </row>
    <row r="1007" spans="1:27" ht="15">
      <c r="A1007" s="3"/>
      <c r="B1007" s="3"/>
      <c r="C1007" s="1536"/>
      <c r="D1007" s="96"/>
      <c r="E1007" s="3"/>
      <c r="F1007" s="96"/>
      <c r="G1007" s="3"/>
      <c r="H1007" s="96"/>
      <c r="I1007" s="3"/>
      <c r="J1007" s="96"/>
      <c r="K1007" s="3"/>
      <c r="L1007" s="96"/>
      <c r="M1007" s="3"/>
      <c r="N1007" s="96"/>
      <c r="O1007" s="3"/>
      <c r="P1007" s="96"/>
      <c r="Q1007" s="1265"/>
      <c r="R1007" s="3"/>
      <c r="S1007" s="3"/>
      <c r="T1007" s="1685"/>
      <c r="U1007" s="3"/>
      <c r="V1007" s="96"/>
      <c r="W1007" s="1265"/>
      <c r="X1007" s="3"/>
      <c r="Y1007" s="3"/>
      <c r="Z1007" s="1569"/>
      <c r="AA1007" s="96"/>
    </row>
    <row r="1008" spans="1:27" ht="15">
      <c r="A1008" s="3"/>
      <c r="B1008" s="3"/>
      <c r="C1008" s="1536"/>
      <c r="D1008" s="96"/>
      <c r="E1008" s="3"/>
      <c r="F1008" s="96"/>
      <c r="G1008" s="3"/>
      <c r="H1008" s="96"/>
      <c r="I1008" s="3"/>
      <c r="J1008" s="96"/>
      <c r="K1008" s="3"/>
      <c r="L1008" s="96"/>
      <c r="M1008" s="3"/>
      <c r="N1008" s="96"/>
      <c r="O1008" s="3"/>
      <c r="P1008" s="96"/>
      <c r="Q1008" s="1265"/>
      <c r="R1008" s="3"/>
      <c r="S1008" s="3"/>
      <c r="T1008" s="1685"/>
      <c r="U1008" s="3"/>
      <c r="V1008" s="96"/>
      <c r="W1008" s="1265"/>
      <c r="X1008" s="3"/>
      <c r="Y1008" s="3"/>
      <c r="Z1008" s="1569"/>
      <c r="AA1008" s="96"/>
    </row>
    <row r="1009" spans="1:27" ht="15">
      <c r="A1009" s="3"/>
      <c r="B1009" s="3"/>
      <c r="C1009" s="1536"/>
      <c r="D1009" s="96"/>
      <c r="E1009" s="3"/>
      <c r="F1009" s="96"/>
      <c r="G1009" s="3"/>
      <c r="H1009" s="96"/>
      <c r="I1009" s="3"/>
      <c r="J1009" s="96"/>
      <c r="K1009" s="3"/>
      <c r="L1009" s="96"/>
      <c r="M1009" s="3"/>
      <c r="N1009" s="96"/>
      <c r="O1009" s="3"/>
      <c r="P1009" s="96"/>
      <c r="Q1009" s="1265"/>
      <c r="R1009" s="3"/>
      <c r="S1009" s="3"/>
      <c r="T1009" s="1685"/>
      <c r="U1009" s="3"/>
      <c r="V1009" s="96"/>
      <c r="W1009" s="1265"/>
      <c r="X1009" s="3"/>
      <c r="Y1009" s="3"/>
      <c r="Z1009" s="1569"/>
      <c r="AA1009" s="96"/>
    </row>
    <row r="1010" spans="1:27" ht="15">
      <c r="A1010" s="3"/>
      <c r="B1010" s="3"/>
      <c r="C1010" s="1536"/>
      <c r="D1010" s="96"/>
      <c r="E1010" s="3"/>
      <c r="F1010" s="96"/>
      <c r="G1010" s="3"/>
      <c r="H1010" s="96"/>
      <c r="I1010" s="3"/>
      <c r="J1010" s="96"/>
      <c r="K1010" s="3"/>
      <c r="L1010" s="96"/>
      <c r="M1010" s="3"/>
      <c r="N1010" s="96"/>
      <c r="O1010" s="3"/>
      <c r="P1010" s="96"/>
      <c r="Q1010" s="1265"/>
      <c r="R1010" s="3"/>
      <c r="S1010" s="3"/>
      <c r="T1010" s="1685"/>
      <c r="U1010" s="3"/>
      <c r="V1010" s="96"/>
      <c r="W1010" s="1265"/>
      <c r="X1010" s="3"/>
      <c r="Y1010" s="3"/>
      <c r="Z1010" s="1569"/>
      <c r="AA1010" s="96"/>
    </row>
    <row r="1011" spans="1:27" ht="15">
      <c r="A1011" s="3"/>
      <c r="B1011" s="3"/>
      <c r="C1011" s="1536"/>
      <c r="D1011" s="96"/>
      <c r="E1011" s="3"/>
      <c r="F1011" s="96"/>
      <c r="G1011" s="3"/>
      <c r="H1011" s="96"/>
      <c r="I1011" s="3"/>
      <c r="J1011" s="96"/>
      <c r="K1011" s="3"/>
      <c r="L1011" s="96"/>
      <c r="M1011" s="3"/>
      <c r="N1011" s="96"/>
      <c r="O1011" s="3"/>
      <c r="P1011" s="96"/>
      <c r="Q1011" s="1265"/>
      <c r="R1011" s="3"/>
      <c r="S1011" s="3"/>
      <c r="T1011" s="1685"/>
      <c r="U1011" s="3"/>
      <c r="V1011" s="96"/>
      <c r="W1011" s="1265"/>
      <c r="X1011" s="3"/>
      <c r="Y1011" s="3"/>
      <c r="Z1011" s="1569"/>
      <c r="AA1011" s="96"/>
    </row>
    <row r="1012" spans="1:27" ht="15">
      <c r="A1012" s="3"/>
      <c r="B1012" s="3"/>
      <c r="C1012" s="1536"/>
      <c r="D1012" s="96"/>
      <c r="E1012" s="3"/>
      <c r="F1012" s="96"/>
      <c r="G1012" s="3"/>
      <c r="H1012" s="96"/>
      <c r="I1012" s="3"/>
      <c r="J1012" s="96"/>
      <c r="K1012" s="3"/>
      <c r="L1012" s="96"/>
      <c r="M1012" s="3"/>
      <c r="N1012" s="96"/>
      <c r="O1012" s="3"/>
      <c r="P1012" s="96"/>
      <c r="Q1012" s="1265"/>
      <c r="R1012" s="3"/>
      <c r="S1012" s="3"/>
      <c r="T1012" s="1685"/>
      <c r="U1012" s="3"/>
      <c r="V1012" s="96"/>
      <c r="W1012" s="1265"/>
      <c r="X1012" s="3"/>
      <c r="Y1012" s="3"/>
      <c r="Z1012" s="1569"/>
      <c r="AA1012" s="96"/>
    </row>
    <row r="1013" spans="1:27" ht="15">
      <c r="A1013" s="3"/>
      <c r="B1013" s="3"/>
      <c r="C1013" s="1536"/>
      <c r="D1013" s="96"/>
      <c r="E1013" s="3"/>
      <c r="F1013" s="96"/>
      <c r="G1013" s="3"/>
      <c r="H1013" s="96"/>
      <c r="I1013" s="3"/>
      <c r="J1013" s="96"/>
      <c r="K1013" s="3"/>
      <c r="L1013" s="96"/>
      <c r="M1013" s="3"/>
      <c r="N1013" s="96"/>
      <c r="O1013" s="3"/>
      <c r="P1013" s="96"/>
      <c r="Q1013" s="1265"/>
      <c r="R1013" s="3"/>
      <c r="S1013" s="3"/>
      <c r="T1013" s="1685"/>
      <c r="U1013" s="3"/>
      <c r="V1013" s="96"/>
      <c r="W1013" s="1265"/>
      <c r="X1013" s="3"/>
      <c r="Y1013" s="3"/>
      <c r="Z1013" s="1569"/>
      <c r="AA1013" s="96"/>
    </row>
    <row r="1014" spans="1:27" ht="15">
      <c r="A1014" s="3"/>
      <c r="B1014" s="3"/>
      <c r="C1014" s="1536"/>
      <c r="D1014" s="96"/>
      <c r="E1014" s="3"/>
      <c r="F1014" s="96"/>
      <c r="G1014" s="3"/>
      <c r="H1014" s="96"/>
      <c r="I1014" s="3"/>
      <c r="J1014" s="96"/>
      <c r="K1014" s="3"/>
      <c r="L1014" s="96"/>
      <c r="M1014" s="3"/>
      <c r="N1014" s="96"/>
      <c r="O1014" s="3"/>
      <c r="P1014" s="96"/>
      <c r="Q1014" s="1265"/>
      <c r="R1014" s="3"/>
      <c r="S1014" s="3"/>
      <c r="T1014" s="1685"/>
      <c r="U1014" s="3"/>
      <c r="V1014" s="96"/>
      <c r="W1014" s="1265"/>
      <c r="X1014" s="3"/>
      <c r="Y1014" s="3"/>
      <c r="Z1014" s="1569"/>
      <c r="AA1014" s="96"/>
    </row>
    <row r="1015" spans="1:27" ht="15">
      <c r="A1015" s="3"/>
      <c r="B1015" s="3"/>
      <c r="C1015" s="1536"/>
      <c r="D1015" s="96"/>
      <c r="E1015" s="3"/>
      <c r="F1015" s="96"/>
      <c r="G1015" s="3"/>
      <c r="H1015" s="96"/>
      <c r="I1015" s="3"/>
      <c r="J1015" s="96"/>
      <c r="K1015" s="3"/>
      <c r="L1015" s="96"/>
      <c r="M1015" s="3"/>
      <c r="N1015" s="96"/>
      <c r="O1015" s="3"/>
      <c r="P1015" s="96"/>
      <c r="Q1015" s="1265"/>
      <c r="R1015" s="3"/>
      <c r="S1015" s="3"/>
      <c r="T1015" s="1685"/>
      <c r="U1015" s="3"/>
      <c r="V1015" s="96"/>
      <c r="W1015" s="1265"/>
      <c r="X1015" s="3"/>
      <c r="Y1015" s="3"/>
      <c r="Z1015" s="1569"/>
      <c r="AA1015" s="96"/>
    </row>
    <row r="1016" spans="1:27" ht="15">
      <c r="A1016" s="3"/>
      <c r="B1016" s="3"/>
      <c r="C1016" s="1536"/>
      <c r="D1016" s="96"/>
      <c r="E1016" s="3"/>
      <c r="F1016" s="96"/>
      <c r="G1016" s="3"/>
      <c r="H1016" s="96"/>
      <c r="I1016" s="3"/>
      <c r="J1016" s="96"/>
      <c r="K1016" s="3"/>
      <c r="L1016" s="96"/>
      <c r="M1016" s="3"/>
      <c r="N1016" s="96"/>
      <c r="O1016" s="3"/>
      <c r="P1016" s="96"/>
      <c r="Q1016" s="1265"/>
      <c r="R1016" s="3"/>
      <c r="S1016" s="3"/>
      <c r="T1016" s="1685"/>
      <c r="U1016" s="3"/>
      <c r="V1016" s="96"/>
      <c r="W1016" s="1265"/>
      <c r="X1016" s="3"/>
      <c r="Y1016" s="3"/>
      <c r="Z1016" s="1569"/>
      <c r="AA1016" s="96"/>
    </row>
  </sheetData>
  <mergeCells count="4">
    <mergeCell ref="D1:Z1"/>
    <mergeCell ref="C31:C32"/>
    <mergeCell ref="G66:G67"/>
    <mergeCell ref="I66:I67"/>
  </mergeCells>
  <conditionalFormatting sqref="D168 F168 H168 J168 L168 N168 P168 R168 T168 V168 X168 Z168">
    <cfRule type="cellIs" dxfId="22" priority="40" operator="lessThan">
      <formula>0</formula>
    </cfRule>
  </conditionalFormatting>
  <conditionalFormatting sqref="E168">
    <cfRule type="cellIs" dxfId="21" priority="22" operator="lessThan">
      <formula>0</formula>
    </cfRule>
  </conditionalFormatting>
  <conditionalFormatting sqref="G168">
    <cfRule type="cellIs" dxfId="20" priority="21" operator="lessThan">
      <formula>0</formula>
    </cfRule>
  </conditionalFormatting>
  <conditionalFormatting sqref="I168">
    <cfRule type="cellIs" dxfId="19" priority="19" operator="lessThan">
      <formula>0</formula>
    </cfRule>
  </conditionalFormatting>
  <conditionalFormatting sqref="K168">
    <cfRule type="cellIs" dxfId="18" priority="17" operator="lessThan">
      <formula>0</formula>
    </cfRule>
  </conditionalFormatting>
  <conditionalFormatting sqref="M168">
    <cfRule type="cellIs" dxfId="17" priority="15" operator="lessThan">
      <formula>0</formula>
    </cfRule>
  </conditionalFormatting>
  <conditionalFormatting sqref="O168">
    <cfRule type="cellIs" dxfId="16" priority="13" operator="lessThan">
      <formula>0</formula>
    </cfRule>
  </conditionalFormatting>
  <conditionalFormatting sqref="Q168">
    <cfRule type="cellIs" dxfId="15" priority="11" operator="lessThan">
      <formula>0</formula>
    </cfRule>
  </conditionalFormatting>
  <conditionalFormatting sqref="S168">
    <cfRule type="cellIs" dxfId="14" priority="9" operator="lessThan">
      <formula>0</formula>
    </cfRule>
  </conditionalFormatting>
  <conditionalFormatting sqref="U168">
    <cfRule type="cellIs" dxfId="13" priority="7" operator="lessThan">
      <formula>0</formula>
    </cfRule>
  </conditionalFormatting>
  <conditionalFormatting sqref="W168">
    <cfRule type="cellIs" dxfId="12" priority="5" operator="lessThan">
      <formula>0</formula>
    </cfRule>
  </conditionalFormatting>
  <conditionalFormatting sqref="Y168">
    <cfRule type="cellIs" dxfId="11" priority="3" operator="lessThan">
      <formula>0</formula>
    </cfRule>
  </conditionalFormatting>
  <conditionalFormatting sqref="AA168">
    <cfRule type="cellIs" dxfId="10" priority="1" operator="lessThan">
      <formula>0</formula>
    </cfRule>
  </conditionalFormatting>
  <pageMargins left="0.7" right="0.7" top="0.75" bottom="0.75" header="0.3" footer="0.3"/>
  <pageSetup paperSize="9" scale="10" fitToWidth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C4503-E00D-4BB7-A641-6F1D5AD124B6}">
  <sheetPr>
    <pageSetUpPr fitToPage="1"/>
  </sheetPr>
  <dimension ref="A1:N128"/>
  <sheetViews>
    <sheetView topLeftCell="A4" workbookViewId="0">
      <selection activeCell="L104" sqref="L104"/>
    </sheetView>
  </sheetViews>
  <sheetFormatPr defaultRowHeight="13.2"/>
  <cols>
    <col min="2" max="2" width="28.109375" customWidth="1"/>
    <col min="3" max="3" width="22.33203125" customWidth="1"/>
    <col min="4" max="4" width="9.109375" style="155" bestFit="1" customWidth="1"/>
    <col min="6" max="6" width="19.44140625" style="156" customWidth="1"/>
    <col min="7" max="7" width="10.6640625" style="155" bestFit="1" customWidth="1"/>
    <col min="9" max="9" width="19.88671875" style="156" customWidth="1"/>
    <col min="11" max="12" width="9.109375" bestFit="1" customWidth="1"/>
  </cols>
  <sheetData>
    <row r="1" spans="1:9">
      <c r="A1" s="968"/>
      <c r="B1" s="969" t="s">
        <v>338</v>
      </c>
      <c r="C1" s="969" t="s">
        <v>219</v>
      </c>
      <c r="D1" s="1804" t="s">
        <v>558</v>
      </c>
      <c r="E1" s="1805"/>
      <c r="F1" s="1806"/>
      <c r="G1" s="1801" t="s">
        <v>560</v>
      </c>
      <c r="H1" s="1802"/>
      <c r="I1" s="1803"/>
    </row>
    <row r="2" spans="1:9" ht="26.4">
      <c r="A2" s="970"/>
      <c r="B2" s="1025" t="s">
        <v>926</v>
      </c>
      <c r="C2" s="967" t="s">
        <v>311</v>
      </c>
      <c r="D2" s="1045" t="s">
        <v>639</v>
      </c>
      <c r="E2" s="971" t="s">
        <v>949</v>
      </c>
      <c r="F2" s="1046" t="s">
        <v>227</v>
      </c>
      <c r="G2" s="1035" t="s">
        <v>639</v>
      </c>
      <c r="H2" s="985" t="s">
        <v>949</v>
      </c>
      <c r="I2" s="1036" t="s">
        <v>227</v>
      </c>
    </row>
    <row r="3" spans="1:9" s="77" customFormat="1">
      <c r="A3" s="1029">
        <v>1</v>
      </c>
      <c r="B3" s="1026" t="s">
        <v>273</v>
      </c>
      <c r="C3" s="1043" t="s">
        <v>129</v>
      </c>
      <c r="D3" s="1037">
        <v>20600</v>
      </c>
      <c r="E3" s="1026"/>
      <c r="F3" s="1047"/>
      <c r="G3" s="1037">
        <v>27300</v>
      </c>
      <c r="H3" s="1026">
        <v>5</v>
      </c>
      <c r="I3" s="1030" t="s">
        <v>981</v>
      </c>
    </row>
    <row r="4" spans="1:9" s="77" customFormat="1">
      <c r="A4" s="1029">
        <f>A3+1</f>
        <v>2</v>
      </c>
      <c r="B4" s="1027" t="s">
        <v>505</v>
      </c>
      <c r="C4" s="1043" t="s">
        <v>104</v>
      </c>
      <c r="D4" s="1048">
        <v>1452689</v>
      </c>
      <c r="E4" s="1026"/>
      <c r="F4" s="1047"/>
      <c r="G4" s="1037">
        <v>332394.78095238097</v>
      </c>
      <c r="H4" s="1026">
        <v>5</v>
      </c>
      <c r="I4" s="1030" t="s">
        <v>981</v>
      </c>
    </row>
    <row r="5" spans="1:9" s="77" customFormat="1">
      <c r="A5" s="1029">
        <f t="shared" ref="A5:A59" si="0">A4+1</f>
        <v>3</v>
      </c>
      <c r="B5" s="1026" t="s">
        <v>462</v>
      </c>
      <c r="C5" s="1043"/>
      <c r="D5" s="1037">
        <v>51600</v>
      </c>
      <c r="E5" s="1026"/>
      <c r="F5" s="1047"/>
      <c r="G5" s="1037">
        <v>51600</v>
      </c>
      <c r="H5" s="1026">
        <v>5</v>
      </c>
      <c r="I5" s="1030" t="s">
        <v>982</v>
      </c>
    </row>
    <row r="6" spans="1:9" s="77" customFormat="1">
      <c r="A6" s="1029">
        <f t="shared" si="0"/>
        <v>4</v>
      </c>
      <c r="B6" s="1026" t="s">
        <v>298</v>
      </c>
      <c r="C6" s="1043" t="s">
        <v>154</v>
      </c>
      <c r="D6" s="1037">
        <v>10310</v>
      </c>
      <c r="E6" s="1026"/>
      <c r="F6" s="1047"/>
      <c r="G6" s="1037">
        <v>98186</v>
      </c>
      <c r="H6" s="1026">
        <v>1</v>
      </c>
      <c r="I6" s="1030" t="s">
        <v>983</v>
      </c>
    </row>
    <row r="7" spans="1:9" s="77" customFormat="1">
      <c r="A7" s="1029">
        <f t="shared" si="0"/>
        <v>5</v>
      </c>
      <c r="B7" s="1026" t="s">
        <v>270</v>
      </c>
      <c r="C7" s="1043" t="s">
        <v>90</v>
      </c>
      <c r="D7" s="1037">
        <v>77047.619047619039</v>
      </c>
      <c r="E7" s="1026"/>
      <c r="F7" s="1047"/>
      <c r="G7" s="1037">
        <v>80900</v>
      </c>
      <c r="H7" s="1026">
        <v>5</v>
      </c>
      <c r="I7" s="1030" t="s">
        <v>984</v>
      </c>
    </row>
    <row r="8" spans="1:9" s="77" customFormat="1">
      <c r="A8" s="1029">
        <f t="shared" si="0"/>
        <v>6</v>
      </c>
      <c r="B8" s="1026" t="s">
        <v>486</v>
      </c>
      <c r="C8" s="1043" t="s">
        <v>121</v>
      </c>
      <c r="D8" s="1037"/>
      <c r="E8" s="1026"/>
      <c r="F8" s="1047"/>
      <c r="G8" s="1037"/>
      <c r="H8" s="1026"/>
      <c r="I8" s="1030"/>
    </row>
    <row r="9" spans="1:9" s="77" customFormat="1">
      <c r="A9" s="1029">
        <f t="shared" si="0"/>
        <v>7</v>
      </c>
      <c r="B9" s="1026" t="s">
        <v>612</v>
      </c>
      <c r="C9" s="1043"/>
      <c r="D9" s="1037"/>
      <c r="E9" s="1026"/>
      <c r="F9" s="1047"/>
      <c r="G9" s="1037"/>
      <c r="H9" s="1026"/>
      <c r="I9" s="1030"/>
    </row>
    <row r="10" spans="1:9" s="77" customFormat="1">
      <c r="A10" s="1029">
        <f t="shared" si="0"/>
        <v>8</v>
      </c>
      <c r="B10" s="1026" t="s">
        <v>242</v>
      </c>
      <c r="C10" s="1043" t="s">
        <v>121</v>
      </c>
      <c r="D10" s="1037">
        <v>63200</v>
      </c>
      <c r="E10" s="1026"/>
      <c r="F10" s="1047"/>
      <c r="G10" s="1037">
        <v>46200</v>
      </c>
      <c r="H10" s="1026">
        <v>1</v>
      </c>
      <c r="I10" s="1030" t="s">
        <v>985</v>
      </c>
    </row>
    <row r="11" spans="1:9" s="77" customFormat="1">
      <c r="A11" s="1029">
        <f t="shared" si="0"/>
        <v>9</v>
      </c>
      <c r="B11" s="1026" t="s">
        <v>296</v>
      </c>
      <c r="C11" s="1043" t="s">
        <v>152</v>
      </c>
      <c r="D11" s="1037">
        <v>121050</v>
      </c>
      <c r="E11" s="1026"/>
      <c r="F11" s="1047"/>
      <c r="G11" s="1037">
        <v>313450</v>
      </c>
      <c r="H11" s="1026">
        <v>1</v>
      </c>
      <c r="I11" s="1030" t="s">
        <v>986</v>
      </c>
    </row>
    <row r="12" spans="1:9" s="77" customFormat="1">
      <c r="A12" s="1029">
        <f t="shared" si="0"/>
        <v>10</v>
      </c>
      <c r="B12" s="1026" t="s">
        <v>256</v>
      </c>
      <c r="C12" s="1043" t="s">
        <v>119</v>
      </c>
      <c r="D12" s="1037">
        <v>173500</v>
      </c>
      <c r="E12" s="1026"/>
      <c r="F12" s="1047"/>
      <c r="G12" s="1037">
        <v>182600</v>
      </c>
      <c r="H12" s="1026">
        <v>1</v>
      </c>
      <c r="I12" s="1030" t="s">
        <v>986</v>
      </c>
    </row>
    <row r="13" spans="1:9" s="77" customFormat="1">
      <c r="A13" s="1029">
        <f t="shared" si="0"/>
        <v>11</v>
      </c>
      <c r="B13" s="1026" t="s">
        <v>266</v>
      </c>
      <c r="C13" s="1043" t="s">
        <v>159</v>
      </c>
      <c r="D13" s="1037">
        <v>117642</v>
      </c>
      <c r="E13" s="1026"/>
      <c r="F13" s="1047"/>
      <c r="G13" s="1037">
        <v>152208</v>
      </c>
      <c r="H13" s="1026">
        <v>1</v>
      </c>
      <c r="I13" s="1030" t="s">
        <v>983</v>
      </c>
    </row>
    <row r="14" spans="1:9" s="77" customFormat="1">
      <c r="A14" s="1029">
        <f t="shared" si="0"/>
        <v>12</v>
      </c>
      <c r="B14" s="1026" t="s">
        <v>245</v>
      </c>
      <c r="C14" s="1043" t="s">
        <v>109</v>
      </c>
      <c r="D14" s="1037">
        <v>364901.99999999994</v>
      </c>
      <c r="E14" s="1026"/>
      <c r="F14" s="1047"/>
      <c r="G14" s="1037">
        <v>372524</v>
      </c>
      <c r="H14" s="1026">
        <v>1</v>
      </c>
      <c r="I14" s="1030" t="s">
        <v>987</v>
      </c>
    </row>
    <row r="15" spans="1:9" s="77" customFormat="1">
      <c r="A15" s="1029">
        <f t="shared" si="0"/>
        <v>13</v>
      </c>
      <c r="B15" s="1026" t="s">
        <v>326</v>
      </c>
      <c r="C15" s="1043" t="s">
        <v>149</v>
      </c>
      <c r="D15" s="1037">
        <v>166800</v>
      </c>
      <c r="E15" s="1026"/>
      <c r="F15" s="1047"/>
      <c r="G15" s="1037">
        <v>147400</v>
      </c>
      <c r="H15" s="1026">
        <v>1</v>
      </c>
      <c r="I15" s="1030" t="s">
        <v>988</v>
      </c>
    </row>
    <row r="16" spans="1:9" s="77" customFormat="1">
      <c r="A16" s="1029">
        <f t="shared" si="0"/>
        <v>14</v>
      </c>
      <c r="B16" s="1026" t="s">
        <v>294</v>
      </c>
      <c r="C16" s="1043" t="s">
        <v>151</v>
      </c>
      <c r="D16" s="1037"/>
      <c r="E16" s="1026"/>
      <c r="F16" s="1047"/>
      <c r="G16" s="1037"/>
      <c r="H16" s="1026">
        <v>1</v>
      </c>
      <c r="I16" s="1030"/>
    </row>
    <row r="17" spans="1:9" s="77" customFormat="1">
      <c r="A17" s="1029">
        <f t="shared" si="0"/>
        <v>15</v>
      </c>
      <c r="B17" s="1027" t="s">
        <v>1007</v>
      </c>
      <c r="C17" s="1043" t="s">
        <v>150</v>
      </c>
      <c r="D17" s="1055">
        <v>244400</v>
      </c>
      <c r="E17" s="1034"/>
      <c r="F17" s="1049"/>
      <c r="G17" s="1055">
        <v>244400</v>
      </c>
      <c r="H17" s="1053">
        <v>1</v>
      </c>
      <c r="I17" s="1057" t="s">
        <v>988</v>
      </c>
    </row>
    <row r="18" spans="1:9" s="77" customFormat="1">
      <c r="A18" s="1029">
        <f t="shared" si="0"/>
        <v>16</v>
      </c>
      <c r="B18" s="1026" t="s">
        <v>241</v>
      </c>
      <c r="C18" s="1043" t="s">
        <v>105</v>
      </c>
      <c r="D18" s="1037">
        <v>327680</v>
      </c>
      <c r="E18" s="1026"/>
      <c r="F18" s="1047"/>
      <c r="G18" s="1037">
        <v>314870.47619047621</v>
      </c>
      <c r="H18" s="1026">
        <v>5</v>
      </c>
      <c r="I18" s="1030" t="s">
        <v>989</v>
      </c>
    </row>
    <row r="19" spans="1:9" s="77" customFormat="1">
      <c r="A19" s="1029">
        <f t="shared" si="0"/>
        <v>17</v>
      </c>
      <c r="B19" s="1027" t="s">
        <v>921</v>
      </c>
      <c r="C19" s="1043" t="s">
        <v>124</v>
      </c>
      <c r="D19" s="1037">
        <v>211175</v>
      </c>
      <c r="E19" s="1026"/>
      <c r="F19" s="1047"/>
      <c r="G19" s="1037">
        <v>236560</v>
      </c>
      <c r="H19" s="1026">
        <v>5</v>
      </c>
      <c r="I19" s="1030" t="s">
        <v>984</v>
      </c>
    </row>
    <row r="20" spans="1:9" s="77" customFormat="1">
      <c r="A20" s="1029">
        <f>A18+1</f>
        <v>17</v>
      </c>
      <c r="B20" s="1026" t="s">
        <v>929</v>
      </c>
      <c r="C20" s="1043" t="s">
        <v>623</v>
      </c>
      <c r="D20" s="1037">
        <v>11429</v>
      </c>
      <c r="E20" s="1026"/>
      <c r="F20" s="1047"/>
      <c r="G20" s="1037"/>
      <c r="H20" s="1026">
        <v>5</v>
      </c>
      <c r="I20" s="1030"/>
    </row>
    <row r="21" spans="1:9" s="77" customFormat="1">
      <c r="A21" s="1029">
        <f>A19+1</f>
        <v>18</v>
      </c>
      <c r="B21" s="1026" t="s">
        <v>251</v>
      </c>
      <c r="C21" s="1043" t="s">
        <v>113</v>
      </c>
      <c r="D21" s="1037">
        <v>134400</v>
      </c>
      <c r="E21" s="1026"/>
      <c r="F21" s="1047"/>
      <c r="G21" s="1037">
        <v>91200</v>
      </c>
      <c r="H21" s="1026">
        <v>1</v>
      </c>
      <c r="I21" s="1030" t="s">
        <v>986</v>
      </c>
    </row>
    <row r="22" spans="1:9" s="77" customFormat="1">
      <c r="A22" s="1029">
        <f t="shared" si="0"/>
        <v>19</v>
      </c>
      <c r="B22" s="1026" t="s">
        <v>269</v>
      </c>
      <c r="C22" s="1043" t="s">
        <v>89</v>
      </c>
      <c r="D22" s="1037">
        <v>1033029.1714285712</v>
      </c>
      <c r="E22" s="1026"/>
      <c r="F22" s="1047"/>
      <c r="G22" s="1037">
        <v>891469.00952380954</v>
      </c>
      <c r="H22" s="1026">
        <v>1</v>
      </c>
      <c r="I22" s="1030" t="s">
        <v>990</v>
      </c>
    </row>
    <row r="23" spans="1:9" s="77" customFormat="1">
      <c r="A23" s="1029">
        <f t="shared" si="0"/>
        <v>20</v>
      </c>
      <c r="B23" s="1027" t="s">
        <v>922</v>
      </c>
      <c r="C23" s="1043" t="s">
        <v>608</v>
      </c>
      <c r="D23" s="1037">
        <v>98150</v>
      </c>
      <c r="E23" s="1026"/>
      <c r="F23" s="1047"/>
      <c r="G23" s="1037">
        <v>103057.5</v>
      </c>
      <c r="H23" s="1026">
        <v>5</v>
      </c>
      <c r="I23" s="1030" t="s">
        <v>989</v>
      </c>
    </row>
    <row r="24" spans="1:9" s="77" customFormat="1">
      <c r="A24" s="1029">
        <f t="shared" si="0"/>
        <v>21</v>
      </c>
      <c r="B24" s="1026" t="s">
        <v>487</v>
      </c>
      <c r="C24" s="1043" t="s">
        <v>481</v>
      </c>
      <c r="D24" s="1037">
        <v>72325</v>
      </c>
      <c r="E24" s="1026"/>
      <c r="F24" s="1047"/>
      <c r="G24" s="1037">
        <v>126525</v>
      </c>
      <c r="H24" s="1026">
        <v>5</v>
      </c>
      <c r="I24" s="1030" t="s">
        <v>981</v>
      </c>
    </row>
    <row r="25" spans="1:9" s="77" customFormat="1">
      <c r="A25" s="1029">
        <f t="shared" si="0"/>
        <v>22</v>
      </c>
      <c r="B25" s="1026" t="s">
        <v>267</v>
      </c>
      <c r="C25" s="1043" t="s">
        <v>126</v>
      </c>
      <c r="D25" s="1037">
        <v>203000</v>
      </c>
      <c r="E25" s="1026"/>
      <c r="F25" s="1047"/>
      <c r="G25" s="1037">
        <v>248700</v>
      </c>
      <c r="H25" s="1026">
        <v>5</v>
      </c>
      <c r="I25" s="1030" t="s">
        <v>991</v>
      </c>
    </row>
    <row r="26" spans="1:9" s="77" customFormat="1">
      <c r="A26" s="1029">
        <f t="shared" si="0"/>
        <v>23</v>
      </c>
      <c r="B26" s="1026" t="s">
        <v>303</v>
      </c>
      <c r="C26" s="1043" t="s">
        <v>96</v>
      </c>
      <c r="D26" s="1037"/>
      <c r="E26" s="1026"/>
      <c r="F26" s="1047"/>
      <c r="G26" s="1037">
        <v>27360</v>
      </c>
      <c r="H26" s="1026">
        <v>1</v>
      </c>
      <c r="I26" s="1030" t="s">
        <v>992</v>
      </c>
    </row>
    <row r="27" spans="1:9" s="77" customFormat="1">
      <c r="A27" s="1029">
        <f t="shared" si="0"/>
        <v>24</v>
      </c>
      <c r="B27" s="1026" t="s">
        <v>458</v>
      </c>
      <c r="C27" s="1043" t="s">
        <v>459</v>
      </c>
      <c r="D27" s="1037">
        <v>285714.28571428568</v>
      </c>
      <c r="E27" s="1026"/>
      <c r="F27" s="1047"/>
      <c r="G27" s="1037">
        <v>285714.28571428574</v>
      </c>
      <c r="H27" s="1026">
        <v>5</v>
      </c>
      <c r="I27" s="1030" t="s">
        <v>991</v>
      </c>
    </row>
    <row r="28" spans="1:9" s="77" customFormat="1">
      <c r="A28" s="1029">
        <f t="shared" si="0"/>
        <v>25</v>
      </c>
      <c r="B28" s="1026" t="s">
        <v>291</v>
      </c>
      <c r="C28" s="1043" t="s">
        <v>103</v>
      </c>
      <c r="D28" s="1037">
        <v>114875</v>
      </c>
      <c r="E28" s="1032"/>
      <c r="F28" s="1047"/>
      <c r="G28" s="1037">
        <v>114875</v>
      </c>
      <c r="H28" s="1033">
        <v>1</v>
      </c>
      <c r="I28" s="1030" t="s">
        <v>992</v>
      </c>
    </row>
    <row r="29" spans="1:9" s="77" customFormat="1">
      <c r="A29" s="1029">
        <f t="shared" si="0"/>
        <v>26</v>
      </c>
      <c r="B29" s="1027" t="s">
        <v>923</v>
      </c>
      <c r="C29" s="1044" t="s">
        <v>445</v>
      </c>
      <c r="D29" s="1037">
        <v>82998.038095238095</v>
      </c>
      <c r="E29" s="1027"/>
      <c r="F29" s="1047"/>
      <c r="G29" s="1037">
        <v>234952.43809523809</v>
      </c>
      <c r="H29" s="1027">
        <v>1</v>
      </c>
      <c r="I29" s="1031" t="s">
        <v>992</v>
      </c>
    </row>
    <row r="30" spans="1:9" s="77" customFormat="1">
      <c r="A30" s="1029">
        <f t="shared" si="0"/>
        <v>27</v>
      </c>
      <c r="B30" s="1027" t="s">
        <v>924</v>
      </c>
      <c r="C30" s="1043" t="s">
        <v>622</v>
      </c>
      <c r="D30" s="1037">
        <v>42565.333333333328</v>
      </c>
      <c r="E30" s="1032"/>
      <c r="F30" s="1047"/>
      <c r="G30" s="1037">
        <v>42565.333333333328</v>
      </c>
      <c r="H30" s="1033">
        <v>1</v>
      </c>
      <c r="I30" s="1030" t="s">
        <v>993</v>
      </c>
    </row>
    <row r="31" spans="1:9" s="77" customFormat="1">
      <c r="A31" s="1029">
        <f t="shared" si="0"/>
        <v>28</v>
      </c>
      <c r="B31" s="1026" t="s">
        <v>289</v>
      </c>
      <c r="C31" s="1043" t="s">
        <v>92</v>
      </c>
      <c r="D31" s="1037">
        <v>111254.66666666666</v>
      </c>
      <c r="E31" s="1026"/>
      <c r="F31" s="1047"/>
      <c r="G31" s="1037">
        <v>166070</v>
      </c>
      <c r="H31" s="1026">
        <v>1</v>
      </c>
      <c r="I31" s="1030" t="s">
        <v>992</v>
      </c>
    </row>
    <row r="32" spans="1:9" s="77" customFormat="1">
      <c r="A32" s="1029">
        <f t="shared" si="0"/>
        <v>29</v>
      </c>
      <c r="B32" s="1026" t="s">
        <v>502</v>
      </c>
      <c r="C32" s="1043" t="s">
        <v>190</v>
      </c>
      <c r="D32" s="1037">
        <v>1006325</v>
      </c>
      <c r="E32" s="1026"/>
      <c r="F32" s="1047"/>
      <c r="G32" s="1037"/>
      <c r="H32" s="1026"/>
      <c r="I32" s="1030"/>
    </row>
    <row r="33" spans="1:9" s="77" customFormat="1">
      <c r="A33" s="1029">
        <f t="shared" si="0"/>
        <v>30</v>
      </c>
      <c r="B33" s="1026"/>
      <c r="C33" s="1044" t="s">
        <v>951</v>
      </c>
      <c r="D33" s="1037"/>
      <c r="E33" s="1026"/>
      <c r="F33" s="1047"/>
      <c r="G33" s="1037"/>
      <c r="H33" s="1026">
        <v>5</v>
      </c>
      <c r="I33" s="1030" t="s">
        <v>994</v>
      </c>
    </row>
    <row r="34" spans="1:9" s="77" customFormat="1">
      <c r="A34" s="1029">
        <f t="shared" si="0"/>
        <v>31</v>
      </c>
      <c r="B34" s="1026" t="s">
        <v>553</v>
      </c>
      <c r="C34" s="1044" t="s">
        <v>952</v>
      </c>
      <c r="D34" s="1037"/>
      <c r="E34" s="1026"/>
      <c r="F34" s="1047"/>
      <c r="G34" s="1037">
        <v>571650</v>
      </c>
      <c r="H34" s="1026">
        <v>1</v>
      </c>
      <c r="I34" s="1030" t="s">
        <v>988</v>
      </c>
    </row>
    <row r="35" spans="1:9" s="77" customFormat="1">
      <c r="A35" s="1029">
        <f t="shared" si="0"/>
        <v>32</v>
      </c>
      <c r="B35" s="1026"/>
      <c r="C35" s="1044" t="s">
        <v>953</v>
      </c>
      <c r="D35" s="1037"/>
      <c r="E35" s="1026"/>
      <c r="F35" s="1047"/>
      <c r="G35" s="1037">
        <v>563246.25</v>
      </c>
      <c r="H35" s="1026">
        <v>1</v>
      </c>
      <c r="I35" s="1030" t="s">
        <v>993</v>
      </c>
    </row>
    <row r="36" spans="1:9" s="77" customFormat="1">
      <c r="A36" s="1029">
        <f t="shared" si="0"/>
        <v>33</v>
      </c>
      <c r="B36" s="1026"/>
      <c r="C36" s="1044" t="s">
        <v>954</v>
      </c>
      <c r="D36" s="1037"/>
      <c r="E36" s="1026"/>
      <c r="F36" s="1047"/>
      <c r="G36" s="1037"/>
      <c r="H36" s="1026">
        <v>5</v>
      </c>
      <c r="I36" s="1030" t="s">
        <v>989</v>
      </c>
    </row>
    <row r="37" spans="1:9" s="77" customFormat="1">
      <c r="A37" s="1029">
        <f t="shared" si="0"/>
        <v>34</v>
      </c>
      <c r="B37" s="1026" t="s">
        <v>271</v>
      </c>
      <c r="C37" s="1043" t="s">
        <v>128</v>
      </c>
      <c r="D37" s="1037">
        <v>49982</v>
      </c>
      <c r="E37" s="1026"/>
      <c r="F37" s="1047" t="s">
        <v>995</v>
      </c>
      <c r="G37" s="1037"/>
      <c r="H37" s="1026">
        <v>5</v>
      </c>
      <c r="I37" s="1030" t="s">
        <v>995</v>
      </c>
    </row>
    <row r="38" spans="1:9" s="77" customFormat="1">
      <c r="A38" s="1029">
        <f t="shared" si="0"/>
        <v>35</v>
      </c>
      <c r="B38" s="1026" t="s">
        <v>599</v>
      </c>
      <c r="C38" s="1043"/>
      <c r="D38" s="1037">
        <v>400000</v>
      </c>
      <c r="E38" s="1026"/>
      <c r="F38" s="1047"/>
      <c r="G38" s="1037">
        <v>533000</v>
      </c>
      <c r="H38" s="1026">
        <v>1</v>
      </c>
      <c r="I38" s="1030" t="s">
        <v>985</v>
      </c>
    </row>
    <row r="39" spans="1:9" s="77" customFormat="1">
      <c r="A39" s="1029">
        <f t="shared" si="0"/>
        <v>36</v>
      </c>
      <c r="B39" s="1027" t="s">
        <v>561</v>
      </c>
      <c r="C39" s="1043"/>
      <c r="D39" s="1037"/>
      <c r="E39" s="1026"/>
      <c r="F39" s="1047"/>
      <c r="G39" s="1037"/>
      <c r="H39" s="1026"/>
      <c r="I39" s="1030"/>
    </row>
    <row r="40" spans="1:9" s="77" customFormat="1">
      <c r="A40" s="1029">
        <f t="shared" si="0"/>
        <v>37</v>
      </c>
      <c r="B40" s="1026" t="s">
        <v>262</v>
      </c>
      <c r="C40" s="1043" t="s">
        <v>121</v>
      </c>
      <c r="D40" s="1037"/>
      <c r="E40" s="1026"/>
      <c r="F40" s="1047"/>
      <c r="G40" s="1037"/>
      <c r="H40" s="1026"/>
      <c r="I40" s="1030"/>
    </row>
    <row r="41" spans="1:9" s="77" customFormat="1">
      <c r="A41" s="1029">
        <f t="shared" si="0"/>
        <v>38</v>
      </c>
      <c r="B41" s="1026" t="s">
        <v>549</v>
      </c>
      <c r="C41" s="1043" t="s">
        <v>102</v>
      </c>
      <c r="D41" s="1037">
        <v>68750</v>
      </c>
      <c r="E41" s="1026"/>
      <c r="F41" s="1047"/>
      <c r="G41" s="1037">
        <v>72250</v>
      </c>
      <c r="H41" s="1026">
        <v>1</v>
      </c>
      <c r="I41" s="1030" t="s">
        <v>992</v>
      </c>
    </row>
    <row r="42" spans="1:9" s="77" customFormat="1">
      <c r="A42" s="1029">
        <f t="shared" si="0"/>
        <v>39</v>
      </c>
      <c r="B42" s="1027" t="s">
        <v>925</v>
      </c>
      <c r="C42" s="1043" t="s">
        <v>111</v>
      </c>
      <c r="D42" s="1037">
        <v>21440</v>
      </c>
      <c r="E42" s="1026"/>
      <c r="F42" s="1047"/>
      <c r="G42" s="1037">
        <v>65840</v>
      </c>
      <c r="H42" s="1026">
        <v>5</v>
      </c>
      <c r="I42" s="1030" t="s">
        <v>835</v>
      </c>
    </row>
    <row r="43" spans="1:9" s="77" customFormat="1">
      <c r="A43" s="1029">
        <f t="shared" si="0"/>
        <v>40</v>
      </c>
      <c r="B43" s="1026" t="s">
        <v>306</v>
      </c>
      <c r="C43" s="1043" t="s">
        <v>76</v>
      </c>
      <c r="D43" s="1037"/>
      <c r="E43" s="1026"/>
      <c r="F43" s="1047"/>
      <c r="G43" s="1037"/>
      <c r="H43" s="1026">
        <v>1</v>
      </c>
      <c r="I43" s="1030" t="s">
        <v>989</v>
      </c>
    </row>
    <row r="44" spans="1:9" s="77" customFormat="1">
      <c r="A44" s="1029">
        <f t="shared" si="0"/>
        <v>41</v>
      </c>
      <c r="B44" s="1026" t="s">
        <v>285</v>
      </c>
      <c r="C44" s="1043" t="s">
        <v>143</v>
      </c>
      <c r="D44" s="1037">
        <v>71300</v>
      </c>
      <c r="E44" s="1026"/>
      <c r="F44" s="1047"/>
      <c r="G44" s="1037">
        <v>119000</v>
      </c>
      <c r="H44" s="1026">
        <v>5</v>
      </c>
      <c r="I44" s="1030" t="s">
        <v>984</v>
      </c>
    </row>
    <row r="45" spans="1:9" s="77" customFormat="1">
      <c r="A45" s="1029">
        <f t="shared" si="0"/>
        <v>42</v>
      </c>
      <c r="B45" s="1026" t="s">
        <v>307</v>
      </c>
      <c r="C45" s="1043" t="s">
        <v>58</v>
      </c>
      <c r="D45" s="1037">
        <v>513000</v>
      </c>
      <c r="E45" s="1026"/>
      <c r="F45" s="1047"/>
      <c r="G45" s="1037">
        <v>516900</v>
      </c>
      <c r="H45" s="1026">
        <v>5</v>
      </c>
      <c r="I45" s="1030" t="s">
        <v>996</v>
      </c>
    </row>
    <row r="46" spans="1:9" s="77" customFormat="1">
      <c r="A46" s="1029">
        <f t="shared" si="0"/>
        <v>43</v>
      </c>
      <c r="B46" s="1026" t="s">
        <v>268</v>
      </c>
      <c r="C46" s="1043" t="s">
        <v>127</v>
      </c>
      <c r="D46" s="1037">
        <v>140747.61904761905</v>
      </c>
      <c r="E46" s="1026"/>
      <c r="F46" s="1047"/>
      <c r="G46" s="1037">
        <v>319648.09523809527</v>
      </c>
      <c r="H46" s="1026">
        <v>1</v>
      </c>
      <c r="I46" s="1030" t="s">
        <v>983</v>
      </c>
    </row>
    <row r="47" spans="1:9" s="77" customFormat="1">
      <c r="A47" s="1029">
        <f t="shared" si="0"/>
        <v>44</v>
      </c>
      <c r="B47" s="1026" t="s">
        <v>301</v>
      </c>
      <c r="C47" s="1043" t="s">
        <v>95</v>
      </c>
      <c r="D47" s="1037"/>
      <c r="E47" s="1026"/>
      <c r="F47" s="1047"/>
      <c r="G47" s="1037"/>
      <c r="H47" s="1026">
        <v>1</v>
      </c>
      <c r="I47" s="1030"/>
    </row>
    <row r="48" spans="1:9" s="77" customFormat="1">
      <c r="A48" s="1029">
        <f t="shared" si="0"/>
        <v>45</v>
      </c>
      <c r="B48" s="1026" t="s">
        <v>286</v>
      </c>
      <c r="C48" s="1043" t="s">
        <v>144</v>
      </c>
      <c r="D48" s="1037"/>
      <c r="E48" s="1026"/>
      <c r="F48" s="1047"/>
      <c r="G48" s="1037">
        <v>17825</v>
      </c>
      <c r="H48" s="1026">
        <v>1</v>
      </c>
      <c r="I48" s="1030" t="s">
        <v>986</v>
      </c>
    </row>
    <row r="49" spans="1:9" s="77" customFormat="1">
      <c r="A49" s="1029">
        <f t="shared" si="0"/>
        <v>46</v>
      </c>
      <c r="B49" s="1026" t="s">
        <v>258</v>
      </c>
      <c r="C49" s="1043" t="s">
        <v>99</v>
      </c>
      <c r="D49" s="1037"/>
      <c r="E49" s="1026"/>
      <c r="F49" s="1047"/>
      <c r="G49" s="1037"/>
      <c r="H49" s="1026">
        <v>5</v>
      </c>
      <c r="I49" s="1030"/>
    </row>
    <row r="50" spans="1:9" s="77" customFormat="1">
      <c r="A50" s="1029">
        <f t="shared" si="0"/>
        <v>47</v>
      </c>
      <c r="B50" s="1027" t="s">
        <v>474</v>
      </c>
      <c r="C50" s="1044" t="s">
        <v>980</v>
      </c>
      <c r="D50" s="1037">
        <v>27000</v>
      </c>
      <c r="E50" s="1026"/>
      <c r="F50" s="1047" t="s">
        <v>994</v>
      </c>
      <c r="G50" s="1037"/>
      <c r="H50" s="1026">
        <v>5</v>
      </c>
      <c r="I50" s="1030" t="s">
        <v>994</v>
      </c>
    </row>
    <row r="51" spans="1:9" s="77" customFormat="1">
      <c r="A51" s="1029">
        <f t="shared" si="0"/>
        <v>48</v>
      </c>
      <c r="B51" s="1026" t="s">
        <v>331</v>
      </c>
      <c r="C51" s="1043"/>
      <c r="D51" s="1037">
        <v>82302</v>
      </c>
      <c r="E51" s="1026"/>
      <c r="F51" s="1047"/>
      <c r="G51" s="1037">
        <v>95348</v>
      </c>
      <c r="H51" s="1026">
        <v>1</v>
      </c>
      <c r="I51" s="1030" t="s">
        <v>983</v>
      </c>
    </row>
    <row r="52" spans="1:9" s="77" customFormat="1">
      <c r="A52" s="1029">
        <f t="shared" si="0"/>
        <v>49</v>
      </c>
      <c r="B52" s="1026" t="s">
        <v>305</v>
      </c>
      <c r="C52" s="1043" t="s">
        <v>161</v>
      </c>
      <c r="D52" s="1037">
        <v>248600</v>
      </c>
      <c r="E52" s="1026"/>
      <c r="F52" s="1047"/>
      <c r="G52" s="1037">
        <v>286800</v>
      </c>
      <c r="H52" s="1026">
        <v>1</v>
      </c>
      <c r="I52" s="1030" t="s">
        <v>987</v>
      </c>
    </row>
    <row r="53" spans="1:9" s="77" customFormat="1">
      <c r="A53" s="1029">
        <f t="shared" si="0"/>
        <v>50</v>
      </c>
      <c r="B53" s="1027" t="s">
        <v>1006</v>
      </c>
      <c r="C53" s="1043" t="s">
        <v>108</v>
      </c>
      <c r="D53" s="1075">
        <v>167365</v>
      </c>
      <c r="E53" s="1028"/>
      <c r="F53" s="1047"/>
      <c r="G53" s="1075">
        <v>197684</v>
      </c>
      <c r="H53" s="1073">
        <v>1</v>
      </c>
      <c r="I53" s="1074" t="s">
        <v>983</v>
      </c>
    </row>
    <row r="54" spans="1:9" s="77" customFormat="1">
      <c r="A54" s="1029">
        <f t="shared" si="0"/>
        <v>51</v>
      </c>
      <c r="B54" s="1026" t="s">
        <v>243</v>
      </c>
      <c r="C54" s="1043" t="s">
        <v>107</v>
      </c>
      <c r="D54" s="1037"/>
      <c r="E54" s="1026"/>
      <c r="F54" s="1047"/>
      <c r="G54" s="1037">
        <v>114300</v>
      </c>
      <c r="H54" s="1026">
        <v>5</v>
      </c>
      <c r="I54" s="1030" t="s">
        <v>997</v>
      </c>
    </row>
    <row r="55" spans="1:9" s="77" customFormat="1">
      <c r="A55" s="1029">
        <f t="shared" si="0"/>
        <v>52</v>
      </c>
      <c r="B55" s="1026" t="s">
        <v>250</v>
      </c>
      <c r="C55" s="1043" t="s">
        <v>112</v>
      </c>
      <c r="D55" s="1037">
        <v>18975</v>
      </c>
      <c r="E55" s="1026"/>
      <c r="F55" s="1047"/>
      <c r="G55" s="1037">
        <v>21086.666666666668</v>
      </c>
      <c r="H55" s="1026">
        <v>5</v>
      </c>
      <c r="I55" s="1030" t="s">
        <v>982</v>
      </c>
    </row>
    <row r="56" spans="1:9" s="77" customFormat="1">
      <c r="A56" s="1029">
        <f t="shared" si="0"/>
        <v>53</v>
      </c>
      <c r="B56" s="1026" t="s">
        <v>274</v>
      </c>
      <c r="C56" s="1043" t="s">
        <v>131</v>
      </c>
      <c r="D56" s="1037"/>
      <c r="E56" s="1026"/>
      <c r="F56" s="1047"/>
      <c r="G56" s="1037"/>
      <c r="H56" s="1026">
        <v>5</v>
      </c>
      <c r="I56" s="1030"/>
    </row>
    <row r="57" spans="1:9" s="77" customFormat="1">
      <c r="A57" s="1029">
        <f t="shared" si="0"/>
        <v>54</v>
      </c>
      <c r="B57" s="1026" t="s">
        <v>278</v>
      </c>
      <c r="C57" s="1043" t="s">
        <v>135</v>
      </c>
      <c r="D57" s="1037">
        <v>15100</v>
      </c>
      <c r="E57" s="1026"/>
      <c r="F57" s="1047"/>
      <c r="G57" s="1037">
        <v>62440</v>
      </c>
      <c r="H57" s="1026">
        <v>1</v>
      </c>
      <c r="I57" s="1030" t="s">
        <v>985</v>
      </c>
    </row>
    <row r="58" spans="1:9" s="77" customFormat="1">
      <c r="A58" s="1029">
        <f t="shared" si="0"/>
        <v>55</v>
      </c>
      <c r="B58" s="1026" t="s">
        <v>497</v>
      </c>
      <c r="C58" s="1043" t="s">
        <v>498</v>
      </c>
      <c r="D58" s="1037"/>
      <c r="E58" s="1026"/>
      <c r="F58" s="1047"/>
      <c r="G58" s="1037"/>
      <c r="H58" s="1026">
        <v>5</v>
      </c>
      <c r="I58" s="1030"/>
    </row>
    <row r="59" spans="1:9" s="77" customFormat="1" ht="13.8" thickBot="1">
      <c r="A59" s="1052">
        <f t="shared" si="0"/>
        <v>56</v>
      </c>
      <c r="B59" s="1053" t="s">
        <v>313</v>
      </c>
      <c r="C59" s="1054" t="s">
        <v>126</v>
      </c>
      <c r="D59" s="1055">
        <v>54500</v>
      </c>
      <c r="E59" s="1053"/>
      <c r="F59" s="1056"/>
      <c r="G59" s="1055">
        <v>92400</v>
      </c>
      <c r="H59" s="1053">
        <v>5</v>
      </c>
      <c r="I59" s="1057" t="s">
        <v>991</v>
      </c>
    </row>
    <row r="60" spans="1:9" s="77" customFormat="1">
      <c r="A60" s="1058"/>
      <c r="B60" s="1059" t="s">
        <v>979</v>
      </c>
      <c r="C60" s="1059"/>
      <c r="D60" s="1060"/>
      <c r="E60" s="1059"/>
      <c r="F60" s="1061"/>
      <c r="G60" s="1062"/>
      <c r="H60" s="1063"/>
      <c r="I60" s="1064"/>
    </row>
    <row r="61" spans="1:9" s="77" customFormat="1">
      <c r="A61" s="1065">
        <v>1</v>
      </c>
      <c r="B61" s="984" t="s">
        <v>956</v>
      </c>
      <c r="C61" s="984" t="s">
        <v>956</v>
      </c>
      <c r="D61" s="1050"/>
      <c r="E61" s="984"/>
      <c r="F61" s="1051"/>
      <c r="G61" s="1038"/>
      <c r="H61" s="987"/>
      <c r="I61" s="1039"/>
    </row>
    <row r="62" spans="1:9" s="77" customFormat="1">
      <c r="A62" s="1065">
        <v>2</v>
      </c>
      <c r="B62" s="984" t="s">
        <v>968</v>
      </c>
      <c r="C62" s="984"/>
      <c r="D62" s="1050"/>
      <c r="E62" s="984"/>
      <c r="F62" s="1051"/>
      <c r="G62" s="1040">
        <v>76800</v>
      </c>
      <c r="H62" s="991"/>
      <c r="I62" s="1041" t="s">
        <v>998</v>
      </c>
    </row>
    <row r="63" spans="1:9" s="77" customFormat="1" ht="13.8" thickBot="1">
      <c r="A63" s="1066">
        <f>A62+1</f>
        <v>3</v>
      </c>
      <c r="B63" s="1067" t="s">
        <v>931</v>
      </c>
      <c r="C63" s="1067" t="s">
        <v>955</v>
      </c>
      <c r="D63" s="1068">
        <v>23000</v>
      </c>
      <c r="E63" s="1067"/>
      <c r="F63" s="1069"/>
      <c r="G63" s="1070">
        <v>100000</v>
      </c>
      <c r="H63" s="1071">
        <v>5</v>
      </c>
      <c r="I63" s="1072" t="s">
        <v>991</v>
      </c>
    </row>
    <row r="66" spans="1:14" ht="13.8" thickBot="1"/>
    <row r="67" spans="1:14" s="1096" customFormat="1" ht="13.8" thickBot="1">
      <c r="A67" s="1095"/>
      <c r="B67" s="1096" t="s">
        <v>560</v>
      </c>
      <c r="D67" s="1097"/>
      <c r="F67" s="1098"/>
      <c r="G67" s="1097"/>
      <c r="I67" s="1098"/>
    </row>
    <row r="68" spans="1:14" s="1089" customFormat="1">
      <c r="A68" s="1134"/>
      <c r="B68" s="1089" t="s">
        <v>999</v>
      </c>
      <c r="D68" s="1088"/>
      <c r="F68" s="1090"/>
      <c r="G68" s="1177">
        <f>COUNT(G3:G63)</f>
        <v>43</v>
      </c>
      <c r="I68" s="1090"/>
    </row>
    <row r="69" spans="1:14">
      <c r="A69" s="1135"/>
      <c r="B69" t="s">
        <v>1000</v>
      </c>
      <c r="G69" s="1042">
        <f>SUM(G3:G63)-G62</f>
        <v>8682499.8357142843</v>
      </c>
    </row>
    <row r="70" spans="1:14" s="1081" customFormat="1" ht="13.8" thickBot="1">
      <c r="A70" s="1178"/>
      <c r="B70" s="1081" t="s">
        <v>1001</v>
      </c>
      <c r="D70" s="1080"/>
      <c r="F70" s="1082"/>
      <c r="G70" s="1083">
        <f>G69/200000</f>
        <v>43.412499178571423</v>
      </c>
      <c r="I70" s="1082"/>
    </row>
    <row r="71" spans="1:14" s="1077" customFormat="1">
      <c r="A71" s="1179"/>
      <c r="B71" s="1084" t="s">
        <v>1002</v>
      </c>
      <c r="D71" s="1076"/>
      <c r="F71" s="1078"/>
      <c r="G71" s="1079">
        <v>5845351</v>
      </c>
      <c r="I71" s="1078"/>
    </row>
    <row r="72" spans="1:14" s="1081" customFormat="1" ht="13.8" thickBot="1">
      <c r="A72" s="1178"/>
      <c r="B72" s="1085" t="s">
        <v>1005</v>
      </c>
      <c r="D72" s="1080"/>
      <c r="F72" s="1082"/>
      <c r="G72" s="1083">
        <f>G71/200000</f>
        <v>29.226755000000001</v>
      </c>
      <c r="I72" s="1082"/>
    </row>
    <row r="73" spans="1:14" s="1077" customFormat="1">
      <c r="A73" s="1179"/>
      <c r="B73" s="1084" t="s">
        <v>1003</v>
      </c>
      <c r="D73" s="1076"/>
      <c r="F73" s="1078"/>
      <c r="G73" s="1079">
        <v>2837149</v>
      </c>
      <c r="I73" s="1078"/>
    </row>
    <row r="74" spans="1:14" s="1093" customFormat="1" ht="13.8" thickBot="1">
      <c r="A74" s="1137"/>
      <c r="B74" s="1180" t="s">
        <v>1004</v>
      </c>
      <c r="D74" s="1092"/>
      <c r="F74" s="1094"/>
      <c r="G74" s="1181">
        <f>G73/200000</f>
        <v>14.185745000000001</v>
      </c>
      <c r="I74" s="1094"/>
    </row>
    <row r="76" spans="1:14" ht="13.8" thickBot="1"/>
    <row r="77" spans="1:14" s="1159" customFormat="1" ht="40.200000000000003" thickBot="1">
      <c r="A77" s="1158"/>
      <c r="B77" s="1159" t="s">
        <v>1008</v>
      </c>
      <c r="D77" s="1160" t="s">
        <v>1014</v>
      </c>
      <c r="E77" s="1160" t="s">
        <v>1012</v>
      </c>
      <c r="F77" s="1161" t="s">
        <v>1015</v>
      </c>
      <c r="G77" s="1158"/>
      <c r="H77" s="1162"/>
      <c r="I77" s="1163" t="s">
        <v>1013</v>
      </c>
      <c r="J77" s="1164" t="s">
        <v>1020</v>
      </c>
      <c r="K77" s="1164" t="s">
        <v>1016</v>
      </c>
      <c r="L77" s="1164" t="s">
        <v>1017</v>
      </c>
      <c r="M77" s="1164" t="s">
        <v>1018</v>
      </c>
      <c r="N77" s="1165" t="s">
        <v>1019</v>
      </c>
    </row>
    <row r="78" spans="1:14">
      <c r="B78" s="1086" t="s">
        <v>273</v>
      </c>
      <c r="C78" s="1087" t="s">
        <v>129</v>
      </c>
      <c r="D78" s="1140">
        <v>27300</v>
      </c>
      <c r="E78" s="1141">
        <v>5</v>
      </c>
      <c r="F78" s="1142" t="s">
        <v>981</v>
      </c>
      <c r="G78" s="1135"/>
      <c r="H78" s="1136"/>
      <c r="I78" s="1143" t="str">
        <f>F80</f>
        <v>Аблов Андрей</v>
      </c>
      <c r="J78" s="1191"/>
      <c r="K78" s="1144"/>
      <c r="L78" s="1182">
        <f>D92+D80</f>
        <v>72686.666666666672</v>
      </c>
      <c r="M78" s="1145"/>
      <c r="N78" s="1186">
        <f>L78/200000</f>
        <v>0.36343333333333333</v>
      </c>
    </row>
    <row r="79" spans="1:14">
      <c r="B79" s="1027" t="s">
        <v>505</v>
      </c>
      <c r="C79" s="1043" t="s">
        <v>104</v>
      </c>
      <c r="D79" s="1105">
        <v>332394.78095238097</v>
      </c>
      <c r="E79" s="1101">
        <v>5</v>
      </c>
      <c r="F79" s="1130" t="s">
        <v>981</v>
      </c>
      <c r="G79" s="1135"/>
      <c r="H79" s="1136"/>
      <c r="I79" s="1133" t="str">
        <f>F82</f>
        <v>Потковский Иван</v>
      </c>
      <c r="J79" s="1126" t="s">
        <v>957</v>
      </c>
      <c r="K79" s="1123">
        <v>800000</v>
      </c>
      <c r="L79" s="1122">
        <f>D82+D84</f>
        <v>417927.97619047621</v>
      </c>
      <c r="M79" s="1124">
        <f>K79/200000</f>
        <v>4</v>
      </c>
      <c r="N79" s="1187">
        <f>L79/200000</f>
        <v>2.0896398809523808</v>
      </c>
    </row>
    <row r="80" spans="1:14">
      <c r="B80" s="1026" t="s">
        <v>462</v>
      </c>
      <c r="C80" s="1043"/>
      <c r="D80" s="1105">
        <v>51600</v>
      </c>
      <c r="E80" s="1101">
        <v>5</v>
      </c>
      <c r="F80" s="1130" t="s">
        <v>982</v>
      </c>
      <c r="G80" s="1135"/>
      <c r="H80" s="1136"/>
      <c r="I80" s="1133" t="str">
        <f>F90</f>
        <v>Тараскин Алексей</v>
      </c>
      <c r="J80" s="1126" t="s">
        <v>957</v>
      </c>
      <c r="K80" s="1123">
        <v>800000</v>
      </c>
      <c r="L80" s="1122">
        <f>D90</f>
        <v>516900</v>
      </c>
      <c r="M80" s="1124">
        <f t="shared" ref="M80:M85" si="1">K80/200000</f>
        <v>4</v>
      </c>
      <c r="N80" s="1187">
        <f t="shared" ref="N80:N85" si="2">L80/200000</f>
        <v>2.5844999999999998</v>
      </c>
    </row>
    <row r="81" spans="1:14">
      <c r="B81" s="1026" t="s">
        <v>270</v>
      </c>
      <c r="C81" s="1043" t="s">
        <v>90</v>
      </c>
      <c r="D81" s="1105">
        <v>80900</v>
      </c>
      <c r="E81" s="1101">
        <v>5</v>
      </c>
      <c r="F81" s="1130" t="s">
        <v>984</v>
      </c>
      <c r="G81" s="1135"/>
      <c r="H81" s="1136"/>
      <c r="I81" s="1133" t="str">
        <f>F88</f>
        <v>Волков Александр</v>
      </c>
      <c r="J81" s="1123"/>
      <c r="K81" s="1123"/>
      <c r="L81" s="1122">
        <f>D88</f>
        <v>65840</v>
      </c>
      <c r="M81" s="1124"/>
      <c r="N81" s="1187">
        <f t="shared" si="2"/>
        <v>0.32919999999999999</v>
      </c>
    </row>
    <row r="82" spans="1:14">
      <c r="B82" s="1026" t="s">
        <v>241</v>
      </c>
      <c r="C82" s="1043" t="s">
        <v>105</v>
      </c>
      <c r="D82" s="1105">
        <v>314870.47619047621</v>
      </c>
      <c r="E82" s="1101">
        <v>5</v>
      </c>
      <c r="F82" s="1130" t="s">
        <v>989</v>
      </c>
      <c r="G82" s="1135"/>
      <c r="H82" s="1136"/>
      <c r="I82" s="1133" t="str">
        <f>F86</f>
        <v>Новикова Екатерина</v>
      </c>
      <c r="J82" s="1126" t="s">
        <v>958</v>
      </c>
      <c r="K82" s="1123">
        <v>600000</v>
      </c>
      <c r="L82" s="1122">
        <f>D93+D94+D86+D87</f>
        <v>726814.28571428568</v>
      </c>
      <c r="M82" s="1124">
        <f t="shared" si="1"/>
        <v>3</v>
      </c>
      <c r="N82" s="1187">
        <f t="shared" si="2"/>
        <v>3.6340714285714286</v>
      </c>
    </row>
    <row r="83" spans="1:14">
      <c r="B83" s="1027" t="s">
        <v>921</v>
      </c>
      <c r="C83" s="1043" t="s">
        <v>124</v>
      </c>
      <c r="D83" s="1105">
        <v>236560</v>
      </c>
      <c r="E83" s="1101">
        <v>5</v>
      </c>
      <c r="F83" s="1130" t="s">
        <v>984</v>
      </c>
      <c r="G83" s="1135"/>
      <c r="H83" s="1136"/>
      <c r="I83" s="1133" t="str">
        <f>F85</f>
        <v>Юмакулова Аида</v>
      </c>
      <c r="J83" s="1126" t="s">
        <v>958</v>
      </c>
      <c r="K83" s="1123">
        <v>600000</v>
      </c>
      <c r="L83" s="1122">
        <f>D78+D79+D85</f>
        <v>486219.78095238097</v>
      </c>
      <c r="M83" s="1124">
        <f t="shared" si="1"/>
        <v>3</v>
      </c>
      <c r="N83" s="1187">
        <f t="shared" si="2"/>
        <v>2.4310989047619049</v>
      </c>
    </row>
    <row r="84" spans="1:14">
      <c r="B84" s="1027" t="s">
        <v>922</v>
      </c>
      <c r="C84" s="1043" t="s">
        <v>608</v>
      </c>
      <c r="D84" s="1105">
        <v>103057.5</v>
      </c>
      <c r="E84" s="1101">
        <v>5</v>
      </c>
      <c r="F84" s="1130" t="s">
        <v>989</v>
      </c>
      <c r="G84" s="1135"/>
      <c r="H84" s="1136"/>
      <c r="I84" s="1133" t="str">
        <f>F81</f>
        <v>Боровова Дарья</v>
      </c>
      <c r="J84" s="1126" t="s">
        <v>958</v>
      </c>
      <c r="K84" s="1123">
        <v>600000</v>
      </c>
      <c r="L84" s="1122">
        <f>D81+D89+D83</f>
        <v>436460</v>
      </c>
      <c r="M84" s="1124">
        <f t="shared" si="1"/>
        <v>3</v>
      </c>
      <c r="N84" s="1187">
        <f t="shared" si="2"/>
        <v>2.1823000000000001</v>
      </c>
    </row>
    <row r="85" spans="1:14">
      <c r="B85" s="1026" t="s">
        <v>487</v>
      </c>
      <c r="C85" s="1043" t="s">
        <v>481</v>
      </c>
      <c r="D85" s="1105">
        <v>126525</v>
      </c>
      <c r="E85" s="1101">
        <v>5</v>
      </c>
      <c r="F85" s="1130" t="s">
        <v>981</v>
      </c>
      <c r="G85" s="1135"/>
      <c r="H85" s="1136"/>
      <c r="I85" s="1133" t="str">
        <f>F91</f>
        <v>Миронова Алина</v>
      </c>
      <c r="J85" s="1126" t="s">
        <v>958</v>
      </c>
      <c r="K85" s="1123">
        <v>600000</v>
      </c>
      <c r="L85" s="1122">
        <f>D91</f>
        <v>114300</v>
      </c>
      <c r="M85" s="1124">
        <f t="shared" si="1"/>
        <v>3</v>
      </c>
      <c r="N85" s="1187">
        <f t="shared" si="2"/>
        <v>0.57150000000000001</v>
      </c>
    </row>
    <row r="86" spans="1:14">
      <c r="B86" s="1026" t="s">
        <v>267</v>
      </c>
      <c r="C86" s="1043" t="s">
        <v>126</v>
      </c>
      <c r="D86" s="1105">
        <v>248700</v>
      </c>
      <c r="E86" s="1101">
        <v>5</v>
      </c>
      <c r="F86" s="1130" t="s">
        <v>991</v>
      </c>
      <c r="G86" s="1135"/>
      <c r="H86" s="1136"/>
      <c r="I86" s="1133"/>
      <c r="J86" s="1123"/>
      <c r="K86" s="1123"/>
      <c r="L86" s="1123"/>
      <c r="M86" s="1124"/>
      <c r="N86" s="1128"/>
    </row>
    <row r="87" spans="1:14">
      <c r="B87" s="1026" t="s">
        <v>458</v>
      </c>
      <c r="C87" s="1043" t="s">
        <v>459</v>
      </c>
      <c r="D87" s="1105">
        <v>285714.28571428574</v>
      </c>
      <c r="E87" s="1101">
        <v>5</v>
      </c>
      <c r="F87" s="1130" t="s">
        <v>991</v>
      </c>
      <c r="G87" s="1135"/>
      <c r="H87" s="1136"/>
      <c r="I87" s="1133"/>
      <c r="J87" s="1123"/>
      <c r="K87" s="1123"/>
      <c r="L87" s="1123"/>
      <c r="M87" s="1124"/>
      <c r="N87" s="1128"/>
    </row>
    <row r="88" spans="1:14">
      <c r="B88" s="1027" t="s">
        <v>925</v>
      </c>
      <c r="C88" s="1043" t="s">
        <v>111</v>
      </c>
      <c r="D88" s="1105">
        <v>65840</v>
      </c>
      <c r="E88" s="1101">
        <v>5</v>
      </c>
      <c r="F88" s="1130" t="s">
        <v>835</v>
      </c>
      <c r="G88" s="1135"/>
      <c r="H88" s="1136"/>
      <c r="I88" s="1133"/>
      <c r="J88" s="1123"/>
      <c r="K88" s="1123"/>
      <c r="L88" s="1123"/>
      <c r="M88" s="1124"/>
      <c r="N88" s="1128"/>
    </row>
    <row r="89" spans="1:14">
      <c r="B89" s="1026" t="s">
        <v>285</v>
      </c>
      <c r="C89" s="1043" t="s">
        <v>143</v>
      </c>
      <c r="D89" s="1105">
        <v>119000</v>
      </c>
      <c r="E89" s="1101">
        <v>5</v>
      </c>
      <c r="F89" s="1130" t="s">
        <v>984</v>
      </c>
      <c r="G89" s="1135"/>
      <c r="H89" s="1136"/>
      <c r="I89" s="1133"/>
      <c r="J89" s="1123"/>
      <c r="K89" s="1123"/>
      <c r="L89" s="1123"/>
      <c r="M89" s="1124"/>
      <c r="N89" s="1128"/>
    </row>
    <row r="90" spans="1:14">
      <c r="B90" s="1026" t="s">
        <v>307</v>
      </c>
      <c r="C90" s="1043" t="s">
        <v>58</v>
      </c>
      <c r="D90" s="1105">
        <v>516900</v>
      </c>
      <c r="E90" s="1101">
        <v>5</v>
      </c>
      <c r="F90" s="1130" t="s">
        <v>996</v>
      </c>
      <c r="G90" s="1135"/>
      <c r="H90" s="1136"/>
      <c r="I90" s="1133"/>
      <c r="J90" s="1123"/>
      <c r="K90" s="1123"/>
      <c r="L90" s="1123"/>
      <c r="M90" s="1124"/>
      <c r="N90" s="1128"/>
    </row>
    <row r="91" spans="1:14">
      <c r="B91" s="1026" t="s">
        <v>243</v>
      </c>
      <c r="C91" s="1043" t="s">
        <v>107</v>
      </c>
      <c r="D91" s="1105">
        <v>114300</v>
      </c>
      <c r="E91" s="1101">
        <v>5</v>
      </c>
      <c r="F91" s="1130" t="s">
        <v>997</v>
      </c>
      <c r="G91" s="1135"/>
      <c r="H91" s="1136"/>
      <c r="I91" s="1133"/>
      <c r="J91" s="1123"/>
      <c r="K91" s="1123"/>
      <c r="L91" s="1123"/>
      <c r="M91" s="1124"/>
      <c r="N91" s="1128"/>
    </row>
    <row r="92" spans="1:14">
      <c r="B92" s="1026" t="s">
        <v>250</v>
      </c>
      <c r="C92" s="1043" t="s">
        <v>112</v>
      </c>
      <c r="D92" s="1105">
        <v>21086.666666666668</v>
      </c>
      <c r="E92" s="1101">
        <v>5</v>
      </c>
      <c r="F92" s="1130" t="s">
        <v>982</v>
      </c>
      <c r="G92" s="1135"/>
      <c r="H92" s="1136"/>
      <c r="I92" s="1133"/>
      <c r="J92" s="1123"/>
      <c r="K92" s="1123"/>
      <c r="L92" s="1123"/>
      <c r="M92" s="1124"/>
      <c r="N92" s="1128"/>
    </row>
    <row r="93" spans="1:14">
      <c r="B93" s="1053" t="s">
        <v>313</v>
      </c>
      <c r="C93" s="1054" t="s">
        <v>126</v>
      </c>
      <c r="D93" s="1106">
        <v>92400</v>
      </c>
      <c r="E93" s="1102">
        <v>5</v>
      </c>
      <c r="F93" s="1131" t="s">
        <v>991</v>
      </c>
      <c r="G93" s="1135"/>
      <c r="H93" s="1136"/>
      <c r="I93" s="1133"/>
      <c r="J93" s="1123"/>
      <c r="K93" s="1123"/>
      <c r="L93" s="1123"/>
      <c r="M93" s="1124"/>
      <c r="N93" s="1128"/>
    </row>
    <row r="94" spans="1:14" ht="13.8" thickBot="1">
      <c r="B94" s="984" t="s">
        <v>931</v>
      </c>
      <c r="C94" s="984" t="s">
        <v>955</v>
      </c>
      <c r="D94" s="1104">
        <v>100000</v>
      </c>
      <c r="E94" s="1104">
        <v>5</v>
      </c>
      <c r="F94" s="1132" t="s">
        <v>991</v>
      </c>
      <c r="G94" s="1135"/>
      <c r="H94" s="1138"/>
      <c r="I94" s="1146"/>
      <c r="J94" s="1147"/>
      <c r="K94" s="1147"/>
      <c r="L94" s="1148"/>
      <c r="M94" s="1149"/>
      <c r="N94" s="1150"/>
    </row>
    <row r="95" spans="1:14" s="1100" customFormat="1" ht="13.8" thickBot="1">
      <c r="A95" s="1099"/>
      <c r="B95" s="1799" t="s">
        <v>1010</v>
      </c>
      <c r="C95" s="1799"/>
      <c r="D95" s="1119">
        <f>SUBTOTAL(9,D78:D94)</f>
        <v>2837148.7095238096</v>
      </c>
      <c r="E95" s="1103"/>
      <c r="F95" s="1099">
        <v>6</v>
      </c>
      <c r="G95" s="1099"/>
      <c r="H95" s="1107"/>
      <c r="I95" s="1156">
        <v>6</v>
      </c>
      <c r="J95" s="1157"/>
      <c r="K95" s="1192">
        <f>SUBTOTAL(9,K78:K94)</f>
        <v>4000000</v>
      </c>
      <c r="L95" s="1192">
        <f>SUBTOTAL(9,L78:L94)</f>
        <v>2837148.7095238096</v>
      </c>
      <c r="M95" s="1157">
        <f>SUBTOTAL(9,M78:M94)</f>
        <v>20</v>
      </c>
      <c r="N95" s="1193">
        <f>SUBTOTAL(9,N78:N94)</f>
        <v>14.185743547619047</v>
      </c>
    </row>
    <row r="96" spans="1:14" s="1109" customFormat="1" ht="13.8" thickBot="1">
      <c r="A96" s="1108"/>
      <c r="B96" s="1800" t="s">
        <v>1011</v>
      </c>
      <c r="C96" s="1800"/>
      <c r="D96" s="1151">
        <f>D95/200000</f>
        <v>14.185743547619047</v>
      </c>
      <c r="E96" s="1152"/>
      <c r="F96" s="1153">
        <f>D96/F95</f>
        <v>2.3642905912698411</v>
      </c>
      <c r="G96" s="1108"/>
      <c r="H96" s="1139"/>
      <c r="I96" s="1154"/>
      <c r="J96" s="1155"/>
      <c r="K96" s="1155"/>
      <c r="L96" s="1155"/>
      <c r="M96" s="1155"/>
      <c r="N96" s="1194">
        <f>N95/I95</f>
        <v>2.3642905912698411</v>
      </c>
    </row>
    <row r="97" spans="1:14" s="77" customFormat="1" ht="13.8" thickBot="1">
      <c r="B97" s="1110"/>
      <c r="C97" s="1110"/>
      <c r="D97" s="1111"/>
      <c r="F97" s="1112"/>
    </row>
    <row r="98" spans="1:14" s="1175" customFormat="1" ht="40.200000000000003" thickBot="1">
      <c r="A98" s="1174"/>
      <c r="B98" s="1175" t="s">
        <v>1009</v>
      </c>
      <c r="D98" s="1176" t="s">
        <v>1014</v>
      </c>
      <c r="E98" s="1176" t="s">
        <v>1012</v>
      </c>
      <c r="F98" s="1176" t="s">
        <v>1015</v>
      </c>
      <c r="I98" s="1169" t="s">
        <v>1013</v>
      </c>
      <c r="J98" s="1164" t="s">
        <v>1020</v>
      </c>
      <c r="K98" s="1164" t="s">
        <v>1016</v>
      </c>
      <c r="L98" s="1164" t="s">
        <v>1017</v>
      </c>
      <c r="M98" s="1164" t="s">
        <v>1018</v>
      </c>
      <c r="N98" s="1165" t="s">
        <v>1019</v>
      </c>
    </row>
    <row r="99" spans="1:14">
      <c r="A99" s="1167"/>
      <c r="B99" s="1086" t="s">
        <v>298</v>
      </c>
      <c r="C99" s="1087" t="s">
        <v>154</v>
      </c>
      <c r="D99" s="1140">
        <v>98186</v>
      </c>
      <c r="E99" s="1141">
        <v>1</v>
      </c>
      <c r="F99" s="1141" t="s">
        <v>983</v>
      </c>
      <c r="G99"/>
      <c r="I99" s="1168" t="str">
        <f>F116</f>
        <v>Швецов Никита</v>
      </c>
      <c r="J99" s="1144" t="s">
        <v>959</v>
      </c>
      <c r="K99" s="1182">
        <v>800000</v>
      </c>
      <c r="L99" s="1182">
        <f>D123+D116+D100</f>
        <v>641640</v>
      </c>
      <c r="M99" s="1145">
        <f>K99/200000</f>
        <v>4</v>
      </c>
      <c r="N99" s="1186">
        <f>L99/200000</f>
        <v>3.2082000000000002</v>
      </c>
    </row>
    <row r="100" spans="1:14">
      <c r="A100" s="1091"/>
      <c r="B100" s="1026" t="s">
        <v>242</v>
      </c>
      <c r="C100" s="1043" t="s">
        <v>121</v>
      </c>
      <c r="D100" s="1105">
        <v>46200</v>
      </c>
      <c r="E100" s="1101">
        <v>1</v>
      </c>
      <c r="F100" s="1101" t="s">
        <v>985</v>
      </c>
      <c r="G100"/>
      <c r="I100" s="1127" t="str">
        <f>F112</f>
        <v>Андреева Валентина</v>
      </c>
      <c r="J100" s="1123" t="s">
        <v>957</v>
      </c>
      <c r="K100" s="1122">
        <v>800000</v>
      </c>
      <c r="L100" s="1122">
        <f>D112+D115</f>
        <v>605811.58333333337</v>
      </c>
      <c r="M100" s="1145">
        <f t="shared" ref="M100:M106" si="3">K100/200000</f>
        <v>4</v>
      </c>
      <c r="N100" s="1186">
        <f t="shared" ref="N100:N106" si="4">L100/200000</f>
        <v>3.0290579166666669</v>
      </c>
    </row>
    <row r="101" spans="1:14">
      <c r="A101" s="1091"/>
      <c r="B101" s="1026" t="s">
        <v>296</v>
      </c>
      <c r="C101" s="1043" t="s">
        <v>152</v>
      </c>
      <c r="D101" s="1105">
        <v>313450</v>
      </c>
      <c r="E101" s="1101">
        <v>1</v>
      </c>
      <c r="F101" s="1101" t="s">
        <v>986</v>
      </c>
      <c r="G101"/>
      <c r="I101" s="1127" t="str">
        <f>F105</f>
        <v>Давтян Инга</v>
      </c>
      <c r="J101" s="1123" t="s">
        <v>957</v>
      </c>
      <c r="K101" s="1122">
        <v>800000</v>
      </c>
      <c r="L101" s="1122">
        <f>D105+D106+D114</f>
        <v>963450</v>
      </c>
      <c r="M101" s="1145">
        <f t="shared" si="3"/>
        <v>4</v>
      </c>
      <c r="N101" s="1186">
        <f t="shared" si="4"/>
        <v>4.8172499999999996</v>
      </c>
    </row>
    <row r="102" spans="1:14">
      <c r="A102" s="1091"/>
      <c r="B102" s="1026" t="s">
        <v>256</v>
      </c>
      <c r="C102" s="1043" t="s">
        <v>119</v>
      </c>
      <c r="D102" s="1105">
        <v>182600</v>
      </c>
      <c r="E102" s="1101">
        <v>1</v>
      </c>
      <c r="F102" s="1101" t="s">
        <v>986</v>
      </c>
      <c r="G102"/>
      <c r="I102" s="1127" t="str">
        <f>F104</f>
        <v>Еремин Михаил</v>
      </c>
      <c r="J102" s="1123" t="s">
        <v>957</v>
      </c>
      <c r="K102" s="1122">
        <v>800000</v>
      </c>
      <c r="L102" s="1122">
        <f>D104+D121</f>
        <v>659324</v>
      </c>
      <c r="M102" s="1145">
        <f t="shared" si="3"/>
        <v>4</v>
      </c>
      <c r="N102" s="1186">
        <f t="shared" si="4"/>
        <v>3.2966199999999999</v>
      </c>
    </row>
    <row r="103" spans="1:14">
      <c r="A103" s="1091"/>
      <c r="B103" s="1026" t="s">
        <v>266</v>
      </c>
      <c r="C103" s="1043" t="s">
        <v>159</v>
      </c>
      <c r="D103" s="1105">
        <v>152208</v>
      </c>
      <c r="E103" s="1101">
        <v>1</v>
      </c>
      <c r="F103" s="1101" t="s">
        <v>983</v>
      </c>
      <c r="G103"/>
      <c r="I103" s="1127" t="str">
        <f>F103</f>
        <v>Паршакина Ольга</v>
      </c>
      <c r="J103" s="1123" t="s">
        <v>957</v>
      </c>
      <c r="K103" s="1122">
        <v>800000</v>
      </c>
      <c r="L103" s="1122">
        <f>D99+D103+D118+D120+D122</f>
        <v>863074.09523809527</v>
      </c>
      <c r="M103" s="1145">
        <f t="shared" si="3"/>
        <v>4</v>
      </c>
      <c r="N103" s="1186">
        <f t="shared" si="4"/>
        <v>4.3153704761904761</v>
      </c>
    </row>
    <row r="104" spans="1:14">
      <c r="A104" s="1091"/>
      <c r="B104" s="1026" t="s">
        <v>245</v>
      </c>
      <c r="C104" s="1043" t="s">
        <v>109</v>
      </c>
      <c r="D104" s="1105">
        <v>372524</v>
      </c>
      <c r="E104" s="1101">
        <v>1</v>
      </c>
      <c r="F104" s="1101" t="s">
        <v>987</v>
      </c>
      <c r="G104"/>
      <c r="I104" s="1127" t="str">
        <f>F108</f>
        <v>Логвинова Уэзер</v>
      </c>
      <c r="J104" s="1123" t="s">
        <v>958</v>
      </c>
      <c r="K104" s="1122">
        <v>600000</v>
      </c>
      <c r="L104" s="1122">
        <f>D108</f>
        <v>891469.00952380954</v>
      </c>
      <c r="M104" s="1145">
        <f t="shared" si="3"/>
        <v>3</v>
      </c>
      <c r="N104" s="1186">
        <f t="shared" si="4"/>
        <v>4.4573450476190475</v>
      </c>
    </row>
    <row r="105" spans="1:14">
      <c r="A105" s="1091"/>
      <c r="B105" s="1026" t="s">
        <v>326</v>
      </c>
      <c r="C105" s="1043" t="s">
        <v>149</v>
      </c>
      <c r="D105" s="1105">
        <v>147400</v>
      </c>
      <c r="E105" s="1101">
        <v>1</v>
      </c>
      <c r="F105" s="1101" t="s">
        <v>988</v>
      </c>
      <c r="G105"/>
      <c r="I105" s="1127" t="str">
        <f>F109</f>
        <v>Гутина Юля</v>
      </c>
      <c r="J105" s="1123" t="s">
        <v>958</v>
      </c>
      <c r="K105" s="1122">
        <v>600000</v>
      </c>
      <c r="L105" s="1122">
        <f>D109+D110+D111+D113+D117</f>
        <v>615507.43809523806</v>
      </c>
      <c r="M105" s="1145">
        <f t="shared" si="3"/>
        <v>3</v>
      </c>
      <c r="N105" s="1186">
        <f t="shared" si="4"/>
        <v>3.0775371904761903</v>
      </c>
    </row>
    <row r="106" spans="1:14">
      <c r="A106" s="1091"/>
      <c r="B106" s="1027" t="s">
        <v>1007</v>
      </c>
      <c r="C106" s="1043" t="s">
        <v>150</v>
      </c>
      <c r="D106" s="1106">
        <v>244400</v>
      </c>
      <c r="E106" s="1102">
        <v>1</v>
      </c>
      <c r="F106" s="1102" t="s">
        <v>988</v>
      </c>
      <c r="G106"/>
      <c r="I106" s="1127" t="str">
        <f>F119</f>
        <v>Радецкая Лика</v>
      </c>
      <c r="J106" s="1123" t="s">
        <v>958</v>
      </c>
      <c r="K106" s="1122">
        <v>600000</v>
      </c>
      <c r="L106" s="1122">
        <f>D101+D102+D107+D119</f>
        <v>605075</v>
      </c>
      <c r="M106" s="1145">
        <f t="shared" si="3"/>
        <v>3</v>
      </c>
      <c r="N106" s="1186">
        <f t="shared" si="4"/>
        <v>3.0253749999999999</v>
      </c>
    </row>
    <row r="107" spans="1:14">
      <c r="A107" s="1091"/>
      <c r="B107" s="1026" t="s">
        <v>251</v>
      </c>
      <c r="C107" s="1043" t="s">
        <v>113</v>
      </c>
      <c r="D107" s="1105">
        <v>91200</v>
      </c>
      <c r="E107" s="1101">
        <v>1</v>
      </c>
      <c r="F107" s="1101" t="s">
        <v>986</v>
      </c>
      <c r="G107"/>
      <c r="I107" s="1127"/>
      <c r="J107" s="1123"/>
      <c r="K107" s="1122"/>
      <c r="L107" s="1123"/>
      <c r="M107" s="1124"/>
      <c r="N107" s="1187"/>
    </row>
    <row r="108" spans="1:14">
      <c r="A108" s="1091"/>
      <c r="B108" s="1026" t="s">
        <v>269</v>
      </c>
      <c r="C108" s="1043" t="s">
        <v>89</v>
      </c>
      <c r="D108" s="1105">
        <v>891469.00952380954</v>
      </c>
      <c r="E108" s="1101">
        <v>1</v>
      </c>
      <c r="F108" s="1101" t="s">
        <v>990</v>
      </c>
      <c r="G108"/>
      <c r="I108" s="1127"/>
      <c r="J108" s="1123"/>
      <c r="K108" s="1122"/>
      <c r="L108" s="1123"/>
      <c r="M108" s="1124"/>
      <c r="N108" s="1187"/>
    </row>
    <row r="109" spans="1:14">
      <c r="A109" s="1091"/>
      <c r="B109" s="1026" t="s">
        <v>303</v>
      </c>
      <c r="C109" s="1043" t="s">
        <v>96</v>
      </c>
      <c r="D109" s="1105">
        <v>27360</v>
      </c>
      <c r="E109" s="1101">
        <v>1</v>
      </c>
      <c r="F109" s="1101" t="s">
        <v>992</v>
      </c>
      <c r="G109"/>
      <c r="I109" s="1127"/>
      <c r="J109" s="1123"/>
      <c r="K109" s="1122"/>
      <c r="L109" s="1123"/>
      <c r="M109" s="1124"/>
      <c r="N109" s="1187"/>
    </row>
    <row r="110" spans="1:14">
      <c r="A110" s="1091"/>
      <c r="B110" s="1026" t="s">
        <v>291</v>
      </c>
      <c r="C110" s="1043" t="s">
        <v>103</v>
      </c>
      <c r="D110" s="1105">
        <v>114875</v>
      </c>
      <c r="E110" s="1115">
        <v>1</v>
      </c>
      <c r="F110" s="1101" t="s">
        <v>992</v>
      </c>
      <c r="G110"/>
      <c r="I110" s="1127"/>
      <c r="J110" s="1123"/>
      <c r="K110" s="1122"/>
      <c r="L110" s="1123"/>
      <c r="M110" s="1124"/>
      <c r="N110" s="1187"/>
    </row>
    <row r="111" spans="1:14">
      <c r="A111" s="1091"/>
      <c r="B111" s="1027" t="s">
        <v>923</v>
      </c>
      <c r="C111" s="1044" t="s">
        <v>445</v>
      </c>
      <c r="D111" s="1105">
        <v>234952.43809523809</v>
      </c>
      <c r="E111" s="1116">
        <v>1</v>
      </c>
      <c r="F111" s="1116" t="s">
        <v>992</v>
      </c>
      <c r="G111"/>
      <c r="I111" s="1127"/>
      <c r="J111" s="1123"/>
      <c r="K111" s="1122"/>
      <c r="L111" s="1123"/>
      <c r="M111" s="1124"/>
      <c r="N111" s="1187"/>
    </row>
    <row r="112" spans="1:14">
      <c r="A112" s="1091"/>
      <c r="B112" s="1027" t="s">
        <v>924</v>
      </c>
      <c r="C112" s="1043" t="s">
        <v>622</v>
      </c>
      <c r="D112" s="1105">
        <v>42565.333333333328</v>
      </c>
      <c r="E112" s="1115">
        <v>1</v>
      </c>
      <c r="F112" s="1101" t="s">
        <v>993</v>
      </c>
      <c r="G112"/>
      <c r="I112" s="1127"/>
      <c r="J112" s="1123"/>
      <c r="K112" s="1122"/>
      <c r="L112" s="1123"/>
      <c r="M112" s="1124"/>
      <c r="N112" s="1187"/>
    </row>
    <row r="113" spans="1:14">
      <c r="A113" s="1091"/>
      <c r="B113" s="1026" t="s">
        <v>289</v>
      </c>
      <c r="C113" s="1043" t="s">
        <v>92</v>
      </c>
      <c r="D113" s="1105">
        <v>166070</v>
      </c>
      <c r="E113" s="1101">
        <v>1</v>
      </c>
      <c r="F113" s="1101" t="s">
        <v>992</v>
      </c>
      <c r="G113"/>
      <c r="I113" s="1127"/>
      <c r="J113" s="1123"/>
      <c r="K113" s="1122"/>
      <c r="L113" s="1123"/>
      <c r="M113" s="1124"/>
      <c r="N113" s="1187"/>
    </row>
    <row r="114" spans="1:14">
      <c r="A114" s="1091"/>
      <c r="B114" s="1026" t="s">
        <v>553</v>
      </c>
      <c r="C114" s="1044" t="s">
        <v>952</v>
      </c>
      <c r="D114" s="1105">
        <v>571650</v>
      </c>
      <c r="E114" s="1101">
        <v>1</v>
      </c>
      <c r="F114" s="1101" t="s">
        <v>988</v>
      </c>
      <c r="G114"/>
      <c r="I114" s="1127"/>
      <c r="J114" s="1123"/>
      <c r="K114" s="1122"/>
      <c r="L114" s="1123"/>
      <c r="M114" s="1124"/>
      <c r="N114" s="1187"/>
    </row>
    <row r="115" spans="1:14">
      <c r="A115" s="1091"/>
      <c r="B115" s="1026"/>
      <c r="C115" s="1044" t="s">
        <v>953</v>
      </c>
      <c r="D115" s="1105">
        <v>563246.25</v>
      </c>
      <c r="E115" s="1101">
        <v>1</v>
      </c>
      <c r="F115" s="1101" t="s">
        <v>993</v>
      </c>
      <c r="G115"/>
      <c r="I115" s="1129"/>
      <c r="J115" s="1125"/>
      <c r="K115" s="1125"/>
      <c r="L115" s="1126"/>
      <c r="M115" s="1124"/>
      <c r="N115" s="1187"/>
    </row>
    <row r="116" spans="1:14">
      <c r="A116" s="1091"/>
      <c r="B116" s="1026" t="s">
        <v>599</v>
      </c>
      <c r="C116" s="1043"/>
      <c r="D116" s="1105">
        <v>533000</v>
      </c>
      <c r="E116" s="1101">
        <v>1</v>
      </c>
      <c r="F116" s="1101" t="s">
        <v>985</v>
      </c>
      <c r="G116"/>
      <c r="I116" s="1166"/>
      <c r="J116" s="1124"/>
      <c r="K116" s="1183"/>
      <c r="L116" s="1124"/>
      <c r="M116" s="1124"/>
      <c r="N116" s="1187"/>
    </row>
    <row r="117" spans="1:14">
      <c r="A117" s="1091"/>
      <c r="B117" s="1026" t="s">
        <v>549</v>
      </c>
      <c r="C117" s="1043" t="s">
        <v>102</v>
      </c>
      <c r="D117" s="1105">
        <v>72250</v>
      </c>
      <c r="E117" s="1101">
        <v>1</v>
      </c>
      <c r="F117" s="1101" t="s">
        <v>992</v>
      </c>
      <c r="G117"/>
      <c r="I117" s="1166"/>
      <c r="J117" s="1124"/>
      <c r="K117" s="1183"/>
      <c r="L117" s="1124"/>
      <c r="M117" s="1124"/>
      <c r="N117" s="1187"/>
    </row>
    <row r="118" spans="1:14">
      <c r="A118" s="1091"/>
      <c r="B118" s="1026" t="s">
        <v>268</v>
      </c>
      <c r="C118" s="1043" t="s">
        <v>127</v>
      </c>
      <c r="D118" s="1105">
        <v>319648.09523809527</v>
      </c>
      <c r="E118" s="1101">
        <v>1</v>
      </c>
      <c r="F118" s="1101" t="s">
        <v>983</v>
      </c>
      <c r="G118"/>
      <c r="I118" s="1166"/>
      <c r="J118" s="1124"/>
      <c r="K118" s="1183"/>
      <c r="L118" s="1124"/>
      <c r="M118" s="1124"/>
      <c r="N118" s="1187"/>
    </row>
    <row r="119" spans="1:14">
      <c r="A119" s="1091"/>
      <c r="B119" s="1026" t="s">
        <v>286</v>
      </c>
      <c r="C119" s="1043" t="s">
        <v>144</v>
      </c>
      <c r="D119" s="1105">
        <v>17825</v>
      </c>
      <c r="E119" s="1101">
        <v>1</v>
      </c>
      <c r="F119" s="1101" t="s">
        <v>986</v>
      </c>
      <c r="G119"/>
      <c r="I119" s="1166"/>
      <c r="J119" s="1124"/>
      <c r="K119" s="1183"/>
      <c r="L119" s="1124"/>
      <c r="M119" s="1124"/>
      <c r="N119" s="1187"/>
    </row>
    <row r="120" spans="1:14">
      <c r="A120" s="1091"/>
      <c r="B120" s="1026" t="s">
        <v>331</v>
      </c>
      <c r="C120" s="1043"/>
      <c r="D120" s="1105">
        <v>95348</v>
      </c>
      <c r="E120" s="1101">
        <v>1</v>
      </c>
      <c r="F120" s="1101" t="s">
        <v>983</v>
      </c>
      <c r="G120"/>
      <c r="I120" s="1166"/>
      <c r="J120" s="1124"/>
      <c r="K120" s="1183"/>
      <c r="L120" s="1124"/>
      <c r="M120" s="1124"/>
      <c r="N120" s="1187"/>
    </row>
    <row r="121" spans="1:14">
      <c r="A121" s="1091"/>
      <c r="B121" s="1026" t="s">
        <v>305</v>
      </c>
      <c r="C121" s="1043" t="s">
        <v>161</v>
      </c>
      <c r="D121" s="1105">
        <v>286800</v>
      </c>
      <c r="E121" s="1101">
        <v>1</v>
      </c>
      <c r="F121" s="1101" t="s">
        <v>987</v>
      </c>
      <c r="G121"/>
      <c r="I121" s="1166"/>
      <c r="J121" s="1124"/>
      <c r="K121" s="1183"/>
      <c r="L121" s="1124"/>
      <c r="M121" s="1124"/>
      <c r="N121" s="1187"/>
    </row>
    <row r="122" spans="1:14">
      <c r="A122" s="1091"/>
      <c r="B122" s="1027" t="s">
        <v>1006</v>
      </c>
      <c r="C122" s="1043" t="s">
        <v>108</v>
      </c>
      <c r="D122" s="1113">
        <v>197684</v>
      </c>
      <c r="E122" s="1117">
        <v>1</v>
      </c>
      <c r="F122" s="1117" t="s">
        <v>983</v>
      </c>
      <c r="G122"/>
      <c r="I122" s="1166"/>
      <c r="J122" s="1124"/>
      <c r="K122" s="1183"/>
      <c r="L122" s="1124"/>
      <c r="M122" s="1124"/>
      <c r="N122" s="1187"/>
    </row>
    <row r="123" spans="1:14" ht="13.8" thickBot="1">
      <c r="A123" s="1170"/>
      <c r="B123" s="1053" t="s">
        <v>278</v>
      </c>
      <c r="C123" s="1054" t="s">
        <v>135</v>
      </c>
      <c r="D123" s="1106">
        <v>62440</v>
      </c>
      <c r="E123" s="1102">
        <v>1</v>
      </c>
      <c r="F123" s="1102" t="s">
        <v>985</v>
      </c>
      <c r="G123"/>
      <c r="I123" s="1171"/>
      <c r="J123" s="1149"/>
      <c r="K123" s="1184"/>
      <c r="L123" s="1149"/>
      <c r="M123" s="1149"/>
      <c r="N123" s="1188"/>
    </row>
    <row r="124" spans="1:14" s="1096" customFormat="1" ht="13.8" thickBot="1">
      <c r="A124" s="1095"/>
      <c r="B124" s="1798" t="s">
        <v>1010</v>
      </c>
      <c r="C124" s="1798"/>
      <c r="D124" s="1118">
        <f>SUBTOTAL(9,D99:D123)</f>
        <v>5845351.1261904761</v>
      </c>
      <c r="E124" s="1114"/>
      <c r="F124" s="1120">
        <v>8</v>
      </c>
      <c r="I124" s="1172">
        <v>8</v>
      </c>
      <c r="J124" s="1173"/>
      <c r="K124" s="1185">
        <f>SUBTOTAL(9,K99:K123)</f>
        <v>5800000</v>
      </c>
      <c r="L124" s="1185">
        <f>SUBTOTAL(9,L99:L123)</f>
        <v>5845351.1261904761</v>
      </c>
      <c r="M124" s="1173">
        <f>SUBTOTAL(9,M99:M123)</f>
        <v>29</v>
      </c>
      <c r="N124" s="1189">
        <f>SUBTOTAL(9,N99:N123)</f>
        <v>29.226755630952379</v>
      </c>
    </row>
    <row r="125" spans="1:14" s="1096" customFormat="1" ht="13.8" thickBot="1">
      <c r="A125" s="1095"/>
      <c r="B125" s="1798" t="s">
        <v>1011</v>
      </c>
      <c r="C125" s="1798"/>
      <c r="D125" s="1118">
        <f>D124/200000</f>
        <v>29.226755630952379</v>
      </c>
      <c r="E125" s="1114"/>
      <c r="F125" s="1121">
        <f>D125/F124</f>
        <v>3.6533444538690474</v>
      </c>
      <c r="I125" s="1172"/>
      <c r="J125" s="1173"/>
      <c r="K125" s="1173"/>
      <c r="L125" s="1173"/>
      <c r="M125" s="1173"/>
      <c r="N125" s="1190">
        <f>N124/I124</f>
        <v>3.6533444538690474</v>
      </c>
    </row>
    <row r="127" spans="1:14" ht="13.8" thickBot="1"/>
    <row r="128" spans="1:14" s="1096" customFormat="1" ht="13.8" thickBot="1">
      <c r="A128" s="1095"/>
      <c r="B128" s="1096" t="s">
        <v>1021</v>
      </c>
      <c r="D128" s="1195">
        <f>D125+D96</f>
        <v>43.412499178571423</v>
      </c>
      <c r="F128" s="1196">
        <f>D128/(F124+F95)</f>
        <v>3.1008927984693875</v>
      </c>
      <c r="G128" s="1097"/>
      <c r="I128" s="1098"/>
    </row>
  </sheetData>
  <autoFilter ref="A2:I63" xr:uid="{A18C4503-E00D-4BB7-A641-6F1D5AD124B6}"/>
  <mergeCells count="6">
    <mergeCell ref="B124:C124"/>
    <mergeCell ref="B125:C125"/>
    <mergeCell ref="B95:C95"/>
    <mergeCell ref="B96:C96"/>
    <mergeCell ref="G1:I1"/>
    <mergeCell ref="D1:F1"/>
  </mergeCells>
  <pageMargins left="0.7" right="0.7" top="0.75" bottom="0.75" header="0.3" footer="0.3"/>
  <pageSetup paperSize="9" scale="4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2A62A-F51C-4AE8-A636-DC6F35EBCC81}">
  <sheetPr>
    <pageSetUpPr fitToPage="1"/>
  </sheetPr>
  <dimension ref="A1:AI165"/>
  <sheetViews>
    <sheetView workbookViewId="0">
      <pane xSplit="3" ySplit="3" topLeftCell="AB30" activePane="bottomRight" state="frozen"/>
      <selection pane="topRight" activeCell="D1" sqref="D1"/>
      <selection pane="bottomLeft" activeCell="A4" sqref="A4"/>
      <selection pane="bottomRight" activeCell="AI40" sqref="AI40"/>
    </sheetView>
  </sheetViews>
  <sheetFormatPr defaultRowHeight="13.2"/>
  <cols>
    <col min="2" max="2" width="40" customWidth="1"/>
    <col min="3" max="3" width="23.33203125" customWidth="1"/>
    <col min="4" max="4" width="8.33203125" customWidth="1"/>
    <col min="5" max="5" width="10.44140625" customWidth="1"/>
    <col min="6" max="6" width="12.33203125" style="94" customWidth="1"/>
    <col min="7" max="7" width="11.6640625" style="33" customWidth="1"/>
    <col min="8" max="8" width="10.88671875" style="1261" customWidth="1"/>
    <col min="9" max="9" width="12.33203125" style="1431" customWidth="1"/>
    <col min="10" max="10" width="16.33203125" style="976" customWidth="1"/>
    <col min="11" max="11" width="16.5546875" style="976" customWidth="1"/>
    <col min="12" max="12" width="16.44140625" style="988" customWidth="1"/>
    <col min="13" max="13" width="8.109375" style="1410" customWidth="1"/>
    <col min="14" max="14" width="17" style="94" customWidth="1"/>
    <col min="15" max="15" width="16.5546875" style="1198" customWidth="1"/>
    <col min="16" max="16" width="15.33203125" style="94" customWidth="1"/>
    <col min="17" max="17" width="14.109375" style="1198" customWidth="1"/>
    <col min="18" max="18" width="15.33203125" style="94" customWidth="1"/>
    <col min="19" max="19" width="14.109375" style="69" customWidth="1"/>
    <col min="20" max="20" width="15" style="94" customWidth="1"/>
    <col min="21" max="21" width="14.109375" style="69" customWidth="1"/>
    <col min="22" max="22" width="15.33203125" style="94" customWidth="1"/>
    <col min="23" max="23" width="14.109375" style="69" customWidth="1"/>
    <col min="24" max="24" width="11.6640625" style="860" customWidth="1"/>
    <col min="25" max="25" width="15.33203125" style="94" customWidth="1"/>
    <col min="26" max="26" width="14.109375" style="69" customWidth="1"/>
    <col min="27" max="27" width="11.6640625" style="1509" customWidth="1"/>
    <col min="28" max="28" width="15.33203125" style="94" customWidth="1"/>
    <col min="29" max="29" width="14.109375" style="69" customWidth="1"/>
    <col min="30" max="30" width="19.6640625" style="94" customWidth="1"/>
    <col min="31" max="31" width="14.109375" style="1198" customWidth="1"/>
    <col min="32" max="32" width="19.6640625" style="94" customWidth="1"/>
    <col min="33" max="33" width="14.109375" style="1772" customWidth="1"/>
    <col min="34" max="34" width="19.6640625" style="94" customWidth="1"/>
    <col min="35" max="35" width="14.109375" style="1772" customWidth="1"/>
  </cols>
  <sheetData>
    <row r="1" spans="1:35" s="969" customFormat="1">
      <c r="A1" s="968"/>
      <c r="B1" s="969" t="s">
        <v>338</v>
      </c>
      <c r="C1" s="969" t="s">
        <v>219</v>
      </c>
      <c r="E1" s="969" t="s">
        <v>626</v>
      </c>
      <c r="F1" s="1813">
        <v>0.97</v>
      </c>
      <c r="G1" s="1814"/>
      <c r="H1" s="1432"/>
      <c r="I1" s="1815">
        <v>0.97</v>
      </c>
      <c r="J1" s="1816"/>
      <c r="K1" s="1402"/>
      <c r="L1" s="1403"/>
      <c r="M1" s="1404"/>
      <c r="N1" s="1813">
        <v>1.05</v>
      </c>
      <c r="O1" s="1818"/>
      <c r="P1" s="1813">
        <v>1.08</v>
      </c>
      <c r="Q1" s="1818"/>
      <c r="R1" s="1813">
        <v>1.01</v>
      </c>
      <c r="S1" s="1818"/>
      <c r="T1" s="1813">
        <v>0.93</v>
      </c>
      <c r="U1" s="1818"/>
      <c r="V1" s="1813">
        <v>0.97</v>
      </c>
      <c r="W1" s="1814"/>
      <c r="X1" s="1640"/>
      <c r="Y1" s="1813">
        <v>0.99</v>
      </c>
      <c r="Z1" s="1814"/>
      <c r="AA1" s="1499"/>
      <c r="AB1" s="1813">
        <v>1.1100000000000001</v>
      </c>
      <c r="AC1" s="1814"/>
      <c r="AD1" s="1813">
        <v>1.1399999999999999</v>
      </c>
      <c r="AE1" s="1818"/>
      <c r="AF1" s="1813">
        <v>1.17</v>
      </c>
      <c r="AG1" s="1818"/>
      <c r="AH1" s="1813">
        <v>1.19</v>
      </c>
      <c r="AI1" s="1818"/>
    </row>
    <row r="2" spans="1:35" s="967" customFormat="1" ht="61.95" customHeight="1" thickBot="1">
      <c r="A2" s="970"/>
      <c r="B2" s="967" t="s">
        <v>926</v>
      </c>
      <c r="C2" s="967" t="s">
        <v>311</v>
      </c>
      <c r="D2" s="967" t="s">
        <v>949</v>
      </c>
      <c r="E2" s="967" t="s">
        <v>920</v>
      </c>
      <c r="F2" s="972" t="s">
        <v>575</v>
      </c>
      <c r="G2" s="1433" t="s">
        <v>639</v>
      </c>
      <c r="H2" s="1434"/>
      <c r="I2" s="1405" t="s">
        <v>575</v>
      </c>
      <c r="J2" s="977" t="s">
        <v>950</v>
      </c>
      <c r="K2" s="977"/>
      <c r="L2" s="985" t="s">
        <v>639</v>
      </c>
      <c r="M2" s="1406" t="s">
        <v>949</v>
      </c>
      <c r="N2" s="972" t="s">
        <v>575</v>
      </c>
      <c r="O2" s="1197" t="s">
        <v>639</v>
      </c>
      <c r="P2" s="972" t="s">
        <v>575</v>
      </c>
      <c r="Q2" s="1197" t="s">
        <v>639</v>
      </c>
      <c r="R2" s="972" t="s">
        <v>575</v>
      </c>
      <c r="S2" s="1398" t="s">
        <v>639</v>
      </c>
      <c r="T2" s="972" t="s">
        <v>575</v>
      </c>
      <c r="U2" s="1398" t="s">
        <v>639</v>
      </c>
      <c r="V2" s="972" t="s">
        <v>575</v>
      </c>
      <c r="W2" s="1398" t="s">
        <v>639</v>
      </c>
      <c r="X2" s="1641" t="s">
        <v>1122</v>
      </c>
      <c r="Y2" s="972" t="s">
        <v>575</v>
      </c>
      <c r="Z2" s="1398" t="s">
        <v>639</v>
      </c>
      <c r="AA2" s="1500" t="s">
        <v>1122</v>
      </c>
      <c r="AB2" s="972" t="s">
        <v>575</v>
      </c>
      <c r="AC2" s="1398" t="s">
        <v>639</v>
      </c>
      <c r="AD2" s="972" t="s">
        <v>575</v>
      </c>
      <c r="AE2" s="1197" t="s">
        <v>639</v>
      </c>
      <c r="AF2" s="972" t="s">
        <v>575</v>
      </c>
      <c r="AG2" s="1761" t="s">
        <v>639</v>
      </c>
      <c r="AH2" s="972" t="s">
        <v>575</v>
      </c>
      <c r="AI2" s="1761" t="s">
        <v>639</v>
      </c>
    </row>
    <row r="3" spans="1:35" s="1468" customFormat="1" ht="13.8" thickBot="1">
      <c r="A3" s="1467"/>
      <c r="F3" s="1809" t="s">
        <v>558</v>
      </c>
      <c r="G3" s="1810"/>
      <c r="H3" s="1469"/>
      <c r="I3" s="1811" t="s">
        <v>560</v>
      </c>
      <c r="J3" s="1812"/>
      <c r="K3" s="1470"/>
      <c r="L3" s="1471"/>
      <c r="M3" s="1472"/>
      <c r="N3" s="1809" t="s">
        <v>568</v>
      </c>
      <c r="O3" s="1819"/>
      <c r="P3" s="1809" t="s">
        <v>571</v>
      </c>
      <c r="Q3" s="1819"/>
      <c r="R3" s="1809" t="s">
        <v>1072</v>
      </c>
      <c r="S3" s="1819"/>
      <c r="T3" s="1809" t="s">
        <v>592</v>
      </c>
      <c r="U3" s="1819"/>
      <c r="V3" s="1809" t="s">
        <v>1114</v>
      </c>
      <c r="W3" s="1810"/>
      <c r="X3" s="1642"/>
      <c r="Y3" s="1809" t="s">
        <v>1144</v>
      </c>
      <c r="Z3" s="1810"/>
      <c r="AA3" s="1501"/>
      <c r="AB3" s="1809" t="s">
        <v>1170</v>
      </c>
      <c r="AC3" s="1810"/>
      <c r="AD3" s="1809" t="s">
        <v>1195</v>
      </c>
      <c r="AE3" s="1819"/>
      <c r="AF3" s="1809" t="s">
        <v>1214</v>
      </c>
      <c r="AG3" s="1819"/>
      <c r="AH3" s="1809" t="s">
        <v>1229</v>
      </c>
      <c r="AI3" s="1819"/>
    </row>
    <row r="4" spans="1:35" s="77" customFormat="1">
      <c r="A4" s="77">
        <v>1</v>
      </c>
      <c r="B4" s="77" t="s">
        <v>273</v>
      </c>
      <c r="C4" s="77" t="s">
        <v>129</v>
      </c>
      <c r="E4" s="535">
        <v>42806.5</v>
      </c>
      <c r="F4" s="1210">
        <f t="shared" ref="F4:F18" si="0">E4*$F$1</f>
        <v>41522.305</v>
      </c>
      <c r="G4" s="535">
        <f>VLOOKUP(B4,[1]Лист_1!$A$1:$G$65536,7,0)</f>
        <v>20600</v>
      </c>
      <c r="H4" s="1211">
        <f>G4-F4</f>
        <v>-20922.305</v>
      </c>
      <c r="I4" s="1407">
        <f>E4*$I$1</f>
        <v>41522.305</v>
      </c>
      <c r="J4" s="978">
        <v>20600</v>
      </c>
      <c r="K4" s="978">
        <f>J4-I4</f>
        <v>-20922.305</v>
      </c>
      <c r="L4" s="535">
        <v>27300</v>
      </c>
      <c r="M4" s="1408"/>
      <c r="N4" s="1210">
        <f>E4*P1</f>
        <v>46231.020000000004</v>
      </c>
      <c r="O4" s="1211">
        <v>20600</v>
      </c>
      <c r="P4" s="1210">
        <f>E4*$P$1</f>
        <v>46231.020000000004</v>
      </c>
      <c r="Q4" s="1358">
        <v>20600</v>
      </c>
      <c r="R4" s="1210">
        <f>G4*$P$1</f>
        <v>22248</v>
      </c>
      <c r="S4" s="1396">
        <f>VLOOKUP(B4,[2]Лист_1!$A$1:$C$65536,3,0)</f>
        <v>20600</v>
      </c>
      <c r="T4" s="1210">
        <f>I4*$T$1</f>
        <v>38615.743650000004</v>
      </c>
      <c r="U4" s="1435">
        <v>41200</v>
      </c>
      <c r="V4" s="1210">
        <f>E4*$V$1</f>
        <v>41522.305</v>
      </c>
      <c r="W4" s="1435">
        <f>VLOOKUP(B4,[3]Лист_1!$A$5:$F$55,4,0)</f>
        <v>20600</v>
      </c>
      <c r="X4" s="1639">
        <f>VLOOKUP(B4,[3]Лист_1!$A$5:$D$54,3,0)</f>
        <v>1030</v>
      </c>
      <c r="Y4" s="1210">
        <f>E4*$Y$1</f>
        <v>42378.434999999998</v>
      </c>
      <c r="Z4" s="1396"/>
      <c r="AA4" s="1502"/>
      <c r="AB4" s="1210">
        <f>E4*$AB$1</f>
        <v>47515.215000000004</v>
      </c>
      <c r="AC4" s="1396">
        <v>41200</v>
      </c>
      <c r="AD4" s="1210">
        <f>E4*$AD$1</f>
        <v>48799.409999999996</v>
      </c>
      <c r="AE4" s="1706">
        <f>VLOOKUP(B4,[4]Лист_1!$A$5:$D$59,3,0)</f>
        <v>20600</v>
      </c>
      <c r="AF4" s="1210">
        <f>E4*$AF$1</f>
        <v>50083.604999999996</v>
      </c>
      <c r="AG4" s="1706">
        <f>VLOOKUP(B4,[5]Лист_1!$A$3:$C$50,3,0)</f>
        <v>20600</v>
      </c>
      <c r="AH4" s="1210">
        <f>G4*$AF$1</f>
        <v>24102</v>
      </c>
      <c r="AI4" s="1706">
        <f>VLOOKUP(B4,[29]Лист_1!$A$5:$C$67,3,0)</f>
        <v>20600</v>
      </c>
    </row>
    <row r="5" spans="1:35" s="77" customFormat="1">
      <c r="A5" s="77">
        <f>A4+1</f>
        <v>2</v>
      </c>
      <c r="B5" s="984" t="s">
        <v>505</v>
      </c>
      <c r="C5" s="77" t="s">
        <v>104</v>
      </c>
      <c r="D5" s="77">
        <v>5</v>
      </c>
      <c r="E5" s="535">
        <v>616827.86</v>
      </c>
      <c r="F5" s="1210">
        <f t="shared" si="0"/>
        <v>598323.02419999999</v>
      </c>
      <c r="G5" s="1435">
        <v>1452689</v>
      </c>
      <c r="H5" s="1211">
        <f t="shared" ref="H5:H71" si="1">G5-F5</f>
        <v>854365.97580000001</v>
      </c>
      <c r="I5" s="1409">
        <f t="shared" ref="I5:I71" si="2">E5*$I$1</f>
        <v>598323.02419999999</v>
      </c>
      <c r="J5" s="974">
        <v>580000</v>
      </c>
      <c r="K5" s="978">
        <f t="shared" ref="K5:K71" si="3">J5-I5</f>
        <v>-18323.024199999985</v>
      </c>
      <c r="L5" s="535">
        <v>332394.78095238097</v>
      </c>
      <c r="M5" s="1410"/>
      <c r="N5" s="1210">
        <f t="shared" ref="N5:N71" si="4">E5*$N$1</f>
        <v>647669.25300000003</v>
      </c>
      <c r="O5" s="1211">
        <v>637722.33333333337</v>
      </c>
      <c r="P5" s="1210">
        <f t="shared" ref="P5:P69" si="5">E5*$P$1</f>
        <v>666174.08880000003</v>
      </c>
      <c r="Q5" s="1358">
        <v>580627.80952380947</v>
      </c>
      <c r="R5" s="1210">
        <f>G5*$P$1</f>
        <v>1568904.12</v>
      </c>
      <c r="S5" s="1396">
        <f>VLOOKUP(B5,[2]Лист_1!$A$1:$C$65536,3,0)+100000</f>
        <v>519672.94285714289</v>
      </c>
      <c r="T5" s="1210">
        <f t="shared" ref="T5:T68" si="6">I5*$T$1</f>
        <v>556440.41250600002</v>
      </c>
      <c r="U5" s="1435">
        <v>365797.21904761903</v>
      </c>
      <c r="V5" s="1210">
        <f t="shared" ref="V5:V68" si="7">E5*$V$1</f>
        <v>598323.02419999999</v>
      </c>
      <c r="W5" s="1435">
        <f>VLOOKUP(B5,[3]Лист_1!$A$5:$F$55,4,0)</f>
        <v>515089.51428571425</v>
      </c>
      <c r="X5" s="1639">
        <v>25754.47</v>
      </c>
      <c r="Y5" s="1210">
        <f t="shared" ref="Y5:Y68" si="8">E5*$Y$1</f>
        <v>610659.58140000002</v>
      </c>
      <c r="Z5" s="1435">
        <f>VLOOKUP(B5,[6]Лист_1!$C$5:$E$64,3,0)</f>
        <v>473226.97142857144</v>
      </c>
      <c r="AA5" s="1502"/>
      <c r="AB5" s="1210">
        <f>E5*$AB$1</f>
        <v>684678.92460000003</v>
      </c>
      <c r="AC5" s="1396">
        <v>377158.32</v>
      </c>
      <c r="AD5" s="1210">
        <f t="shared" ref="AD5:AD68" si="9">E5*$AD$1</f>
        <v>703183.76039999991</v>
      </c>
      <c r="AE5" s="1706">
        <f>VLOOKUP(B5,[4]Лист_1!$A$5:$D$59,3,0)</f>
        <v>715300.96190476185</v>
      </c>
      <c r="AF5" s="1210">
        <f t="shared" ref="AF5:AF68" si="10">E5*$AF$1</f>
        <v>721688.59619999991</v>
      </c>
      <c r="AG5" s="1706">
        <f>VLOOKUP(B5,[5]Лист_1!$A$3:$C$50,3,0)</f>
        <v>521234.77142857143</v>
      </c>
      <c r="AH5" s="1210">
        <f t="shared" ref="AH5:AH6" si="11">G5*$AF$1</f>
        <v>1699646.13</v>
      </c>
      <c r="AI5" s="1706">
        <f>VLOOKUP(B5,[29]Лист_1!$A$5:$C$67,3,0)</f>
        <v>525939.36190476187</v>
      </c>
    </row>
    <row r="6" spans="1:35" s="1232" customFormat="1">
      <c r="A6" s="1232">
        <f t="shared" ref="A6:A76" si="12">A5+1</f>
        <v>3</v>
      </c>
      <c r="B6" s="1232" t="s">
        <v>462</v>
      </c>
      <c r="D6" s="1232">
        <v>5</v>
      </c>
      <c r="E6" s="1233">
        <v>32390</v>
      </c>
      <c r="F6" s="1234">
        <f t="shared" si="0"/>
        <v>31418.3</v>
      </c>
      <c r="G6" s="1233">
        <v>51600</v>
      </c>
      <c r="H6" s="1366">
        <f t="shared" si="1"/>
        <v>20181.7</v>
      </c>
      <c r="I6" s="1411">
        <f t="shared" si="2"/>
        <v>31418.3</v>
      </c>
      <c r="J6" s="1237">
        <v>130000</v>
      </c>
      <c r="K6" s="1238">
        <f t="shared" si="3"/>
        <v>98581.7</v>
      </c>
      <c r="L6" s="1233">
        <v>51600</v>
      </c>
      <c r="M6" s="1412"/>
      <c r="N6" s="1234">
        <f t="shared" si="4"/>
        <v>34009.5</v>
      </c>
      <c r="O6" s="1366"/>
      <c r="P6" s="1234">
        <f t="shared" si="5"/>
        <v>34981.200000000004</v>
      </c>
      <c r="Q6" s="1359"/>
      <c r="R6" s="1234"/>
      <c r="S6" s="1233"/>
      <c r="T6" s="1234">
        <f t="shared" si="6"/>
        <v>29219.019</v>
      </c>
      <c r="U6" s="1466"/>
      <c r="V6" s="1234">
        <f t="shared" si="7"/>
        <v>31418.3</v>
      </c>
      <c r="W6" s="1438"/>
      <c r="X6" s="1650"/>
      <c r="Y6" s="1234">
        <f t="shared" si="8"/>
        <v>32066.1</v>
      </c>
      <c r="Z6" s="1466">
        <v>185800</v>
      </c>
      <c r="AA6" s="1651"/>
      <c r="AB6" s="1234">
        <f>E6*$AB$1</f>
        <v>35952.9</v>
      </c>
      <c r="AC6" s="1438"/>
      <c r="AD6" s="1234">
        <f t="shared" si="9"/>
        <v>36924.6</v>
      </c>
      <c r="AE6" s="1707">
        <v>51600</v>
      </c>
      <c r="AF6" s="1234">
        <f t="shared" si="10"/>
        <v>37896.299999999996</v>
      </c>
      <c r="AG6" s="1763">
        <v>38700</v>
      </c>
      <c r="AH6" s="1234">
        <f t="shared" si="11"/>
        <v>60371.999999999993</v>
      </c>
      <c r="AI6" s="1706">
        <v>51600</v>
      </c>
    </row>
    <row r="7" spans="1:35" s="77" customFormat="1">
      <c r="A7" s="77">
        <f t="shared" si="12"/>
        <v>4</v>
      </c>
      <c r="B7" s="77" t="s">
        <v>298</v>
      </c>
      <c r="C7" s="77" t="s">
        <v>154</v>
      </c>
      <c r="D7" s="77">
        <v>1</v>
      </c>
      <c r="E7" s="535">
        <v>80764.833333333328</v>
      </c>
      <c r="F7" s="1210">
        <f t="shared" si="0"/>
        <v>78341.888333333321</v>
      </c>
      <c r="G7" s="535">
        <f>VLOOKUP(B7,[1]Лист_1!$A$1:$G$65536,7,0)</f>
        <v>10310</v>
      </c>
      <c r="H7" s="1211">
        <f t="shared" si="1"/>
        <v>-68031.888333333321</v>
      </c>
      <c r="I7" s="1413">
        <f t="shared" si="2"/>
        <v>78341.888333333321</v>
      </c>
      <c r="J7" s="975">
        <v>30000</v>
      </c>
      <c r="K7" s="981">
        <f t="shared" si="3"/>
        <v>-48341.888333333321</v>
      </c>
      <c r="L7" s="535">
        <v>98186</v>
      </c>
      <c r="M7" s="1410"/>
      <c r="N7" s="1210">
        <f t="shared" si="4"/>
        <v>84803.074999999997</v>
      </c>
      <c r="O7" s="1211">
        <v>192204</v>
      </c>
      <c r="P7" s="1210">
        <f t="shared" si="5"/>
        <v>87226.02</v>
      </c>
      <c r="Q7" s="1358">
        <v>218910.99999999997</v>
      </c>
      <c r="R7" s="1210">
        <f>G7*$P$1</f>
        <v>11134.800000000001</v>
      </c>
      <c r="S7" s="1396">
        <f>VLOOKUP(B7,[2]Лист_1!$A$1:$C$65536,3,0)</f>
        <v>219047</v>
      </c>
      <c r="T7" s="1210">
        <f t="shared" si="6"/>
        <v>72857.956149999998</v>
      </c>
      <c r="U7" s="1435">
        <v>142012</v>
      </c>
      <c r="V7" s="1210">
        <f t="shared" si="7"/>
        <v>78341.888333333321</v>
      </c>
      <c r="W7" s="1435">
        <f>VLOOKUP(B7,[3]Лист_1!$A$5:$F$55,4,0)</f>
        <v>220154</v>
      </c>
      <c r="X7" s="1639">
        <f>VLOOKUP(B7,[3]Лист_1!$A$5:$D$54,3,0)</f>
        <v>11007.700000000012</v>
      </c>
      <c r="Y7" s="1210">
        <f t="shared" si="8"/>
        <v>79957.184999999998</v>
      </c>
      <c r="Z7" s="1435">
        <f>VLOOKUP(B7,[6]Лист_1!$C$5:$E$64,3,0)</f>
        <v>18550</v>
      </c>
      <c r="AA7" s="1502"/>
      <c r="AB7" s="1210">
        <f>E7*$AB$1</f>
        <v>89648.964999999997</v>
      </c>
      <c r="AC7" s="1396"/>
      <c r="AD7" s="1210">
        <f t="shared" si="9"/>
        <v>92071.909999999989</v>
      </c>
      <c r="AE7" s="1706"/>
      <c r="AF7" s="1210"/>
      <c r="AG7" s="1762"/>
      <c r="AH7" s="1210"/>
      <c r="AI7" s="1706"/>
    </row>
    <row r="8" spans="1:35" s="77" customFormat="1">
      <c r="A8" s="77">
        <f t="shared" si="12"/>
        <v>5</v>
      </c>
      <c r="B8" s="77" t="s">
        <v>270</v>
      </c>
      <c r="C8" s="77" t="s">
        <v>90</v>
      </c>
      <c r="D8" s="77">
        <v>5</v>
      </c>
      <c r="E8" s="535">
        <v>84041.666666666672</v>
      </c>
      <c r="F8" s="1210">
        <f t="shared" si="0"/>
        <v>81520.416666666672</v>
      </c>
      <c r="G8" s="535">
        <f>VLOOKUP(B8,[1]Лист_1!$A$1:$G$65536,7,0)</f>
        <v>77047.619047619039</v>
      </c>
      <c r="H8" s="1211">
        <f t="shared" si="1"/>
        <v>-4472.7976190476329</v>
      </c>
      <c r="I8" s="1409">
        <f t="shared" si="2"/>
        <v>81520.416666666672</v>
      </c>
      <c r="J8" s="974">
        <v>69400</v>
      </c>
      <c r="K8" s="978">
        <f t="shared" si="3"/>
        <v>-12120.416666666672</v>
      </c>
      <c r="L8" s="535">
        <v>80900</v>
      </c>
      <c r="M8" s="1410"/>
      <c r="N8" s="1210">
        <f t="shared" si="4"/>
        <v>88243.750000000015</v>
      </c>
      <c r="O8" s="1211">
        <v>67950</v>
      </c>
      <c r="P8" s="1210">
        <f t="shared" si="5"/>
        <v>90765.000000000015</v>
      </c>
      <c r="Q8" s="1358">
        <v>110350</v>
      </c>
      <c r="R8" s="1210">
        <f>G8*$P$1</f>
        <v>83211.428571428565</v>
      </c>
      <c r="S8" s="1396">
        <f>VLOOKUP(B8,[2]Лист_1!$A$1:$C$65536,3,0)</f>
        <v>110350</v>
      </c>
      <c r="T8" s="1210">
        <f t="shared" si="6"/>
        <v>75813.987500000003</v>
      </c>
      <c r="U8" s="1435"/>
      <c r="V8" s="1210"/>
      <c r="W8" s="1396"/>
      <c r="X8" s="1643"/>
      <c r="Y8" s="1210"/>
      <c r="Z8" s="1435">
        <f>VLOOKUP(B8,[6]Лист_1!$C$5:$E$64,3,0)+69400</f>
        <v>138800</v>
      </c>
      <c r="AA8" s="1503"/>
      <c r="AB8" s="1210">
        <f>E8*$AB$1</f>
        <v>93286.250000000015</v>
      </c>
      <c r="AC8" s="1396">
        <f>VLOOKUP(B8,[7]Лист_1!$A$3:$E$57,4,0)</f>
        <v>69400</v>
      </c>
      <c r="AD8" s="1210">
        <f t="shared" si="9"/>
        <v>95807.5</v>
      </c>
      <c r="AE8" s="1706">
        <f>VLOOKUP(B8,[4]Лист_1!$A$5:$D$59,3,0)</f>
        <v>95300</v>
      </c>
      <c r="AF8" s="1210">
        <f t="shared" si="10"/>
        <v>98328.75</v>
      </c>
      <c r="AG8" s="1706">
        <f>VLOOKUP(B8,[5]Лист_1!$A$3:$C$50,3,0)</f>
        <v>39950</v>
      </c>
      <c r="AH8" s="1210">
        <f t="shared" ref="AH8" si="13">G8*$AF$1</f>
        <v>90145.714285714275</v>
      </c>
      <c r="AI8" s="1706">
        <f>VLOOKUP(B8,[29]Лист_1!$A$5:$C$67,3,0)</f>
        <v>109350</v>
      </c>
    </row>
    <row r="9" spans="1:35" s="77" customFormat="1">
      <c r="A9" s="77">
        <f t="shared" si="12"/>
        <v>6</v>
      </c>
      <c r="B9" s="77" t="s">
        <v>486</v>
      </c>
      <c r="C9" s="77" t="s">
        <v>121</v>
      </c>
      <c r="E9" s="535">
        <v>15883.333333333334</v>
      </c>
      <c r="F9" s="1210">
        <f t="shared" si="0"/>
        <v>15406.833333333334</v>
      </c>
      <c r="G9" s="535"/>
      <c r="H9" s="1211">
        <f t="shared" si="1"/>
        <v>-15406.833333333334</v>
      </c>
      <c r="I9" s="1409">
        <f t="shared" si="2"/>
        <v>15406.833333333334</v>
      </c>
      <c r="J9" s="974"/>
      <c r="K9" s="978">
        <f t="shared" si="3"/>
        <v>-15406.833333333334</v>
      </c>
      <c r="L9" s="535"/>
      <c r="M9" s="1410"/>
      <c r="N9" s="1210">
        <f t="shared" si="4"/>
        <v>16677.5</v>
      </c>
      <c r="O9" s="1211"/>
      <c r="P9" s="1210"/>
      <c r="Q9" s="1358"/>
      <c r="R9" s="1210"/>
      <c r="S9" s="535"/>
      <c r="T9" s="1210"/>
      <c r="U9" s="1435"/>
      <c r="V9" s="1210"/>
      <c r="W9" s="1396"/>
      <c r="X9" s="1643"/>
      <c r="Y9" s="1210"/>
      <c r="Z9" s="1396"/>
      <c r="AA9" s="1503"/>
      <c r="AB9" s="1210"/>
      <c r="AC9" s="1396"/>
      <c r="AD9" s="1210"/>
      <c r="AE9" s="1706"/>
      <c r="AF9" s="1210"/>
      <c r="AG9" s="1762"/>
      <c r="AH9" s="1210"/>
      <c r="AI9" s="1706"/>
    </row>
    <row r="10" spans="1:35" s="77" customFormat="1">
      <c r="A10" s="77">
        <f t="shared" si="12"/>
        <v>7</v>
      </c>
      <c r="B10" s="77" t="s">
        <v>612</v>
      </c>
      <c r="E10" s="535">
        <v>1500</v>
      </c>
      <c r="F10" s="1210">
        <f t="shared" si="0"/>
        <v>1455</v>
      </c>
      <c r="G10" s="535"/>
      <c r="H10" s="1211">
        <f t="shared" si="1"/>
        <v>-1455</v>
      </c>
      <c r="I10" s="1409">
        <f t="shared" si="2"/>
        <v>1455</v>
      </c>
      <c r="J10" s="974"/>
      <c r="K10" s="978">
        <f t="shared" si="3"/>
        <v>-1455</v>
      </c>
      <c r="L10" s="535"/>
      <c r="M10" s="1410"/>
      <c r="N10" s="1210">
        <f t="shared" si="4"/>
        <v>1575</v>
      </c>
      <c r="O10" s="1211"/>
      <c r="P10" s="1210"/>
      <c r="Q10" s="1358"/>
      <c r="R10" s="1210"/>
      <c r="S10" s="535"/>
      <c r="T10" s="1210"/>
      <c r="U10" s="1435"/>
      <c r="V10" s="1210"/>
      <c r="W10" s="1396"/>
      <c r="X10" s="1643"/>
      <c r="Y10" s="1210"/>
      <c r="Z10" s="1396"/>
      <c r="AA10" s="1503"/>
      <c r="AB10" s="1210"/>
      <c r="AC10" s="1396"/>
      <c r="AD10" s="1210"/>
      <c r="AE10" s="1706"/>
      <c r="AF10" s="1210"/>
      <c r="AG10" s="1762"/>
      <c r="AH10" s="1210"/>
      <c r="AI10" s="1706"/>
    </row>
    <row r="11" spans="1:35" s="77" customFormat="1">
      <c r="A11" s="77">
        <f t="shared" si="12"/>
        <v>8</v>
      </c>
      <c r="B11" s="77" t="s">
        <v>242</v>
      </c>
      <c r="C11" s="77" t="s">
        <v>121</v>
      </c>
      <c r="D11" s="77">
        <v>1</v>
      </c>
      <c r="E11" s="535">
        <v>111396.66666666667</v>
      </c>
      <c r="F11" s="1210">
        <f t="shared" si="0"/>
        <v>108054.76666666666</v>
      </c>
      <c r="G11" s="535">
        <f>VLOOKUP(B11,[1]Лист_1!$A$1:$G$65536,7,0)</f>
        <v>63200</v>
      </c>
      <c r="H11" s="1211">
        <f t="shared" si="1"/>
        <v>-44854.766666666663</v>
      </c>
      <c r="I11" s="1413">
        <f t="shared" si="2"/>
        <v>108054.76666666666</v>
      </c>
      <c r="J11" s="975">
        <v>50000</v>
      </c>
      <c r="K11" s="981">
        <f t="shared" si="3"/>
        <v>-58054.766666666663</v>
      </c>
      <c r="L11" s="535">
        <v>46200</v>
      </c>
      <c r="M11" s="1410"/>
      <c r="N11" s="1210">
        <f t="shared" si="4"/>
        <v>116966.50000000001</v>
      </c>
      <c r="O11" s="1211">
        <v>53900</v>
      </c>
      <c r="P11" s="1210">
        <f t="shared" si="5"/>
        <v>120308.40000000001</v>
      </c>
      <c r="Q11" s="1358">
        <v>41000</v>
      </c>
      <c r="R11" s="1210">
        <f>G11*$P$1</f>
        <v>68256</v>
      </c>
      <c r="S11" s="1396">
        <f>VLOOKUP(B11,[2]Лист_1!$A$1:$C$65536,3,0)</f>
        <v>38000</v>
      </c>
      <c r="T11" s="1210">
        <f t="shared" si="6"/>
        <v>100490.933</v>
      </c>
      <c r="U11" s="1435">
        <v>88620</v>
      </c>
      <c r="V11" s="1210">
        <f t="shared" si="7"/>
        <v>108054.76666666666</v>
      </c>
      <c r="W11" s="1435">
        <f>VLOOKUP(B11,[3]Лист_1!$A$5:$F$55,4,0)</f>
        <v>114180</v>
      </c>
      <c r="X11" s="1639">
        <f>VLOOKUP(B11,[3]Лист_1!$A$5:$D$54,3,0)</f>
        <v>5709</v>
      </c>
      <c r="Y11" s="1210">
        <f t="shared" si="8"/>
        <v>110282.7</v>
      </c>
      <c r="Z11" s="1435">
        <v>145728.57</v>
      </c>
      <c r="AA11" s="1502"/>
      <c r="AB11" s="1210">
        <f>E11*$AB$1</f>
        <v>123650.30000000002</v>
      </c>
      <c r="AC11" s="1396">
        <f>VLOOKUP(B11,[7]Лист_1!$A$3:$E$57,4,0)</f>
        <v>119880</v>
      </c>
      <c r="AD11" s="1210">
        <f t="shared" si="9"/>
        <v>126992.2</v>
      </c>
      <c r="AE11" s="1706">
        <f>VLOOKUP(B11,[4]Лист_1!$A$5:$D$59,3,0)</f>
        <v>133400</v>
      </c>
      <c r="AF11" s="1210">
        <f t="shared" si="10"/>
        <v>130334.09999999999</v>
      </c>
      <c r="AG11" s="1706">
        <f>VLOOKUP(B11,[5]Лист_1!$A$3:$C$50,3,0)</f>
        <v>104160</v>
      </c>
      <c r="AH11" s="1210">
        <f t="shared" ref="AH11" si="14">G11*$AF$1</f>
        <v>73944</v>
      </c>
      <c r="AI11" s="1706">
        <f>VLOOKUP(B11,[29]Лист_1!$A$5:$C$67,3,0)</f>
        <v>109696</v>
      </c>
    </row>
    <row r="12" spans="1:35" s="77" customFormat="1">
      <c r="A12" s="77">
        <f t="shared" si="12"/>
        <v>9</v>
      </c>
      <c r="B12" s="77" t="s">
        <v>296</v>
      </c>
      <c r="C12" s="77" t="s">
        <v>152</v>
      </c>
      <c r="D12" s="77">
        <v>3</v>
      </c>
      <c r="E12" s="535">
        <v>352588.33333333331</v>
      </c>
      <c r="F12" s="1210">
        <f t="shared" si="0"/>
        <v>342010.68333333329</v>
      </c>
      <c r="G12" s="535">
        <f>VLOOKUP(B12,[1]Лист_1!$A$1:$G$65536,7,0)</f>
        <v>121050</v>
      </c>
      <c r="H12" s="1211">
        <f t="shared" si="1"/>
        <v>-220960.68333333329</v>
      </c>
      <c r="I12" s="1409">
        <f t="shared" si="2"/>
        <v>342010.68333333329</v>
      </c>
      <c r="J12" s="974">
        <v>300000</v>
      </c>
      <c r="K12" s="978">
        <f t="shared" si="3"/>
        <v>-42010.683333333291</v>
      </c>
      <c r="L12" s="535">
        <v>313450</v>
      </c>
      <c r="M12" s="1410"/>
      <c r="N12" s="1210">
        <f t="shared" si="4"/>
        <v>370217.75</v>
      </c>
      <c r="O12" s="1211">
        <v>247650</v>
      </c>
      <c r="P12" s="1210">
        <f t="shared" si="5"/>
        <v>380795.4</v>
      </c>
      <c r="Q12" s="1358">
        <v>322870</v>
      </c>
      <c r="R12" s="1210">
        <f>G12*$P$1</f>
        <v>130734.00000000001</v>
      </c>
      <c r="S12" s="1396">
        <f>VLOOKUP(B12,[2]Лист_1!$A$1:$C$65536,3,0)</f>
        <v>254960</v>
      </c>
      <c r="T12" s="1210">
        <f t="shared" si="6"/>
        <v>318069.93549999996</v>
      </c>
      <c r="U12" s="1435">
        <v>195900</v>
      </c>
      <c r="V12" s="1210">
        <f t="shared" si="7"/>
        <v>342010.68333333329</v>
      </c>
      <c r="W12" s="1435">
        <f>VLOOKUP(B12,[3]Лист_1!$A$5:$F$55,4,0)</f>
        <v>274070</v>
      </c>
      <c r="X12" s="1639">
        <f>VLOOKUP(B12,[3]Лист_1!$A$5:$D$54,3,0)</f>
        <v>13703.5</v>
      </c>
      <c r="Y12" s="1210">
        <f t="shared" si="8"/>
        <v>349062.44999999995</v>
      </c>
      <c r="Z12" s="1435">
        <f>VLOOKUP(B12,[6]Лист_1!$C$5:$E$64,3,0)</f>
        <v>107560</v>
      </c>
      <c r="AA12" s="1502"/>
      <c r="AB12" s="1210">
        <f>E12*$AB$1</f>
        <v>391373.05</v>
      </c>
      <c r="AC12" s="1396">
        <f>VLOOKUP(B12,[7]Лист_1!$A$3:$E$57,4,0)</f>
        <v>77350</v>
      </c>
      <c r="AD12" s="1210"/>
      <c r="AE12" s="1706">
        <f>VLOOKUP(B12,[4]Лист_1!$A$5:$D$59,3,0)</f>
        <v>25050</v>
      </c>
      <c r="AF12" s="1210"/>
      <c r="AG12" s="1706">
        <f>VLOOKUP(B12,[5]Лист_1!$A$3:$C$50,3,0)</f>
        <v>21150</v>
      </c>
      <c r="AH12" s="1210"/>
      <c r="AI12" s="1706">
        <f>VLOOKUP(B12,[29]Лист_1!$A$5:$C$67,3,0)</f>
        <v>17180</v>
      </c>
    </row>
    <row r="13" spans="1:35" s="77" customFormat="1">
      <c r="A13" s="77">
        <f t="shared" si="12"/>
        <v>10</v>
      </c>
      <c r="B13" s="77" t="s">
        <v>256</v>
      </c>
      <c r="C13" s="77" t="s">
        <v>119</v>
      </c>
      <c r="D13" s="77">
        <v>3</v>
      </c>
      <c r="E13" s="535">
        <v>94200</v>
      </c>
      <c r="F13" s="1210">
        <f t="shared" si="0"/>
        <v>91374</v>
      </c>
      <c r="G13" s="535">
        <f>VLOOKUP(B13,[1]Лист_1!$A$1:$G$65536,7,0)</f>
        <v>173500</v>
      </c>
      <c r="H13" s="1211">
        <f t="shared" si="1"/>
        <v>82126</v>
      </c>
      <c r="I13" s="1409">
        <f t="shared" si="2"/>
        <v>91374</v>
      </c>
      <c r="J13" s="974">
        <v>200000</v>
      </c>
      <c r="K13" s="978">
        <f t="shared" si="3"/>
        <v>108626</v>
      </c>
      <c r="L13" s="535">
        <v>182600</v>
      </c>
      <c r="M13" s="1410"/>
      <c r="N13" s="1210">
        <f t="shared" si="4"/>
        <v>98910</v>
      </c>
      <c r="O13" s="1211">
        <v>181400</v>
      </c>
      <c r="P13" s="1210">
        <f t="shared" si="5"/>
        <v>101736</v>
      </c>
      <c r="Q13" s="1358">
        <v>176200</v>
      </c>
      <c r="R13" s="1210">
        <f>G13*$P$1</f>
        <v>187380</v>
      </c>
      <c r="S13" s="1396">
        <f>VLOOKUP(B13,[2]Лист_1!$A$1:$C$65536,3,0)</f>
        <v>180500</v>
      </c>
      <c r="T13" s="1210">
        <f t="shared" si="6"/>
        <v>84977.82</v>
      </c>
      <c r="U13" s="1435">
        <v>234000</v>
      </c>
      <c r="V13" s="1210">
        <f t="shared" si="7"/>
        <v>91374</v>
      </c>
      <c r="W13" s="1435">
        <f>VLOOKUP(B13,[3]Лист_1!$A$5:$F$55,4,0)</f>
        <v>235000</v>
      </c>
      <c r="X13" s="1639">
        <f>VLOOKUP(B13,[3]Лист_1!$A$5:$D$54,3,0)</f>
        <v>11750</v>
      </c>
      <c r="Y13" s="1210">
        <f t="shared" si="8"/>
        <v>93258</v>
      </c>
      <c r="Z13" s="1435">
        <f>VLOOKUP(B13,[6]Лист_1!$C$5:$E$64,3,0)</f>
        <v>237000</v>
      </c>
      <c r="AA13" s="1502"/>
      <c r="AB13" s="1210">
        <f>E13*$AB$1</f>
        <v>104562.00000000001</v>
      </c>
      <c r="AC13" s="1396">
        <f>VLOOKUP(B13,[7]Лист_1!$A$3:$E$57,4,0)</f>
        <v>236500</v>
      </c>
      <c r="AD13" s="1210">
        <f t="shared" si="9"/>
        <v>107387.99999999999</v>
      </c>
      <c r="AE13" s="1706">
        <f>VLOOKUP(B13,[4]Лист_1!$A$5:$D$59,3,0)</f>
        <v>237600</v>
      </c>
      <c r="AF13" s="1210">
        <f t="shared" si="10"/>
        <v>110214</v>
      </c>
      <c r="AG13" s="1706">
        <f>VLOOKUP(B13,[5]Лист_1!$A$3:$C$50,3,0)</f>
        <v>233600</v>
      </c>
      <c r="AH13" s="1210">
        <f t="shared" ref="AH13" si="15">G13*$AF$1</f>
        <v>202995</v>
      </c>
      <c r="AI13" s="1706">
        <f>VLOOKUP(B13,[29]Лист_1!$A$5:$C$67,3,0)</f>
        <v>236000</v>
      </c>
    </row>
    <row r="14" spans="1:35" s="1232" customFormat="1">
      <c r="A14" s="1232">
        <f t="shared" si="12"/>
        <v>11</v>
      </c>
      <c r="B14" s="1232" t="s">
        <v>266</v>
      </c>
      <c r="C14" s="1232" t="s">
        <v>159</v>
      </c>
      <c r="D14" s="1232">
        <v>1</v>
      </c>
      <c r="E14" s="1233">
        <v>153622</v>
      </c>
      <c r="F14" s="1234">
        <f t="shared" si="0"/>
        <v>149013.34</v>
      </c>
      <c r="G14" s="1233">
        <f>VLOOKUP(B14,[1]Лист_1!$A$1:$G$65536,7,0)</f>
        <v>117642</v>
      </c>
      <c r="H14" s="1366">
        <f t="shared" si="1"/>
        <v>-31371.339999999997</v>
      </c>
      <c r="I14" s="1411">
        <f t="shared" si="2"/>
        <v>149013.34</v>
      </c>
      <c r="J14" s="1237">
        <v>140000</v>
      </c>
      <c r="K14" s="1238">
        <f t="shared" si="3"/>
        <v>-9013.3399999999965</v>
      </c>
      <c r="L14" s="1233">
        <v>152208</v>
      </c>
      <c r="M14" s="1412"/>
      <c r="N14" s="1234">
        <f t="shared" si="4"/>
        <v>161303.1</v>
      </c>
      <c r="O14" s="1366">
        <v>160902</v>
      </c>
      <c r="P14" s="1234">
        <f t="shared" si="5"/>
        <v>165911.76</v>
      </c>
      <c r="Q14" s="1359">
        <v>177658.9</v>
      </c>
      <c r="R14" s="1234">
        <f>G14*$P$1</f>
        <v>127053.36000000002</v>
      </c>
      <c r="S14" s="1233"/>
      <c r="T14" s="1234">
        <f t="shared" si="6"/>
        <v>138582.4062</v>
      </c>
      <c r="U14" s="1466"/>
      <c r="V14" s="1234"/>
      <c r="W14" s="1466"/>
      <c r="X14" s="1650"/>
      <c r="Y14" s="1234"/>
      <c r="Z14" s="1438"/>
      <c r="AA14" s="1651"/>
      <c r="AB14" s="1234"/>
      <c r="AC14" s="1438"/>
      <c r="AD14" s="1234"/>
      <c r="AE14" s="1707"/>
      <c r="AF14" s="1234"/>
      <c r="AG14" s="1763"/>
      <c r="AH14" s="1234"/>
      <c r="AI14" s="1706"/>
    </row>
    <row r="15" spans="1:35" s="77" customFormat="1">
      <c r="A15" s="77">
        <f t="shared" si="12"/>
        <v>12</v>
      </c>
      <c r="B15" s="77" t="s">
        <v>245</v>
      </c>
      <c r="C15" s="77" t="s">
        <v>109</v>
      </c>
      <c r="D15" s="77">
        <v>1</v>
      </c>
      <c r="E15" s="535">
        <v>515262.41</v>
      </c>
      <c r="F15" s="1210">
        <f t="shared" si="0"/>
        <v>499804.53769999999</v>
      </c>
      <c r="G15" s="535">
        <f>VLOOKUP(B15,[1]Лист_1!$A$1:$G$65536,7,0)</f>
        <v>364901.99999999994</v>
      </c>
      <c r="H15" s="1211">
        <f t="shared" si="1"/>
        <v>-134902.53770000004</v>
      </c>
      <c r="I15" s="1413">
        <f t="shared" si="2"/>
        <v>499804.53769999999</v>
      </c>
      <c r="J15" s="975">
        <v>350000</v>
      </c>
      <c r="K15" s="981">
        <f t="shared" si="3"/>
        <v>-149804.53769999999</v>
      </c>
      <c r="L15" s="535">
        <v>372524</v>
      </c>
      <c r="M15" s="1410"/>
      <c r="N15" s="1210">
        <f t="shared" si="4"/>
        <v>541025.53049999999</v>
      </c>
      <c r="O15" s="1211">
        <v>380710</v>
      </c>
      <c r="P15" s="1210">
        <f t="shared" si="5"/>
        <v>556483.40280000004</v>
      </c>
      <c r="Q15" s="1358">
        <v>368220</v>
      </c>
      <c r="R15" s="1210">
        <f>G15*$P$1</f>
        <v>394094.16</v>
      </c>
      <c r="S15" s="1396">
        <f>VLOOKUP(B15,[2]Лист_1!$A$1:$C$65536,3,0)</f>
        <v>465308</v>
      </c>
      <c r="T15" s="1210">
        <f t="shared" si="6"/>
        <v>464818.22006100003</v>
      </c>
      <c r="U15" s="1435">
        <v>340228</v>
      </c>
      <c r="V15" s="1210">
        <f t="shared" si="7"/>
        <v>499804.53769999999</v>
      </c>
      <c r="W15" s="1435">
        <f>VLOOKUP(B15,[3]Лист_1!$A$5:$F$55,4,0)</f>
        <v>305628</v>
      </c>
      <c r="X15" s="1639">
        <f>VLOOKUP(B15,[3]Лист_1!$A$5:$D$54,3,0)</f>
        <v>15281.400000000023</v>
      </c>
      <c r="Y15" s="1210">
        <f t="shared" si="8"/>
        <v>510109.78589999996</v>
      </c>
      <c r="Z15" s="1435">
        <f>VLOOKUP(B15,[6]Лист_1!$C$5:$E$64,3,0)</f>
        <v>500741.99999999994</v>
      </c>
      <c r="AA15" s="1502"/>
      <c r="AB15" s="1210">
        <f>E15*$AB$1</f>
        <v>571941.27509999997</v>
      </c>
      <c r="AC15" s="1396">
        <f>VLOOKUP(B15,[7]Лист_1!$A$3:$E$57,4,0)</f>
        <v>509163.90476190473</v>
      </c>
      <c r="AD15" s="1210">
        <f t="shared" si="9"/>
        <v>587399.1473999999</v>
      </c>
      <c r="AE15" s="1706">
        <f>VLOOKUP(B15,[4]Лист_1!$A$5:$D$59,3,0)</f>
        <v>442967.70476190478</v>
      </c>
      <c r="AF15" s="1210">
        <f t="shared" si="10"/>
        <v>602857.01969999995</v>
      </c>
      <c r="AG15" s="1706">
        <f>VLOOKUP(B15,[5]Лист_1!$A$3:$C$50,3,0)</f>
        <v>431505.10476190475</v>
      </c>
      <c r="AH15" s="1210">
        <f t="shared" ref="AH15" si="16">G15*$AF$1</f>
        <v>426935.33999999991</v>
      </c>
      <c r="AI15" s="1706">
        <f>VLOOKUP(B15,[29]Лист_1!$A$5:$C$67,3,0)</f>
        <v>412654.39999999997</v>
      </c>
    </row>
    <row r="16" spans="1:35" s="1232" customFormat="1">
      <c r="A16" s="1232">
        <f t="shared" si="12"/>
        <v>13</v>
      </c>
      <c r="B16" s="1232" t="s">
        <v>326</v>
      </c>
      <c r="C16" s="1232" t="s">
        <v>149</v>
      </c>
      <c r="D16" s="1232">
        <v>3</v>
      </c>
      <c r="E16" s="1233">
        <v>114358.33333333333</v>
      </c>
      <c r="F16" s="1234">
        <f t="shared" si="0"/>
        <v>110927.58333333333</v>
      </c>
      <c r="G16" s="1233">
        <f>VLOOKUP(B16,[1]Лист_1!$A$1:$G$65536,7,0)</f>
        <v>166800</v>
      </c>
      <c r="H16" s="1366">
        <f t="shared" si="1"/>
        <v>55872.416666666672</v>
      </c>
      <c r="I16" s="1411">
        <f t="shared" si="2"/>
        <v>110927.58333333333</v>
      </c>
      <c r="J16" s="1237">
        <v>100000</v>
      </c>
      <c r="K16" s="1238">
        <f t="shared" si="3"/>
        <v>-10927.583333333328</v>
      </c>
      <c r="L16" s="1658">
        <v>391800</v>
      </c>
      <c r="M16" s="1412"/>
      <c r="N16" s="1234">
        <f t="shared" si="4"/>
        <v>120076.25</v>
      </c>
      <c r="O16" s="1657">
        <v>301200</v>
      </c>
      <c r="P16" s="1234"/>
      <c r="Q16" s="1359"/>
      <c r="R16" s="1234"/>
      <c r="S16" s="1233"/>
      <c r="T16" s="1234"/>
      <c r="U16" s="1466"/>
      <c r="V16" s="1234"/>
      <c r="W16" s="1466"/>
      <c r="X16" s="1650"/>
      <c r="Y16" s="1234">
        <f t="shared" si="8"/>
        <v>113214.75</v>
      </c>
      <c r="Z16" s="1438"/>
      <c r="AA16" s="1651"/>
      <c r="AB16" s="1234"/>
      <c r="AC16" s="1438"/>
      <c r="AD16" s="1234"/>
      <c r="AE16" s="1707"/>
      <c r="AF16" s="1234"/>
      <c r="AG16" s="1763"/>
      <c r="AH16" s="1234"/>
      <c r="AI16" s="1706"/>
    </row>
    <row r="17" spans="1:35" s="1232" customFormat="1">
      <c r="A17" s="1232">
        <f t="shared" si="12"/>
        <v>14</v>
      </c>
      <c r="B17" s="1232" t="s">
        <v>294</v>
      </c>
      <c r="C17" s="1232" t="s">
        <v>151</v>
      </c>
      <c r="E17" s="1233">
        <v>27700.666666666668</v>
      </c>
      <c r="F17" s="1234">
        <f t="shared" si="0"/>
        <v>26869.646666666667</v>
      </c>
      <c r="G17" s="1233"/>
      <c r="H17" s="1366">
        <f t="shared" si="1"/>
        <v>-26869.646666666667</v>
      </c>
      <c r="I17" s="1411">
        <f t="shared" si="2"/>
        <v>26869.646666666667</v>
      </c>
      <c r="J17" s="1235">
        <v>0</v>
      </c>
      <c r="K17" s="1238">
        <f t="shared" si="3"/>
        <v>-26869.646666666667</v>
      </c>
      <c r="L17" s="1658"/>
      <c r="M17" s="1412"/>
      <c r="N17" s="1234">
        <f t="shared" si="4"/>
        <v>29085.7</v>
      </c>
      <c r="O17" s="1657"/>
      <c r="P17" s="1234"/>
      <c r="Q17" s="1359"/>
      <c r="R17" s="1234"/>
      <c r="S17" s="1233"/>
      <c r="T17" s="1234"/>
      <c r="U17" s="1466"/>
      <c r="V17" s="1234"/>
      <c r="W17" s="1466"/>
      <c r="X17" s="1650"/>
      <c r="Y17" s="1234">
        <f t="shared" si="8"/>
        <v>27423.66</v>
      </c>
      <c r="Z17" s="1438"/>
      <c r="AA17" s="1651"/>
      <c r="AB17" s="1234"/>
      <c r="AC17" s="1438"/>
      <c r="AD17" s="1234"/>
      <c r="AE17" s="1707"/>
      <c r="AF17" s="1234"/>
      <c r="AG17" s="1763"/>
      <c r="AH17" s="1234"/>
      <c r="AI17" s="1706"/>
    </row>
    <row r="18" spans="1:35" s="1232" customFormat="1">
      <c r="A18" s="1232">
        <f t="shared" si="12"/>
        <v>15</v>
      </c>
      <c r="B18" s="1232" t="s">
        <v>327</v>
      </c>
      <c r="C18" s="1232" t="s">
        <v>150</v>
      </c>
      <c r="E18" s="1233">
        <v>179283.33333333334</v>
      </c>
      <c r="F18" s="1234">
        <f t="shared" si="0"/>
        <v>173904.83333333334</v>
      </c>
      <c r="G18" s="1233">
        <f>VLOOKUP(B18,[1]Лист_1!$A$1:$G$65536,7,0)</f>
        <v>186200</v>
      </c>
      <c r="H18" s="1366">
        <f t="shared" si="1"/>
        <v>12295.166666666657</v>
      </c>
      <c r="I18" s="1411">
        <f t="shared" si="2"/>
        <v>173904.83333333334</v>
      </c>
      <c r="J18" s="1235">
        <v>0</v>
      </c>
      <c r="K18" s="1238">
        <f t="shared" si="3"/>
        <v>-173904.83333333334</v>
      </c>
      <c r="L18" s="1658"/>
      <c r="M18" s="1412"/>
      <c r="N18" s="1234">
        <f t="shared" si="4"/>
        <v>188247.50000000003</v>
      </c>
      <c r="O18" s="1657"/>
      <c r="P18" s="1234"/>
      <c r="Q18" s="1359"/>
      <c r="R18" s="1234"/>
      <c r="S18" s="1233"/>
      <c r="T18" s="1234"/>
      <c r="U18" s="1466"/>
      <c r="V18" s="1234"/>
      <c r="W18" s="1466"/>
      <c r="X18" s="1650"/>
      <c r="Y18" s="1234">
        <f t="shared" si="8"/>
        <v>177490.5</v>
      </c>
      <c r="Z18" s="1438"/>
      <c r="AA18" s="1651"/>
      <c r="AB18" s="1234"/>
      <c r="AC18" s="1438"/>
      <c r="AD18" s="1234"/>
      <c r="AE18" s="1707"/>
      <c r="AF18" s="1234"/>
      <c r="AG18" s="1763"/>
      <c r="AH18" s="1234"/>
      <c r="AI18" s="1706"/>
    </row>
    <row r="19" spans="1:35" s="1232" customFormat="1">
      <c r="A19" s="1232">
        <f t="shared" ref="A19:A27" si="17">A18+1</f>
        <v>16</v>
      </c>
      <c r="B19" s="1239" t="s">
        <v>928</v>
      </c>
      <c r="C19" s="1232" t="s">
        <v>150</v>
      </c>
      <c r="D19" s="1232">
        <v>3</v>
      </c>
      <c r="E19" s="1233"/>
      <c r="F19" s="1234"/>
      <c r="G19" s="1233">
        <f>VLOOKUP(B19,[1]Лист_1!$A$1:$G$65536,7,0)</f>
        <v>58200</v>
      </c>
      <c r="H19" s="1366">
        <f t="shared" si="1"/>
        <v>58200</v>
      </c>
      <c r="I19" s="1411">
        <v>173905</v>
      </c>
      <c r="J19" s="1237">
        <v>200000</v>
      </c>
      <c r="K19" s="1238">
        <f t="shared" si="3"/>
        <v>26095</v>
      </c>
      <c r="L19" s="1658"/>
      <c r="M19" s="1412"/>
      <c r="N19" s="1234"/>
      <c r="O19" s="1657"/>
      <c r="P19" s="1234"/>
      <c r="Q19" s="1359"/>
      <c r="R19" s="1234"/>
      <c r="S19" s="1233"/>
      <c r="T19" s="1234"/>
      <c r="U19" s="1466"/>
      <c r="V19" s="1234"/>
      <c r="W19" s="1466"/>
      <c r="X19" s="1650"/>
      <c r="Y19" s="1234">
        <f t="shared" si="8"/>
        <v>0</v>
      </c>
      <c r="Z19" s="1438"/>
      <c r="AA19" s="1651"/>
      <c r="AB19" s="1234"/>
      <c r="AC19" s="1438"/>
      <c r="AD19" s="1234"/>
      <c r="AE19" s="1707"/>
      <c r="AF19" s="1234"/>
      <c r="AG19" s="1763"/>
      <c r="AH19" s="1234"/>
      <c r="AI19" s="1706"/>
    </row>
    <row r="20" spans="1:35" s="1232" customFormat="1">
      <c r="A20" s="1232">
        <f t="shared" si="17"/>
        <v>17</v>
      </c>
      <c r="B20" s="1232" t="s">
        <v>241</v>
      </c>
      <c r="C20" s="1239" t="s">
        <v>105</v>
      </c>
      <c r="D20" s="1232">
        <v>3</v>
      </c>
      <c r="E20" s="1233">
        <v>313758.33333333331</v>
      </c>
      <c r="F20" s="1234">
        <f>E20*$F$1</f>
        <v>304345.58333333331</v>
      </c>
      <c r="G20" s="1233">
        <f>VLOOKUP(B20,[1]Лист_1!$A$1:$G$65536,7,0)</f>
        <v>327680</v>
      </c>
      <c r="H20" s="1366">
        <f t="shared" si="1"/>
        <v>23334.416666666686</v>
      </c>
      <c r="I20" s="1411">
        <f t="shared" si="2"/>
        <v>304345.58333333331</v>
      </c>
      <c r="J20" s="1237">
        <v>220000</v>
      </c>
      <c r="K20" s="1238">
        <f t="shared" si="3"/>
        <v>-84345.583333333314</v>
      </c>
      <c r="L20" s="1233">
        <v>314870.47619047621</v>
      </c>
      <c r="M20" s="1412"/>
      <c r="N20" s="1234">
        <f t="shared" si="4"/>
        <v>329446.25</v>
      </c>
      <c r="O20" s="1366">
        <v>299000</v>
      </c>
      <c r="P20" s="1234">
        <f t="shared" si="5"/>
        <v>338859</v>
      </c>
      <c r="Q20" s="1359">
        <v>504590</v>
      </c>
      <c r="R20" s="1234">
        <f>G20*$P$1</f>
        <v>353894.40000000002</v>
      </c>
      <c r="S20" s="1438">
        <f>VLOOKUP(B20,[2]Лист_1!$A$1:$C$65536,3,0)</f>
        <v>296860</v>
      </c>
      <c r="T20" s="1234">
        <f t="shared" si="6"/>
        <v>283041.39250000002</v>
      </c>
      <c r="U20" s="1466">
        <v>262220</v>
      </c>
      <c r="V20" s="1234">
        <f t="shared" si="7"/>
        <v>304345.58333333331</v>
      </c>
      <c r="W20" s="1466">
        <f>VLOOKUP(B20,[3]Лист_1!$A$5:$F$55,4,0)</f>
        <v>231980</v>
      </c>
      <c r="X20" s="1652">
        <f>VLOOKUP(B20,[3]Лист_1!$A$5:$D$54,3,0)</f>
        <v>11599</v>
      </c>
      <c r="Y20" s="1234">
        <f t="shared" si="8"/>
        <v>310620.75</v>
      </c>
      <c r="Z20" s="1466">
        <f>VLOOKUP(B20,[6]Лист_1!$C$5:$E$64,3,0)</f>
        <v>51200</v>
      </c>
      <c r="AA20" s="1653"/>
      <c r="AB20" s="1234"/>
      <c r="AC20" s="1438"/>
      <c r="AD20" s="1234"/>
      <c r="AE20" s="1707">
        <f>VLOOKUP(B20,[4]Лист_1!$A$5:$D$59,3,0)</f>
        <v>57200</v>
      </c>
      <c r="AF20" s="1234"/>
      <c r="AG20" s="1763"/>
      <c r="AH20" s="1234"/>
      <c r="AI20" s="1706"/>
    </row>
    <row r="21" spans="1:35" s="1232" customFormat="1">
      <c r="A21" s="1232">
        <f t="shared" si="17"/>
        <v>18</v>
      </c>
      <c r="B21" s="1239" t="s">
        <v>921</v>
      </c>
      <c r="C21" s="1232" t="s">
        <v>124</v>
      </c>
      <c r="D21" s="1232">
        <v>3</v>
      </c>
      <c r="E21" s="1233">
        <v>542963.33333333337</v>
      </c>
      <c r="F21" s="1234">
        <f>E21*$F$1</f>
        <v>526674.43333333335</v>
      </c>
      <c r="G21" s="1233">
        <f>VLOOKUP(B21,[1]Лист_1!$A$1:$G$65536,7,0)</f>
        <v>211175</v>
      </c>
      <c r="H21" s="1366">
        <f t="shared" si="1"/>
        <v>-315499.43333333335</v>
      </c>
      <c r="I21" s="1414">
        <f t="shared" si="2"/>
        <v>526674.43333333335</v>
      </c>
      <c r="J21" s="1235">
        <v>200000</v>
      </c>
      <c r="K21" s="1236">
        <f t="shared" si="3"/>
        <v>-326674.43333333335</v>
      </c>
      <c r="L21" s="1233">
        <v>236560</v>
      </c>
      <c r="M21" s="1412"/>
      <c r="N21" s="1234">
        <f t="shared" si="4"/>
        <v>570111.50000000012</v>
      </c>
      <c r="O21" s="1366">
        <v>139340</v>
      </c>
      <c r="P21" s="1234">
        <f t="shared" si="5"/>
        <v>586400.4</v>
      </c>
      <c r="Q21" s="1359">
        <v>118020</v>
      </c>
      <c r="R21" s="1234">
        <f>G21*$P$1</f>
        <v>228069.00000000003</v>
      </c>
      <c r="S21" s="1438">
        <f>VLOOKUP(B21,[2]Лист_1!$A$1:$C$65536,3,0)</f>
        <v>20800</v>
      </c>
      <c r="T21" s="1234">
        <f t="shared" si="6"/>
        <v>489807.22300000006</v>
      </c>
      <c r="U21" s="1466">
        <v>86510</v>
      </c>
      <c r="V21" s="1234">
        <f t="shared" si="7"/>
        <v>526674.43333333335</v>
      </c>
      <c r="W21" s="1438"/>
      <c r="X21" s="1650"/>
      <c r="Y21" s="1234"/>
      <c r="Z21" s="1466">
        <v>75400</v>
      </c>
      <c r="AA21" s="1651"/>
      <c r="AB21" s="1234"/>
      <c r="AC21" s="1438"/>
      <c r="AD21" s="1234"/>
      <c r="AE21" s="1707"/>
      <c r="AF21" s="1234"/>
      <c r="AG21" s="1763"/>
      <c r="AH21" s="1234"/>
      <c r="AI21" s="1706"/>
    </row>
    <row r="22" spans="1:35" s="77" customFormat="1">
      <c r="A22" s="77">
        <f t="shared" si="17"/>
        <v>19</v>
      </c>
      <c r="B22" s="77" t="s">
        <v>929</v>
      </c>
      <c r="C22" s="77" t="s">
        <v>623</v>
      </c>
      <c r="E22" s="535"/>
      <c r="F22" s="1210"/>
      <c r="G22" s="535">
        <v>11429</v>
      </c>
      <c r="H22" s="1211">
        <f t="shared" si="1"/>
        <v>11429</v>
      </c>
      <c r="I22" s="1409">
        <f t="shared" si="2"/>
        <v>0</v>
      </c>
      <c r="J22" s="974"/>
      <c r="K22" s="978">
        <f t="shared" si="3"/>
        <v>0</v>
      </c>
      <c r="L22" s="535"/>
      <c r="M22" s="1410"/>
      <c r="N22" s="1210"/>
      <c r="O22" s="1211"/>
      <c r="P22" s="1210"/>
      <c r="Q22" s="1358"/>
      <c r="R22" s="1210"/>
      <c r="S22" s="535"/>
      <c r="T22" s="1210">
        <f t="shared" si="6"/>
        <v>0</v>
      </c>
      <c r="U22" s="1435"/>
      <c r="V22" s="1210"/>
      <c r="W22" s="1396"/>
      <c r="X22" s="1643"/>
      <c r="Y22" s="1210">
        <f t="shared" si="8"/>
        <v>0</v>
      </c>
      <c r="Z22" s="1396"/>
      <c r="AA22" s="1503"/>
      <c r="AB22" s="1210"/>
      <c r="AC22" s="1396"/>
      <c r="AD22" s="1210"/>
      <c r="AE22" s="1706"/>
      <c r="AF22" s="1210"/>
      <c r="AG22" s="1762"/>
      <c r="AH22" s="1210"/>
      <c r="AI22" s="1706"/>
    </row>
    <row r="23" spans="1:35" s="77" customFormat="1">
      <c r="A23" s="77">
        <f t="shared" si="17"/>
        <v>20</v>
      </c>
      <c r="B23" s="77" t="s">
        <v>1025</v>
      </c>
      <c r="C23" s="77" t="s">
        <v>623</v>
      </c>
      <c r="E23" s="535"/>
      <c r="F23" s="1210"/>
      <c r="G23" s="535"/>
      <c r="H23" s="1211"/>
      <c r="I23" s="1409"/>
      <c r="J23" s="974"/>
      <c r="K23" s="978"/>
      <c r="L23" s="535"/>
      <c r="M23" s="1410"/>
      <c r="N23" s="1210"/>
      <c r="O23" s="1211">
        <v>12274</v>
      </c>
      <c r="P23" s="1210"/>
      <c r="Q23" s="1358">
        <v>12274</v>
      </c>
      <c r="R23" s="1210"/>
      <c r="S23" s="1396">
        <f>VLOOKUP(B23,[2]Лист_1!$A$1:$C$65536,3,0)</f>
        <v>6137</v>
      </c>
      <c r="T23" s="1210">
        <f t="shared" si="6"/>
        <v>0</v>
      </c>
      <c r="U23" s="1435">
        <v>33683</v>
      </c>
      <c r="V23" s="1210"/>
      <c r="W23" s="1435">
        <f>VLOOKUP(B23,[3]Лист_1!$A$5:$F$55,4,0)</f>
        <v>12274</v>
      </c>
      <c r="X23" s="1639">
        <f>VLOOKUP(B23,[3]Лист_1!$A$5:$D$54,3,0)</f>
        <v>613.70000000000073</v>
      </c>
      <c r="Y23" s="1210">
        <f t="shared" si="8"/>
        <v>0</v>
      </c>
      <c r="Z23" s="1435">
        <f>VLOOKUP(B23,[6]Лист_1!$C$5:$E$64,3,0)</f>
        <v>5900</v>
      </c>
      <c r="AA23" s="1502"/>
      <c r="AB23" s="1210"/>
      <c r="AC23" s="1396">
        <f>VLOOKUP(B23,[7]Лист_1!$A$3:$E$57,4,0)</f>
        <v>24264</v>
      </c>
      <c r="AD23" s="1210">
        <f t="shared" si="9"/>
        <v>0</v>
      </c>
      <c r="AE23" s="1706">
        <f>VLOOKUP(B23,[4]Лист_1!$A$5:$D$59,3,0)</f>
        <v>15082</v>
      </c>
      <c r="AF23" s="1210"/>
      <c r="AG23" s="1762"/>
      <c r="AH23" s="1210"/>
      <c r="AI23" s="1706"/>
    </row>
    <row r="24" spans="1:35" s="77" customFormat="1">
      <c r="A24" s="77">
        <f t="shared" si="17"/>
        <v>21</v>
      </c>
      <c r="B24" s="77" t="s">
        <v>1231</v>
      </c>
      <c r="C24" s="77" t="s">
        <v>623</v>
      </c>
      <c r="E24" s="535"/>
      <c r="F24" s="1210"/>
      <c r="G24" s="535"/>
      <c r="H24" s="1211"/>
      <c r="I24" s="1409"/>
      <c r="J24" s="974"/>
      <c r="K24" s="978"/>
      <c r="L24" s="535"/>
      <c r="M24" s="1410"/>
      <c r="N24" s="1210"/>
      <c r="O24" s="1211"/>
      <c r="P24" s="1210"/>
      <c r="Q24" s="1358"/>
      <c r="R24" s="1210"/>
      <c r="S24" s="1396"/>
      <c r="T24" s="1210"/>
      <c r="U24" s="1435"/>
      <c r="V24" s="1210"/>
      <c r="W24" s="1435"/>
      <c r="X24" s="1639"/>
      <c r="Y24" s="1210"/>
      <c r="Z24" s="1435"/>
      <c r="AA24" s="1502"/>
      <c r="AB24" s="1210"/>
      <c r="AC24" s="1396"/>
      <c r="AD24" s="1210"/>
      <c r="AE24" s="1706"/>
      <c r="AF24" s="1210"/>
      <c r="AG24" s="1762"/>
      <c r="AH24" s="1210"/>
      <c r="AI24" s="1706">
        <f>VLOOKUP(B24,[29]Лист_1!$A$5:$C$67,3,0)</f>
        <v>12274</v>
      </c>
    </row>
    <row r="25" spans="1:35" s="77" customFormat="1">
      <c r="A25" s="77">
        <f>A23+1</f>
        <v>21</v>
      </c>
      <c r="B25" s="77" t="s">
        <v>435</v>
      </c>
      <c r="C25" s="77" t="s">
        <v>140</v>
      </c>
      <c r="E25" s="535"/>
      <c r="F25" s="1210"/>
      <c r="G25" s="535"/>
      <c r="H25" s="1211"/>
      <c r="I25" s="1409"/>
      <c r="J25" s="974"/>
      <c r="K25" s="978"/>
      <c r="L25" s="535"/>
      <c r="M25" s="1410"/>
      <c r="N25" s="1210"/>
      <c r="O25" s="1211">
        <v>76190.476190476184</v>
      </c>
      <c r="P25" s="1210"/>
      <c r="Q25" s="1358">
        <v>38095.238095238092</v>
      </c>
      <c r="R25" s="1210"/>
      <c r="S25" s="1396">
        <f>VLOOKUP(B25,[2]Лист_1!$A$1:$C$65536,3,0)</f>
        <v>38095.238095238092</v>
      </c>
      <c r="T25" s="1210">
        <f t="shared" si="6"/>
        <v>0</v>
      </c>
      <c r="U25" s="1435">
        <v>38095.238095238092</v>
      </c>
      <c r="V25" s="1210"/>
      <c r="W25" s="1435">
        <f>VLOOKUP(B25,[3]Лист_1!$A$5:$F$55,4,0)</f>
        <v>38095.238095238092</v>
      </c>
      <c r="X25" s="1639">
        <f>VLOOKUP(B25,[3]Лист_1!$A$5:$D$54,3,0)</f>
        <v>1904.7619047619082</v>
      </c>
      <c r="Y25" s="1210">
        <f t="shared" si="8"/>
        <v>0</v>
      </c>
      <c r="Z25" s="1435">
        <f>VLOOKUP(B25,[6]Лист_1!$C$5:$E$64,3,0)</f>
        <v>38095.238095238092</v>
      </c>
      <c r="AA25" s="1502"/>
      <c r="AB25" s="1210"/>
      <c r="AC25" s="1396">
        <f>VLOOKUP(B25,[7]Лист_1!$A$3:$E$57,4,0)</f>
        <v>38095.238095238092</v>
      </c>
      <c r="AD25" s="1210">
        <f t="shared" si="9"/>
        <v>0</v>
      </c>
      <c r="AE25" s="1706">
        <f>VLOOKUP(B25,[4]Лист_1!$A$5:$D$59,3,0)</f>
        <v>38095.238095238092</v>
      </c>
      <c r="AF25" s="1210"/>
      <c r="AG25" s="1706">
        <f>VLOOKUP(B25,[5]Лист_1!$A$3:$C$50,3,0)</f>
        <v>38095.238095238092</v>
      </c>
      <c r="AH25" s="1210"/>
      <c r="AI25" s="1706">
        <f>VLOOKUP(B25,[29]Лист_1!$A$5:$C$67,3,0)</f>
        <v>38095.238095238092</v>
      </c>
    </row>
    <row r="26" spans="1:35" s="1232" customFormat="1">
      <c r="A26" s="1232">
        <f>A23+1</f>
        <v>21</v>
      </c>
      <c r="B26" s="1232" t="s">
        <v>251</v>
      </c>
      <c r="C26" s="1232" t="s">
        <v>113</v>
      </c>
      <c r="D26" s="1232">
        <v>3</v>
      </c>
      <c r="E26" s="1233">
        <v>186900</v>
      </c>
      <c r="F26" s="1234">
        <f t="shared" ref="F26:F55" si="18">E26*$F$1</f>
        <v>181293</v>
      </c>
      <c r="G26" s="1233">
        <v>134400</v>
      </c>
      <c r="H26" s="1366">
        <f t="shared" si="1"/>
        <v>-46893</v>
      </c>
      <c r="I26" s="1414">
        <f t="shared" si="2"/>
        <v>181293</v>
      </c>
      <c r="J26" s="1235">
        <v>110000</v>
      </c>
      <c r="K26" s="1236">
        <f t="shared" si="3"/>
        <v>-71293</v>
      </c>
      <c r="L26" s="1233">
        <v>91200</v>
      </c>
      <c r="M26" s="1412"/>
      <c r="N26" s="1234">
        <f t="shared" si="4"/>
        <v>196245</v>
      </c>
      <c r="O26" s="1366">
        <v>82400</v>
      </c>
      <c r="P26" s="1234">
        <f t="shared" si="5"/>
        <v>201852</v>
      </c>
      <c r="Q26" s="1359">
        <v>109600</v>
      </c>
      <c r="R26" s="1234">
        <f t="shared" ref="R26:R31" si="19">G26*$P$1</f>
        <v>145152</v>
      </c>
      <c r="S26" s="1233"/>
      <c r="T26" s="1234"/>
      <c r="U26" s="1466"/>
      <c r="V26" s="1234"/>
      <c r="W26" s="1466"/>
      <c r="X26" s="1650"/>
      <c r="Y26" s="1234"/>
      <c r="Z26" s="1438"/>
      <c r="AA26" s="1651"/>
      <c r="AB26" s="1234"/>
      <c r="AC26" s="1438"/>
      <c r="AD26" s="1234"/>
      <c r="AE26" s="1707"/>
      <c r="AF26" s="1234"/>
      <c r="AG26" s="1763"/>
      <c r="AH26" s="1234"/>
      <c r="AI26" s="1706"/>
    </row>
    <row r="27" spans="1:35" s="77" customFormat="1">
      <c r="A27" s="77">
        <f t="shared" si="17"/>
        <v>22</v>
      </c>
      <c r="B27" s="77" t="s">
        <v>269</v>
      </c>
      <c r="C27" s="77" t="s">
        <v>89</v>
      </c>
      <c r="D27" s="77">
        <v>1</v>
      </c>
      <c r="E27" s="535">
        <v>703840.2</v>
      </c>
      <c r="F27" s="1210">
        <f t="shared" si="18"/>
        <v>682724.99399999995</v>
      </c>
      <c r="G27" s="535">
        <f>VLOOKUP(B27,[1]Лист_1!$A$1:$G$65536,7,0)</f>
        <v>1033029.1714285712</v>
      </c>
      <c r="H27" s="1211">
        <f t="shared" si="1"/>
        <v>350304.17742857127</v>
      </c>
      <c r="I27" s="1409">
        <f t="shared" si="2"/>
        <v>682724.99399999995</v>
      </c>
      <c r="J27" s="974">
        <v>800000</v>
      </c>
      <c r="K27" s="978">
        <f t="shared" si="3"/>
        <v>117275.00600000005</v>
      </c>
      <c r="L27" s="535">
        <v>891469.00952380954</v>
      </c>
      <c r="M27" s="1410"/>
      <c r="N27" s="1210">
        <f t="shared" si="4"/>
        <v>739032.21</v>
      </c>
      <c r="O27" s="1211">
        <v>723546</v>
      </c>
      <c r="P27" s="1210">
        <f t="shared" si="5"/>
        <v>760147.41599999997</v>
      </c>
      <c r="Q27" s="1358">
        <v>905207.01</v>
      </c>
      <c r="R27" s="1210">
        <f t="shared" si="19"/>
        <v>1115671.5051428571</v>
      </c>
      <c r="S27" s="1396">
        <f>VLOOKUP(B27,[2]Лист_1!$A$1:$C$65536,3,0)</f>
        <v>817175.01904761908</v>
      </c>
      <c r="T27" s="1210">
        <f t="shared" si="6"/>
        <v>634934.24442</v>
      </c>
      <c r="U27" s="1435">
        <v>861405.00952380954</v>
      </c>
      <c r="V27" s="1210">
        <f t="shared" si="7"/>
        <v>682724.99399999995</v>
      </c>
      <c r="W27" s="1435">
        <f>VLOOKUP(B27,[3]Лист_1!$A$5:$F$55,4,0)</f>
        <v>1010565.0095238095</v>
      </c>
      <c r="X27" s="1639">
        <v>50528.26</v>
      </c>
      <c r="Y27" s="1210">
        <f t="shared" si="8"/>
        <v>696801.79799999995</v>
      </c>
      <c r="Z27" s="1435">
        <v>852152.51</v>
      </c>
      <c r="AA27" s="1502"/>
      <c r="AB27" s="1210">
        <f t="shared" ref="AB27:AB35" si="20">E27*$AB$1</f>
        <v>781262.62199999997</v>
      </c>
      <c r="AC27" s="1396">
        <f>VLOOKUP(B27,[7]Лист_1!$A$3:$E$57,4,0)</f>
        <v>950575.00952380954</v>
      </c>
      <c r="AD27" s="1210">
        <f t="shared" si="9"/>
        <v>802377.82799999986</v>
      </c>
      <c r="AE27" s="1706">
        <f>VLOOKUP(B27,[4]Лист_1!$A$5:$D$59,3,0)</f>
        <v>782920.00952380954</v>
      </c>
      <c r="AF27" s="1210">
        <f t="shared" si="10"/>
        <v>823493.03399999987</v>
      </c>
      <c r="AG27" s="1706">
        <f>VLOOKUP(B27,[5]Лист_1!$A$3:$C$50,3,0)</f>
        <v>839710.00952380954</v>
      </c>
      <c r="AH27" s="1210">
        <f t="shared" ref="AH27:AH35" si="21">G27*$AF$1</f>
        <v>1208644.1305714282</v>
      </c>
      <c r="AI27" s="1706">
        <f>VLOOKUP(B27,[29]Лист_1!$A$5:$C$67,3,0)</f>
        <v>790700</v>
      </c>
    </row>
    <row r="28" spans="1:35" s="77" customFormat="1">
      <c r="A28" s="77">
        <f t="shared" si="12"/>
        <v>23</v>
      </c>
      <c r="B28" s="984" t="s">
        <v>922</v>
      </c>
      <c r="C28" s="77" t="s">
        <v>608</v>
      </c>
      <c r="D28" s="77">
        <v>3</v>
      </c>
      <c r="E28" s="535">
        <v>134250</v>
      </c>
      <c r="F28" s="1210">
        <f t="shared" si="18"/>
        <v>130222.5</v>
      </c>
      <c r="G28" s="535">
        <f>VLOOKUP(B28,[1]Лист_1!$A$1:$G$65536,7,0)</f>
        <v>98150</v>
      </c>
      <c r="H28" s="1211">
        <f t="shared" si="1"/>
        <v>-32072.5</v>
      </c>
      <c r="I28" s="1409">
        <f t="shared" si="2"/>
        <v>130222.5</v>
      </c>
      <c r="J28" s="974">
        <v>90000</v>
      </c>
      <c r="K28" s="978">
        <f t="shared" si="3"/>
        <v>-40222.5</v>
      </c>
      <c r="L28" s="535">
        <v>103057.5</v>
      </c>
      <c r="M28" s="1410"/>
      <c r="N28" s="1210">
        <f t="shared" si="4"/>
        <v>140962.5</v>
      </c>
      <c r="O28" s="1211">
        <v>117200</v>
      </c>
      <c r="P28" s="1210">
        <f t="shared" si="5"/>
        <v>144990</v>
      </c>
      <c r="Q28" s="1358">
        <v>192750</v>
      </c>
      <c r="R28" s="1210">
        <f t="shared" si="19"/>
        <v>106002</v>
      </c>
      <c r="S28" s="1396">
        <f>VLOOKUP(B28,[2]Лист_1!$A$1:$C$65536,3,0)</f>
        <v>117200</v>
      </c>
      <c r="T28" s="1210">
        <f t="shared" si="6"/>
        <v>121106.925</v>
      </c>
      <c r="U28" s="1435">
        <v>69900</v>
      </c>
      <c r="V28" s="1210">
        <f t="shared" si="7"/>
        <v>130222.5</v>
      </c>
      <c r="W28" s="1435">
        <f>VLOOKUP(B28,[3]Лист_1!$A$5:$F$55,4,0)</f>
        <v>145450</v>
      </c>
      <c r="X28" s="1639">
        <f>VLOOKUP(B28,[3]Лист_1!$A$5:$D$54,3,0)</f>
        <v>7272.5</v>
      </c>
      <c r="Y28" s="1210">
        <f t="shared" si="8"/>
        <v>132907.5</v>
      </c>
      <c r="Z28" s="1435">
        <f>VLOOKUP(B28,[6]Лист_1!$C$5:$E$64,3,0)</f>
        <v>188150</v>
      </c>
      <c r="AA28" s="1502"/>
      <c r="AB28" s="1210">
        <f t="shared" si="20"/>
        <v>149017.5</v>
      </c>
      <c r="AC28" s="1396">
        <f>VLOOKUP(B28,[7]Лист_1!$A$3:$E$57,4,0)</f>
        <v>93550</v>
      </c>
      <c r="AD28" s="1210">
        <f t="shared" si="9"/>
        <v>153045</v>
      </c>
      <c r="AE28" s="1706">
        <f>VLOOKUP(B28,[4]Лист_1!$A$5:$D$59,3,0)</f>
        <v>158848</v>
      </c>
      <c r="AF28" s="1210">
        <f t="shared" si="10"/>
        <v>157072.5</v>
      </c>
      <c r="AG28" s="1706">
        <f>VLOOKUP(B28,[5]Лист_1!$A$3:$C$50,3,0)</f>
        <v>93550</v>
      </c>
      <c r="AH28" s="1210">
        <f t="shared" si="21"/>
        <v>114835.5</v>
      </c>
      <c r="AI28" s="1706">
        <f>VLOOKUP(B28,[29]Лист_1!$A$5:$C$67,3,0)</f>
        <v>319271.99999999994</v>
      </c>
    </row>
    <row r="29" spans="1:35" s="77" customFormat="1">
      <c r="A29" s="77">
        <f t="shared" si="12"/>
        <v>24</v>
      </c>
      <c r="B29" s="77" t="s">
        <v>487</v>
      </c>
      <c r="C29" s="77" t="s">
        <v>481</v>
      </c>
      <c r="D29" s="77">
        <v>5</v>
      </c>
      <c r="E29" s="535">
        <v>143845.83333333334</v>
      </c>
      <c r="F29" s="1210">
        <f t="shared" si="18"/>
        <v>139530.45833333334</v>
      </c>
      <c r="G29" s="535">
        <f>VLOOKUP(B29,[1]Лист_1!$A$1:$G$65536,7,0)</f>
        <v>72325</v>
      </c>
      <c r="H29" s="1211">
        <f t="shared" si="1"/>
        <v>-67205.458333333343</v>
      </c>
      <c r="I29" s="1409">
        <f t="shared" si="2"/>
        <v>139530.45833333334</v>
      </c>
      <c r="J29" s="974">
        <v>120000</v>
      </c>
      <c r="K29" s="978">
        <f t="shared" si="3"/>
        <v>-19530.458333333343</v>
      </c>
      <c r="L29" s="535">
        <v>126525</v>
      </c>
      <c r="M29" s="1410"/>
      <c r="N29" s="1210">
        <f t="shared" si="4"/>
        <v>151038.12500000003</v>
      </c>
      <c r="O29" s="1211">
        <v>90150</v>
      </c>
      <c r="P29" s="1210">
        <f t="shared" si="5"/>
        <v>155353.50000000003</v>
      </c>
      <c r="Q29" s="1358">
        <v>94900</v>
      </c>
      <c r="R29" s="1210">
        <f t="shared" si="19"/>
        <v>78111</v>
      </c>
      <c r="S29" s="1396">
        <f>VLOOKUP(B29,[2]Лист_1!$A$1:$C$65536,3,0)</f>
        <v>53950</v>
      </c>
      <c r="T29" s="1210">
        <f t="shared" si="6"/>
        <v>129763.32625000001</v>
      </c>
      <c r="U29" s="1435">
        <v>56500</v>
      </c>
      <c r="V29" s="1210">
        <f t="shared" si="7"/>
        <v>139530.45833333334</v>
      </c>
      <c r="W29" s="1435">
        <f>VLOOKUP(B29,[3]Лист_1!$A$5:$F$55,4,0)</f>
        <v>126375</v>
      </c>
      <c r="X29" s="1639">
        <f>VLOOKUP(B29,[3]Лист_1!$A$5:$D$54,3,0)</f>
        <v>6318.75</v>
      </c>
      <c r="Y29" s="1210">
        <f t="shared" si="8"/>
        <v>142407.375</v>
      </c>
      <c r="Z29" s="1435">
        <f>VLOOKUP(B29,[6]Лист_1!$C$5:$E$64,3,0)</f>
        <v>127600</v>
      </c>
      <c r="AA29" s="1502"/>
      <c r="AB29" s="1210">
        <f t="shared" si="20"/>
        <v>159668.87500000003</v>
      </c>
      <c r="AC29" s="1396">
        <f>VLOOKUP(B29,[7]Лист_1!$A$3:$E$57,4,0)</f>
        <v>194400</v>
      </c>
      <c r="AD29" s="1210">
        <f t="shared" si="9"/>
        <v>163984.25</v>
      </c>
      <c r="AE29" s="1706">
        <f>VLOOKUP(B29,[4]Лист_1!$A$5:$D$59,3,0)</f>
        <v>148500</v>
      </c>
      <c r="AF29" s="1210">
        <f t="shared" si="10"/>
        <v>168299.625</v>
      </c>
      <c r="AG29" s="1706">
        <f>VLOOKUP(B29,[5]Лист_1!$A$3:$C$50,3,0)</f>
        <v>135900</v>
      </c>
      <c r="AH29" s="1210">
        <f t="shared" si="21"/>
        <v>84620.25</v>
      </c>
      <c r="AI29" s="1706">
        <f>VLOOKUP(B29,[29]Лист_1!$A$5:$C$67,3,0)</f>
        <v>75600</v>
      </c>
    </row>
    <row r="30" spans="1:35" s="77" customFormat="1">
      <c r="A30" s="77">
        <f t="shared" si="12"/>
        <v>25</v>
      </c>
      <c r="B30" s="77" t="s">
        <v>267</v>
      </c>
      <c r="C30" s="77" t="s">
        <v>126</v>
      </c>
      <c r="D30" s="77">
        <v>5</v>
      </c>
      <c r="E30" s="535">
        <v>311316.66666666669</v>
      </c>
      <c r="F30" s="1210">
        <f t="shared" si="18"/>
        <v>301977.16666666669</v>
      </c>
      <c r="G30" s="535">
        <f>VLOOKUP(B30,[1]Лист_1!$A$1:$G$65536,7,0)</f>
        <v>203000</v>
      </c>
      <c r="H30" s="1211">
        <f t="shared" si="1"/>
        <v>-98977.166666666686</v>
      </c>
      <c r="I30" s="1413">
        <f t="shared" si="2"/>
        <v>301977.16666666669</v>
      </c>
      <c r="J30" s="975">
        <v>200000</v>
      </c>
      <c r="K30" s="981">
        <f t="shared" si="3"/>
        <v>-101977.16666666669</v>
      </c>
      <c r="L30" s="535">
        <v>248700</v>
      </c>
      <c r="M30" s="1410"/>
      <c r="N30" s="1210">
        <f t="shared" si="4"/>
        <v>326882.50000000006</v>
      </c>
      <c r="O30" s="1211">
        <v>206300</v>
      </c>
      <c r="P30" s="1210">
        <f t="shared" si="5"/>
        <v>336222.00000000006</v>
      </c>
      <c r="Q30" s="1358">
        <v>348200</v>
      </c>
      <c r="R30" s="1210">
        <f t="shared" si="19"/>
        <v>219240</v>
      </c>
      <c r="S30" s="1396">
        <f>VLOOKUP(B30,[2]Лист_1!$A$1:$C$65536,3,0)</f>
        <v>312500</v>
      </c>
      <c r="T30" s="1210">
        <f t="shared" si="6"/>
        <v>280838.76500000001</v>
      </c>
      <c r="U30" s="1435">
        <v>349300</v>
      </c>
      <c r="V30" s="1210">
        <f t="shared" si="7"/>
        <v>301977.16666666669</v>
      </c>
      <c r="W30" s="1435">
        <f>VLOOKUP(B30,[3]Лист_1!$A$5:$F$55,4,0)</f>
        <v>600600.79999999993</v>
      </c>
      <c r="X30" s="1639">
        <f>VLOOKUP(B30,[3]Лист_1!$A$5:$D$54,3,0)</f>
        <v>30030.040000000037</v>
      </c>
      <c r="Y30" s="1210">
        <f t="shared" si="8"/>
        <v>308203.5</v>
      </c>
      <c r="Z30" s="1435">
        <v>371900</v>
      </c>
      <c r="AA30" s="1502"/>
      <c r="AB30" s="1210">
        <f t="shared" si="20"/>
        <v>345561.50000000006</v>
      </c>
      <c r="AC30" s="1396">
        <f>VLOOKUP(B30,[7]Лист_1!$A$3:$E$57,4,0)</f>
        <v>396400</v>
      </c>
      <c r="AD30" s="1210">
        <f t="shared" si="9"/>
        <v>354901</v>
      </c>
      <c r="AE30" s="1706">
        <v>243904.76</v>
      </c>
      <c r="AF30" s="1210">
        <f t="shared" si="10"/>
        <v>364240.5</v>
      </c>
      <c r="AG30" s="1706">
        <v>244700</v>
      </c>
      <c r="AH30" s="1210">
        <f t="shared" si="21"/>
        <v>237510</v>
      </c>
      <c r="AI30" s="1706">
        <f>VLOOKUP(B30,[29]Лист_1!$A$5:$C$67,3,0)</f>
        <v>169350</v>
      </c>
    </row>
    <row r="31" spans="1:35" s="77" customFormat="1">
      <c r="A31" s="77">
        <f t="shared" si="12"/>
        <v>26</v>
      </c>
      <c r="B31" s="77" t="s">
        <v>303</v>
      </c>
      <c r="C31" s="77" t="s">
        <v>96</v>
      </c>
      <c r="E31" s="535">
        <v>26669.166666666668</v>
      </c>
      <c r="F31" s="1210">
        <f t="shared" si="18"/>
        <v>25869.091666666667</v>
      </c>
      <c r="G31" s="535"/>
      <c r="H31" s="1211">
        <f t="shared" si="1"/>
        <v>-25869.091666666667</v>
      </c>
      <c r="I31" s="1409">
        <f t="shared" si="2"/>
        <v>25869.091666666667</v>
      </c>
      <c r="J31" s="974"/>
      <c r="K31" s="978">
        <f t="shared" si="3"/>
        <v>-25869.091666666667</v>
      </c>
      <c r="L31" s="535">
        <v>27360</v>
      </c>
      <c r="M31" s="1410"/>
      <c r="N31" s="1210">
        <f t="shared" si="4"/>
        <v>28002.625000000004</v>
      </c>
      <c r="O31" s="1211">
        <v>15620</v>
      </c>
      <c r="P31" s="1210">
        <f t="shared" si="5"/>
        <v>28802.700000000004</v>
      </c>
      <c r="Q31" s="1358"/>
      <c r="R31" s="1210">
        <f t="shared" si="19"/>
        <v>0</v>
      </c>
      <c r="S31" s="535"/>
      <c r="T31" s="1210"/>
      <c r="U31" s="1435"/>
      <c r="V31" s="1210">
        <f t="shared" si="7"/>
        <v>25869.091666666667</v>
      </c>
      <c r="W31" s="1435">
        <f>VLOOKUP(B31,[3]Лист_1!$A$5:$F$55,4,0)</f>
        <v>53210</v>
      </c>
      <c r="X31" s="1639">
        <f>VLOOKUP(B31,[3]Лист_1!$A$5:$D$54,3,0)</f>
        <v>2660.5</v>
      </c>
      <c r="Y31" s="1210">
        <f t="shared" si="8"/>
        <v>26402.475000000002</v>
      </c>
      <c r="Z31" s="1435">
        <v>37680</v>
      </c>
      <c r="AA31" s="1502"/>
      <c r="AB31" s="1210">
        <f t="shared" si="20"/>
        <v>29602.775000000005</v>
      </c>
      <c r="AC31" s="1396">
        <v>89290</v>
      </c>
      <c r="AD31" s="1210">
        <f t="shared" si="9"/>
        <v>30402.85</v>
      </c>
      <c r="AE31" s="1706">
        <f>VLOOKUP(B31,[4]Лист_1!$A$5:$D$59,3,0)</f>
        <v>100435</v>
      </c>
      <c r="AF31" s="1210">
        <f t="shared" si="10"/>
        <v>31202.924999999999</v>
      </c>
      <c r="AG31" s="1706">
        <f>VLOOKUP(B31,[5]Лист_1!$A$3:$C$50,3,0)</f>
        <v>76789</v>
      </c>
      <c r="AH31" s="1210">
        <f t="shared" si="21"/>
        <v>0</v>
      </c>
      <c r="AI31" s="1706">
        <f>VLOOKUP(B31,[29]Лист_1!$A$5:$C$67,3,0)</f>
        <v>17746</v>
      </c>
    </row>
    <row r="32" spans="1:35" s="77" customFormat="1">
      <c r="A32" s="77">
        <f t="shared" si="12"/>
        <v>27</v>
      </c>
      <c r="B32" s="77" t="s">
        <v>458</v>
      </c>
      <c r="C32" s="77" t="s">
        <v>459</v>
      </c>
      <c r="E32" s="535">
        <v>300000</v>
      </c>
      <c r="F32" s="1210">
        <f t="shared" si="18"/>
        <v>291000</v>
      </c>
      <c r="G32" s="535">
        <f>VLOOKUP(B32,[1]Лист_1!$A$1:$G$65536,7,0)</f>
        <v>285714.28571428568</v>
      </c>
      <c r="H32" s="1211">
        <f t="shared" si="1"/>
        <v>-5285.714285714319</v>
      </c>
      <c r="I32" s="1409">
        <f t="shared" si="2"/>
        <v>291000</v>
      </c>
      <c r="J32" s="974">
        <v>300000</v>
      </c>
      <c r="K32" s="978">
        <f t="shared" si="3"/>
        <v>9000</v>
      </c>
      <c r="L32" s="535">
        <v>285714.28571428574</v>
      </c>
      <c r="M32" s="1410"/>
      <c r="N32" s="1210">
        <v>300000</v>
      </c>
      <c r="O32" s="1211">
        <v>300000</v>
      </c>
      <c r="P32" s="1210">
        <v>300000</v>
      </c>
      <c r="Q32" s="1358">
        <v>300000</v>
      </c>
      <c r="R32" s="1210">
        <v>300000</v>
      </c>
      <c r="S32" s="1396">
        <f>VLOOKUP(B32,[2]Лист_1!$A$1:$C$65536,3,0)</f>
        <v>300000</v>
      </c>
      <c r="T32" s="1210">
        <f t="shared" si="6"/>
        <v>270630</v>
      </c>
      <c r="U32" s="1435">
        <v>300000</v>
      </c>
      <c r="V32" s="1210">
        <f t="shared" si="7"/>
        <v>291000</v>
      </c>
      <c r="W32" s="1435">
        <f>VLOOKUP(B32,[3]Лист_1!$A$5:$F$55,4,0)</f>
        <v>249600</v>
      </c>
      <c r="X32" s="1639">
        <f>VLOOKUP(B32,[3]Лист_1!$A$5:$D$54,3,0)</f>
        <v>12480</v>
      </c>
      <c r="Y32" s="1210">
        <f t="shared" si="8"/>
        <v>297000</v>
      </c>
      <c r="Z32" s="1435">
        <f>VLOOKUP(B32,[6]Лист_1!$C$5:$E$64,3,0)</f>
        <v>288800</v>
      </c>
      <c r="AA32" s="1502"/>
      <c r="AB32" s="1210">
        <f t="shared" si="20"/>
        <v>333000.00000000006</v>
      </c>
      <c r="AC32" s="1396">
        <f>VLOOKUP(B32,[7]Лист_1!$A$3:$E$57,4,0)</f>
        <v>300000</v>
      </c>
      <c r="AD32" s="1210">
        <f t="shared" si="9"/>
        <v>341999.99999999994</v>
      </c>
      <c r="AE32" s="1706">
        <f>VLOOKUP(B32,[4]Лист_1!$A$5:$D$59,3,0)</f>
        <v>300000</v>
      </c>
      <c r="AF32" s="1210">
        <f t="shared" si="10"/>
        <v>351000</v>
      </c>
      <c r="AG32" s="1706">
        <f>VLOOKUP(B32,[5]Лист_1!$A$3:$C$50,3,0)</f>
        <v>300000</v>
      </c>
      <c r="AH32" s="1210">
        <f t="shared" si="21"/>
        <v>334285.7142857142</v>
      </c>
      <c r="AI32" s="1706">
        <f>VLOOKUP(B32,[29]Лист_1!$A$5:$C$67,3,0)</f>
        <v>300000</v>
      </c>
    </row>
    <row r="33" spans="1:35" s="77" customFormat="1">
      <c r="A33" s="77">
        <f t="shared" si="12"/>
        <v>28</v>
      </c>
      <c r="B33" s="77" t="s">
        <v>291</v>
      </c>
      <c r="C33" s="77" t="s">
        <v>103</v>
      </c>
      <c r="D33" s="77">
        <v>3</v>
      </c>
      <c r="E33" s="535">
        <v>114875</v>
      </c>
      <c r="F33" s="1210">
        <f t="shared" si="18"/>
        <v>111428.75</v>
      </c>
      <c r="G33" s="535">
        <f>VLOOKUP(B33,[1]Лист_1!$A$1:$G$65536,7,0)</f>
        <v>114875</v>
      </c>
      <c r="H33" s="1211">
        <f t="shared" si="1"/>
        <v>3446.25</v>
      </c>
      <c r="I33" s="1409">
        <f t="shared" si="2"/>
        <v>111428.75</v>
      </c>
      <c r="J33" s="974">
        <v>120619</v>
      </c>
      <c r="K33" s="978">
        <f t="shared" si="3"/>
        <v>9190.25</v>
      </c>
      <c r="L33" s="535">
        <v>114875</v>
      </c>
      <c r="M33" s="1410"/>
      <c r="N33" s="1210">
        <f t="shared" si="4"/>
        <v>120618.75</v>
      </c>
      <c r="O33" s="1211">
        <v>119030</v>
      </c>
      <c r="P33" s="1210">
        <f t="shared" si="5"/>
        <v>124065.00000000001</v>
      </c>
      <c r="Q33" s="1358">
        <v>114875</v>
      </c>
      <c r="R33" s="1210">
        <f>G33*$P$1</f>
        <v>124065.00000000001</v>
      </c>
      <c r="S33" s="1396">
        <f>VLOOKUP(B33,[2]Лист_1!$A$1:$C$65536,3,0)</f>
        <v>139025</v>
      </c>
      <c r="T33" s="1210">
        <f t="shared" si="6"/>
        <v>103628.7375</v>
      </c>
      <c r="U33" s="1435">
        <v>135455</v>
      </c>
      <c r="V33" s="1210">
        <f t="shared" si="7"/>
        <v>111428.75</v>
      </c>
      <c r="W33" s="1435">
        <f>VLOOKUP(B33,[3]Лист_1!$A$5:$F$55,4,0)</f>
        <v>116436</v>
      </c>
      <c r="X33" s="1639">
        <f>VLOOKUP(B33,[3]Лист_1!$A$5:$D$54,3,0)</f>
        <v>5821.8000000000029</v>
      </c>
      <c r="Y33" s="1210">
        <f t="shared" si="8"/>
        <v>113726.25</v>
      </c>
      <c r="Z33" s="1435">
        <f>VLOOKUP(B33,[6]Лист_1!$C$5:$E$64,3,0)</f>
        <v>121647</v>
      </c>
      <c r="AA33" s="1502"/>
      <c r="AB33" s="1210">
        <f t="shared" si="20"/>
        <v>127511.25000000001</v>
      </c>
      <c r="AC33" s="1396">
        <v>86175</v>
      </c>
      <c r="AD33" s="1210">
        <f t="shared" si="9"/>
        <v>130957.49999999999</v>
      </c>
      <c r="AE33" s="1706">
        <f>VLOOKUP(B33,[4]Лист_1!$A$5:$D$59,3,0)</f>
        <v>139128</v>
      </c>
      <c r="AF33" s="1210">
        <f t="shared" si="10"/>
        <v>134403.75</v>
      </c>
      <c r="AG33" s="1706">
        <f>VLOOKUP(B33,[5]Лист_1!$A$3:$C$50,3,0)</f>
        <v>84140</v>
      </c>
      <c r="AH33" s="1210">
        <f t="shared" si="21"/>
        <v>134403.75</v>
      </c>
      <c r="AI33" s="1706">
        <f>VLOOKUP(B33,[29]Лист_1!$A$5:$C$67,3,0)</f>
        <v>108090</v>
      </c>
    </row>
    <row r="34" spans="1:35" s="77" customFormat="1">
      <c r="A34" s="77">
        <f t="shared" si="12"/>
        <v>29</v>
      </c>
      <c r="B34" s="984" t="s">
        <v>923</v>
      </c>
      <c r="C34" s="984" t="s">
        <v>445</v>
      </c>
      <c r="D34" s="984">
        <v>3</v>
      </c>
      <c r="E34" s="535">
        <v>94687</v>
      </c>
      <c r="F34" s="1210">
        <f t="shared" si="18"/>
        <v>91846.39</v>
      </c>
      <c r="G34" s="535">
        <f>VLOOKUP(B34,[1]Лист_1!$A$1:$G$65536,7,0)</f>
        <v>82998.038095238095</v>
      </c>
      <c r="H34" s="1211">
        <f t="shared" si="1"/>
        <v>-8848.3519047619047</v>
      </c>
      <c r="I34" s="1409">
        <f t="shared" si="2"/>
        <v>91846.39</v>
      </c>
      <c r="J34" s="974">
        <v>100000</v>
      </c>
      <c r="K34" s="978">
        <f t="shared" si="3"/>
        <v>8153.6100000000006</v>
      </c>
      <c r="L34" s="535">
        <v>234952.43809523809</v>
      </c>
      <c r="M34" s="1415"/>
      <c r="N34" s="1210">
        <f t="shared" si="4"/>
        <v>99421.35</v>
      </c>
      <c r="O34" s="1211">
        <v>112057.50476190475</v>
      </c>
      <c r="P34" s="1210">
        <f t="shared" si="5"/>
        <v>102261.96</v>
      </c>
      <c r="Q34" s="1358"/>
      <c r="R34" s="1210">
        <f>G34*$P$1</f>
        <v>89637.88114285715</v>
      </c>
      <c r="S34" s="1396">
        <f>VLOOKUP(B34,[2]Лист_1!$A$1:$C$65536,3,0)</f>
        <v>286480.59047619044</v>
      </c>
      <c r="T34" s="1210">
        <f t="shared" si="6"/>
        <v>85417.142699999997</v>
      </c>
      <c r="U34" s="1435">
        <v>126472</v>
      </c>
      <c r="V34" s="1210">
        <f t="shared" si="7"/>
        <v>91846.39</v>
      </c>
      <c r="W34" s="1435">
        <f>VLOOKUP(B34,[3]Лист_1!$A$5:$F$55,4,0)</f>
        <v>141601.01904761905</v>
      </c>
      <c r="X34" s="1639">
        <f>VLOOKUP(B34,[3]Лист_1!$A$5:$D$54,3,0)</f>
        <v>7080.0509523809596</v>
      </c>
      <c r="Y34" s="1210">
        <f t="shared" si="8"/>
        <v>93740.13</v>
      </c>
      <c r="Z34" s="1435">
        <f>VLOOKUP(B34,[6]Лист_1!$C$5:$E$64,3,0)</f>
        <v>119417.2</v>
      </c>
      <c r="AA34" s="1502"/>
      <c r="AB34" s="1210">
        <f t="shared" si="20"/>
        <v>105102.57</v>
      </c>
      <c r="AC34" s="1396">
        <f>VLOOKUP(B34,[7]Лист_1!$A$3:$E$57,4,0)</f>
        <v>123892.99999999999</v>
      </c>
      <c r="AD34" s="1210">
        <f t="shared" si="9"/>
        <v>107943.18</v>
      </c>
      <c r="AE34" s="1706">
        <f>VLOOKUP(B34,[4]Лист_1!$A$5:$D$59,3,0)</f>
        <v>114042.61904761904</v>
      </c>
      <c r="AF34" s="1210">
        <f t="shared" si="10"/>
        <v>110783.79</v>
      </c>
      <c r="AG34" s="1706">
        <f>VLOOKUP(B34,[5]Лист_1!$A$3:$C$50,3,0)</f>
        <v>119728.12380952381</v>
      </c>
      <c r="AH34" s="1210">
        <f t="shared" si="21"/>
        <v>97107.704571428563</v>
      </c>
      <c r="AI34" s="1706">
        <f>VLOOKUP(B34,[29]Лист_1!$A$5:$C$67,3,0)</f>
        <v>148190.19999999998</v>
      </c>
    </row>
    <row r="35" spans="1:35" s="77" customFormat="1">
      <c r="A35" s="77">
        <f t="shared" si="12"/>
        <v>30</v>
      </c>
      <c r="B35" s="984" t="s">
        <v>924</v>
      </c>
      <c r="C35" s="77" t="s">
        <v>622</v>
      </c>
      <c r="D35" s="77">
        <v>1</v>
      </c>
      <c r="E35" s="535">
        <v>57398</v>
      </c>
      <c r="F35" s="1210">
        <f t="shared" si="18"/>
        <v>55676.06</v>
      </c>
      <c r="G35" s="535">
        <f>VLOOKUP(B35,[1]Лист_1!$A$1:$G$65536,7,0)</f>
        <v>42565.333333333328</v>
      </c>
      <c r="H35" s="1211">
        <f t="shared" si="1"/>
        <v>-13110.726666666669</v>
      </c>
      <c r="I35" s="1409">
        <f t="shared" si="2"/>
        <v>55676.06</v>
      </c>
      <c r="J35" s="974">
        <v>25246</v>
      </c>
      <c r="K35" s="978">
        <f t="shared" si="3"/>
        <v>-30430.059999999998</v>
      </c>
      <c r="L35" s="535">
        <v>42565.333333333328</v>
      </c>
      <c r="M35" s="1410"/>
      <c r="N35" s="1210">
        <f t="shared" si="4"/>
        <v>60267.9</v>
      </c>
      <c r="O35" s="1211">
        <v>61086</v>
      </c>
      <c r="P35" s="1210">
        <f t="shared" si="5"/>
        <v>61989.840000000004</v>
      </c>
      <c r="Q35" s="1358">
        <v>66610.100000000006</v>
      </c>
      <c r="R35" s="1210">
        <f>E35*$R$1</f>
        <v>57971.98</v>
      </c>
      <c r="S35" s="1396">
        <f>VLOOKUP(B35,[2]Лист_1!$A$1:$C$65536,3,0)</f>
        <v>18521.142857142859</v>
      </c>
      <c r="T35" s="1210">
        <f t="shared" si="6"/>
        <v>51778.735800000002</v>
      </c>
      <c r="U35" s="1435">
        <v>42566.142857142855</v>
      </c>
      <c r="V35" s="1210">
        <f t="shared" si="7"/>
        <v>55676.06</v>
      </c>
      <c r="W35" s="1435">
        <f>VLOOKUP(B35,[3]Лист_1!$A$5:$F$55,4,0)</f>
        <v>24044.190476190477</v>
      </c>
      <c r="X35" s="1639">
        <f>VLOOKUP(B35,[3]Лист_1!$A$5:$D$54,3,0)</f>
        <v>1202.2095238095244</v>
      </c>
      <c r="Y35" s="1210">
        <f t="shared" si="8"/>
        <v>56824.02</v>
      </c>
      <c r="Z35" s="1396"/>
      <c r="AA35" s="1502"/>
      <c r="AB35" s="1210">
        <f t="shared" si="20"/>
        <v>63711.780000000006</v>
      </c>
      <c r="AC35" s="1396">
        <f>VLOOKUP(B35,[7]Лист_1!$A$3:$E$57,4,0)</f>
        <v>45139.26666666667</v>
      </c>
      <c r="AD35" s="1210">
        <f t="shared" si="9"/>
        <v>65433.719999999994</v>
      </c>
      <c r="AE35" s="1706">
        <f>VLOOKUP(B35,[4]Лист_1!$A$5:$D$59,3,0)</f>
        <v>117090.62857142858</v>
      </c>
      <c r="AF35" s="1210">
        <f t="shared" si="10"/>
        <v>67155.659999999989</v>
      </c>
      <c r="AG35" s="1706">
        <f>VLOOKUP(B35,[5]Лист_1!$A$3:$C$50,3,0)</f>
        <v>242472.96190476188</v>
      </c>
      <c r="AH35" s="1210">
        <f t="shared" si="21"/>
        <v>49801.439999999988</v>
      </c>
      <c r="AI35" s="1706">
        <f>VLOOKUP(B35,[29]Лист_1!$A$5:$C$67,3,0)</f>
        <v>119586.43809523809</v>
      </c>
    </row>
    <row r="36" spans="1:35" s="1232" customFormat="1">
      <c r="A36" s="1232">
        <f t="shared" si="12"/>
        <v>31</v>
      </c>
      <c r="B36" s="1232" t="s">
        <v>289</v>
      </c>
      <c r="C36" s="1232" t="s">
        <v>92</v>
      </c>
      <c r="D36" s="1232">
        <v>3</v>
      </c>
      <c r="E36" s="1233">
        <v>297190.23333333334</v>
      </c>
      <c r="F36" s="1234">
        <f t="shared" si="18"/>
        <v>288274.52633333334</v>
      </c>
      <c r="G36" s="1233">
        <f>VLOOKUP(B36,[1]Лист_1!$A$1:$G$65536,7,0)</f>
        <v>111254.66666666666</v>
      </c>
      <c r="H36" s="1366">
        <f t="shared" si="1"/>
        <v>-177019.85966666669</v>
      </c>
      <c r="I36" s="1414">
        <f t="shared" si="2"/>
        <v>288274.52633333334</v>
      </c>
      <c r="J36" s="1235">
        <v>100000</v>
      </c>
      <c r="K36" s="1236">
        <f t="shared" si="3"/>
        <v>-188274.52633333334</v>
      </c>
      <c r="L36" s="1233">
        <v>166070</v>
      </c>
      <c r="M36" s="1412"/>
      <c r="N36" s="1234">
        <f t="shared" si="4"/>
        <v>312049.745</v>
      </c>
      <c r="O36" s="1366"/>
      <c r="P36" s="1234"/>
      <c r="Q36" s="1359"/>
      <c r="R36" s="1234"/>
      <c r="S36" s="1233"/>
      <c r="T36" s="1234"/>
      <c r="U36" s="1466"/>
      <c r="V36" s="1234"/>
      <c r="W36" s="1466"/>
      <c r="X36" s="1650"/>
      <c r="Y36" s="1234"/>
      <c r="Z36" s="1438"/>
      <c r="AA36" s="1651"/>
      <c r="AB36" s="1234"/>
      <c r="AC36" s="1438"/>
      <c r="AD36" s="1234"/>
      <c r="AE36" s="1707"/>
      <c r="AF36" s="1234"/>
      <c r="AG36" s="1763"/>
      <c r="AH36" s="1234"/>
      <c r="AI36" s="1706"/>
    </row>
    <row r="37" spans="1:35" s="77" customFormat="1">
      <c r="A37" s="77">
        <f t="shared" si="12"/>
        <v>32</v>
      </c>
      <c r="B37" s="77" t="s">
        <v>502</v>
      </c>
      <c r="C37" s="77" t="s">
        <v>190</v>
      </c>
      <c r="E37" s="535">
        <v>1616671.6666666667</v>
      </c>
      <c r="F37" s="1210">
        <f t="shared" si="18"/>
        <v>1568171.5166666666</v>
      </c>
      <c r="G37" s="535">
        <f>VLOOKUP(B37,[1]Лист_1!$A$1:$G$65536,7,0)+499525</f>
        <v>1006325</v>
      </c>
      <c r="H37" s="1211">
        <f t="shared" si="1"/>
        <v>-561846.5166666666</v>
      </c>
      <c r="I37" s="1817">
        <f t="shared" si="2"/>
        <v>1568171.5166666666</v>
      </c>
      <c r="J37" s="975"/>
      <c r="K37" s="981">
        <v>-208172</v>
      </c>
      <c r="L37" s="535"/>
      <c r="M37" s="1410"/>
      <c r="N37" s="1210">
        <f t="shared" si="4"/>
        <v>1697505.2500000002</v>
      </c>
      <c r="O37" s="1400"/>
      <c r="P37" s="1210">
        <f t="shared" si="5"/>
        <v>1746005.4000000001</v>
      </c>
      <c r="Q37" s="1358"/>
      <c r="R37" s="1210">
        <f t="shared" ref="R37:R71" si="22">E37*$R$1</f>
        <v>1632838.3833333335</v>
      </c>
      <c r="S37" s="535"/>
      <c r="T37" s="1210">
        <f t="shared" si="6"/>
        <v>1458399.5105000001</v>
      </c>
      <c r="U37" s="1396"/>
      <c r="V37" s="1210">
        <f t="shared" si="7"/>
        <v>1568171.5166666666</v>
      </c>
      <c r="W37" s="1435"/>
      <c r="X37" s="1643"/>
      <c r="Y37" s="1210">
        <f t="shared" si="8"/>
        <v>1600504.95</v>
      </c>
      <c r="Z37" s="1396"/>
      <c r="AA37" s="1503"/>
      <c r="AB37" s="1210">
        <f>E37*$AB$1</f>
        <v>1794505.5500000003</v>
      </c>
      <c r="AC37" s="1396"/>
      <c r="AD37" s="1210">
        <f t="shared" si="9"/>
        <v>1843005.7</v>
      </c>
      <c r="AE37" s="1706"/>
      <c r="AF37" s="1210">
        <f t="shared" si="10"/>
        <v>1891505.8499999999</v>
      </c>
      <c r="AG37" s="1762"/>
      <c r="AH37" s="1210">
        <f t="shared" ref="AH37" si="23">G37*$AF$1</f>
        <v>1177400.25</v>
      </c>
      <c r="AI37" s="1706"/>
    </row>
    <row r="38" spans="1:35" s="77" customFormat="1">
      <c r="A38" s="77">
        <f t="shared" si="12"/>
        <v>33</v>
      </c>
      <c r="B38" s="77" t="s">
        <v>502</v>
      </c>
      <c r="C38" s="984" t="s">
        <v>951</v>
      </c>
      <c r="D38" s="77">
        <v>5</v>
      </c>
      <c r="E38" s="535"/>
      <c r="F38" s="1210"/>
      <c r="G38" s="535"/>
      <c r="H38" s="1211"/>
      <c r="I38" s="1817"/>
      <c r="J38" s="975">
        <v>120000</v>
      </c>
      <c r="K38" s="981"/>
      <c r="L38" s="535"/>
      <c r="M38" s="1410"/>
      <c r="N38" s="1210"/>
      <c r="O38" s="1211">
        <v>277050</v>
      </c>
      <c r="P38" s="1210"/>
      <c r="Q38" s="1358">
        <v>82000</v>
      </c>
      <c r="R38" s="1210">
        <f t="shared" si="22"/>
        <v>0</v>
      </c>
      <c r="S38" s="1396">
        <v>1150600</v>
      </c>
      <c r="T38" s="1210">
        <f t="shared" si="6"/>
        <v>0</v>
      </c>
      <c r="U38" s="1435">
        <v>248500</v>
      </c>
      <c r="V38" s="1210">
        <f t="shared" si="7"/>
        <v>0</v>
      </c>
      <c r="W38" s="1435">
        <f>[3]Лист_1!$D$35</f>
        <v>160500</v>
      </c>
      <c r="X38" s="1639">
        <v>8025</v>
      </c>
      <c r="Y38" s="1210"/>
      <c r="Z38" s="1435">
        <v>177050</v>
      </c>
      <c r="AA38" s="1502"/>
      <c r="AB38" s="1210"/>
      <c r="AC38" s="1396">
        <v>158655</v>
      </c>
      <c r="AD38" s="1210">
        <f t="shared" si="9"/>
        <v>0</v>
      </c>
      <c r="AE38" s="1706">
        <v>128350</v>
      </c>
      <c r="AF38" s="1210"/>
      <c r="AG38" s="1706">
        <v>215600</v>
      </c>
      <c r="AH38" s="1210"/>
      <c r="AI38" s="1706">
        <v>484280</v>
      </c>
    </row>
    <row r="39" spans="1:35" s="77" customFormat="1">
      <c r="A39" s="77">
        <f t="shared" si="12"/>
        <v>34</v>
      </c>
      <c r="B39" s="77" t="s">
        <v>553</v>
      </c>
      <c r="C39" s="984" t="s">
        <v>952</v>
      </c>
      <c r="D39" s="77">
        <v>1</v>
      </c>
      <c r="E39" s="535"/>
      <c r="F39" s="1210"/>
      <c r="G39" s="535"/>
      <c r="H39" s="1211"/>
      <c r="I39" s="1817"/>
      <c r="J39" s="975">
        <v>500000</v>
      </c>
      <c r="K39" s="981"/>
      <c r="L39" s="535">
        <v>571650</v>
      </c>
      <c r="M39" s="1410"/>
      <c r="N39" s="1210"/>
      <c r="O39" s="1211">
        <v>606100</v>
      </c>
      <c r="P39" s="1210"/>
      <c r="Q39" s="1793">
        <v>1155200</v>
      </c>
      <c r="R39" s="1210">
        <f t="shared" si="22"/>
        <v>0</v>
      </c>
      <c r="S39" s="1396">
        <v>762665</v>
      </c>
      <c r="T39" s="1210">
        <f t="shared" si="6"/>
        <v>0</v>
      </c>
      <c r="U39" s="1435">
        <v>562125</v>
      </c>
      <c r="V39" s="1210">
        <f t="shared" si="7"/>
        <v>0</v>
      </c>
      <c r="W39" s="1435">
        <v>534650</v>
      </c>
      <c r="X39" s="1639"/>
      <c r="Y39" s="1210"/>
      <c r="Z39" s="1396">
        <v>531200</v>
      </c>
      <c r="AA39" s="1502"/>
      <c r="AB39" s="1210"/>
      <c r="AC39" s="1396">
        <v>701025</v>
      </c>
      <c r="AD39" s="1210">
        <f t="shared" si="9"/>
        <v>0</v>
      </c>
      <c r="AE39" s="1706">
        <f>126000+826900</f>
        <v>952900</v>
      </c>
      <c r="AF39" s="1210"/>
      <c r="AG39" s="1706">
        <v>843475</v>
      </c>
      <c r="AH39" s="1210"/>
      <c r="AI39" s="1706">
        <f>VLOOKUP(B39,[29]Лист_1!$A$5:$C$67,3,0)+1200000</f>
        <v>2150970</v>
      </c>
    </row>
    <row r="40" spans="1:35" s="77" customFormat="1">
      <c r="A40" s="77">
        <f t="shared" si="12"/>
        <v>35</v>
      </c>
      <c r="B40" s="77" t="str">
        <f>B37</f>
        <v>МАРС ООО</v>
      </c>
      <c r="C40" s="984" t="s">
        <v>953</v>
      </c>
      <c r="D40" s="77">
        <v>3</v>
      </c>
      <c r="E40" s="535"/>
      <c r="F40" s="1210"/>
      <c r="G40" s="535"/>
      <c r="H40" s="1211"/>
      <c r="I40" s="1817"/>
      <c r="J40" s="975">
        <v>540000</v>
      </c>
      <c r="K40" s="981"/>
      <c r="L40" s="535">
        <v>563246.25</v>
      </c>
      <c r="M40" s="1410"/>
      <c r="N40" s="1210"/>
      <c r="O40" s="1211">
        <v>638975</v>
      </c>
      <c r="P40" s="1210"/>
      <c r="Q40" s="1793">
        <v>476189</v>
      </c>
      <c r="R40" s="1210">
        <f t="shared" si="22"/>
        <v>0</v>
      </c>
      <c r="S40" s="1396">
        <v>508975</v>
      </c>
      <c r="T40" s="1210">
        <f t="shared" si="6"/>
        <v>0</v>
      </c>
      <c r="U40" s="1435">
        <v>670351</v>
      </c>
      <c r="V40" s="1210">
        <f t="shared" si="7"/>
        <v>0</v>
      </c>
      <c r="W40" s="1435">
        <v>635002.5</v>
      </c>
      <c r="X40" s="1639">
        <v>31750.17</v>
      </c>
      <c r="Y40" s="1210"/>
      <c r="Z40" s="1435">
        <v>454000</v>
      </c>
      <c r="AA40" s="1502"/>
      <c r="AB40" s="1210"/>
      <c r="AC40" s="1396">
        <v>591550.06999999995</v>
      </c>
      <c r="AD40" s="1210">
        <f t="shared" si="9"/>
        <v>0</v>
      </c>
      <c r="AE40" s="1706">
        <v>554737.54</v>
      </c>
      <c r="AF40" s="1210"/>
      <c r="AG40" s="1706">
        <v>525887.54</v>
      </c>
      <c r="AH40" s="1210"/>
      <c r="AI40" s="1706">
        <v>492850</v>
      </c>
    </row>
    <row r="41" spans="1:35" s="77" customFormat="1">
      <c r="A41" s="77">
        <f t="shared" si="12"/>
        <v>36</v>
      </c>
      <c r="B41" s="77" t="str">
        <f>B38</f>
        <v>МАРС ООО</v>
      </c>
      <c r="C41" s="984" t="s">
        <v>954</v>
      </c>
      <c r="D41" s="77">
        <v>3</v>
      </c>
      <c r="E41" s="535"/>
      <c r="F41" s="1210"/>
      <c r="G41" s="535"/>
      <c r="H41" s="1211"/>
      <c r="I41" s="1416"/>
      <c r="J41" s="975">
        <v>200000</v>
      </c>
      <c r="K41" s="981"/>
      <c r="L41" s="535"/>
      <c r="M41" s="1410"/>
      <c r="N41" s="1210"/>
      <c r="O41" s="1211"/>
      <c r="P41" s="1210"/>
      <c r="Q41" s="1358">
        <v>327500</v>
      </c>
      <c r="R41" s="1210">
        <f t="shared" si="22"/>
        <v>0</v>
      </c>
      <c r="S41" s="535"/>
      <c r="T41" s="1210">
        <f t="shared" si="6"/>
        <v>0</v>
      </c>
      <c r="U41" s="1435">
        <v>606464.03</v>
      </c>
      <c r="V41" s="1210">
        <f t="shared" si="7"/>
        <v>0</v>
      </c>
      <c r="W41" s="1435">
        <f>[3]Лист_1!$D$34</f>
        <v>273117.52380952385</v>
      </c>
      <c r="X41" s="1639">
        <v>13655.9</v>
      </c>
      <c r="Y41" s="1210"/>
      <c r="Z41" s="1435">
        <v>148165.01999999999</v>
      </c>
      <c r="AA41" s="1502"/>
      <c r="AB41" s="1210"/>
      <c r="AC41" s="1396">
        <v>216368</v>
      </c>
      <c r="AD41" s="1210">
        <f t="shared" si="9"/>
        <v>0</v>
      </c>
      <c r="AE41" s="1706">
        <v>210318</v>
      </c>
      <c r="AF41" s="1210"/>
      <c r="AG41" s="1706">
        <v>762935</v>
      </c>
      <c r="AH41" s="1210"/>
      <c r="AI41" s="1706">
        <v>671290</v>
      </c>
    </row>
    <row r="42" spans="1:35" s="1232" customFormat="1">
      <c r="A42" s="1232">
        <f t="shared" si="12"/>
        <v>37</v>
      </c>
      <c r="B42" s="1232" t="s">
        <v>271</v>
      </c>
      <c r="C42" s="1232" t="s">
        <v>128</v>
      </c>
      <c r="E42" s="1233">
        <v>126618.66666666667</v>
      </c>
      <c r="F42" s="1234">
        <f t="shared" si="18"/>
        <v>122820.10666666667</v>
      </c>
      <c r="G42" s="1233">
        <f>VLOOKUP(B42,[1]Лист_1!$A$1:$G$65536,7,0)</f>
        <v>49982</v>
      </c>
      <c r="H42" s="1366">
        <f t="shared" si="1"/>
        <v>-72838.106666666674</v>
      </c>
      <c r="I42" s="1411"/>
      <c r="J42" s="1237"/>
      <c r="K42" s="1238"/>
      <c r="L42" s="1233"/>
      <c r="M42" s="1412"/>
      <c r="N42" s="1234">
        <f t="shared" si="4"/>
        <v>132949.6</v>
      </c>
      <c r="O42" s="1366">
        <v>26875.999999999996</v>
      </c>
      <c r="P42" s="1234">
        <f t="shared" si="5"/>
        <v>136748.16</v>
      </c>
      <c r="Q42" s="1359">
        <v>44276</v>
      </c>
      <c r="R42" s="1234">
        <f t="shared" si="22"/>
        <v>127884.85333333333</v>
      </c>
      <c r="S42" s="1233"/>
      <c r="T42" s="1234">
        <f t="shared" si="6"/>
        <v>0</v>
      </c>
      <c r="U42" s="1438">
        <v>26875.999999999996</v>
      </c>
      <c r="V42" s="1234">
        <f t="shared" si="7"/>
        <v>122820.10666666667</v>
      </c>
      <c r="W42" s="1466"/>
      <c r="X42" s="1652"/>
      <c r="Y42" s="1234">
        <f t="shared" si="8"/>
        <v>125352.48000000001</v>
      </c>
      <c r="Z42" s="1466">
        <f>VLOOKUP(B42,[6]Лист_1!$C$5:$E$64,3,0)</f>
        <v>73087.999999999985</v>
      </c>
      <c r="AA42" s="1653"/>
      <c r="AB42" s="1234">
        <f>E42*$AB$1</f>
        <v>140546.72000000003</v>
      </c>
      <c r="AC42" s="1438">
        <f>VLOOKUP(B42,[7]Лист_1!$A$3:$E$57,4,0)</f>
        <v>73087.999999999985</v>
      </c>
      <c r="AD42" s="1234">
        <f t="shared" si="9"/>
        <v>144345.28</v>
      </c>
      <c r="AE42" s="1707">
        <f>VLOOKUP(B42,[4]Лист_1!$A$5:$D$59,3,0)</f>
        <v>73182</v>
      </c>
      <c r="AF42" s="1234">
        <f t="shared" si="10"/>
        <v>148143.84</v>
      </c>
      <c r="AG42" s="1763"/>
      <c r="AH42" s="1234">
        <f t="shared" ref="AH42" si="24">G42*$AF$1</f>
        <v>58478.939999999995</v>
      </c>
      <c r="AI42" s="1706">
        <f>VLOOKUP(B42,[29]Лист_1!$A$5:$C$67,3,0)</f>
        <v>3480</v>
      </c>
    </row>
    <row r="43" spans="1:35" s="1232" customFormat="1">
      <c r="A43" s="1232">
        <f t="shared" si="12"/>
        <v>38</v>
      </c>
      <c r="B43" s="1232" t="s">
        <v>599</v>
      </c>
      <c r="E43" s="1233">
        <v>605075</v>
      </c>
      <c r="F43" s="1234">
        <f t="shared" si="18"/>
        <v>586922.75</v>
      </c>
      <c r="G43" s="1233">
        <v>400000</v>
      </c>
      <c r="H43" s="1366">
        <f t="shared" si="1"/>
        <v>-186922.75</v>
      </c>
      <c r="I43" s="1411">
        <f t="shared" si="2"/>
        <v>586922.75</v>
      </c>
      <c r="J43" s="1237">
        <v>533000</v>
      </c>
      <c r="K43" s="1238">
        <f t="shared" si="3"/>
        <v>-53922.75</v>
      </c>
      <c r="L43" s="1233">
        <v>533000</v>
      </c>
      <c r="M43" s="1412"/>
      <c r="N43" s="1234">
        <f t="shared" si="4"/>
        <v>635328.75</v>
      </c>
      <c r="O43" s="1366">
        <v>456900</v>
      </c>
      <c r="P43" s="1234">
        <f t="shared" si="5"/>
        <v>653481</v>
      </c>
      <c r="Q43" s="1359">
        <v>400000</v>
      </c>
      <c r="R43" s="1234">
        <f t="shared" si="22"/>
        <v>611125.75</v>
      </c>
      <c r="S43" s="1438">
        <v>600000</v>
      </c>
      <c r="T43" s="1234">
        <f t="shared" si="6"/>
        <v>545838.15749999997</v>
      </c>
      <c r="U43" s="1438">
        <v>49900</v>
      </c>
      <c r="V43" s="1234">
        <f t="shared" si="7"/>
        <v>586922.75</v>
      </c>
      <c r="W43" s="1466">
        <v>350000</v>
      </c>
      <c r="X43" s="1652">
        <v>17500</v>
      </c>
      <c r="Y43" s="1234">
        <f t="shared" si="8"/>
        <v>599024.25</v>
      </c>
      <c r="Z43" s="1466"/>
      <c r="AA43" s="1653"/>
      <c r="AB43" s="1234"/>
      <c r="AC43" s="1438"/>
      <c r="AD43" s="1234"/>
      <c r="AE43" s="1707"/>
      <c r="AF43" s="1234"/>
      <c r="AG43" s="1763"/>
      <c r="AH43" s="1234"/>
      <c r="AI43" s="1706"/>
    </row>
    <row r="44" spans="1:35" s="77" customFormat="1">
      <c r="A44" s="77">
        <f t="shared" si="12"/>
        <v>39</v>
      </c>
      <c r="B44" s="984" t="s">
        <v>561</v>
      </c>
      <c r="D44" s="77">
        <v>3</v>
      </c>
      <c r="E44" s="535"/>
      <c r="F44" s="1210"/>
      <c r="G44" s="535"/>
      <c r="H44" s="1211"/>
      <c r="I44" s="1409"/>
      <c r="J44" s="974">
        <v>127400</v>
      </c>
      <c r="K44" s="978">
        <f t="shared" si="3"/>
        <v>127400</v>
      </c>
      <c r="L44" s="535"/>
      <c r="M44" s="1410"/>
      <c r="N44" s="1210"/>
      <c r="O44" s="1211"/>
      <c r="P44" s="1210">
        <f t="shared" si="5"/>
        <v>0</v>
      </c>
      <c r="Q44" s="1358"/>
      <c r="R44" s="1210"/>
      <c r="S44" s="535"/>
      <c r="T44" s="1210">
        <f t="shared" si="6"/>
        <v>0</v>
      </c>
      <c r="U44" s="1396"/>
      <c r="V44" s="1210">
        <f t="shared" si="7"/>
        <v>0</v>
      </c>
      <c r="W44" s="1435"/>
      <c r="X44" s="1639"/>
      <c r="Y44" s="1210">
        <f t="shared" si="8"/>
        <v>0</v>
      </c>
      <c r="Z44" s="1396"/>
      <c r="AA44" s="1502"/>
      <c r="AB44" s="1210"/>
      <c r="AC44" s="1396"/>
      <c r="AD44" s="1210">
        <f t="shared" si="9"/>
        <v>0</v>
      </c>
      <c r="AE44" s="1706"/>
      <c r="AF44" s="1210"/>
      <c r="AG44" s="1762"/>
      <c r="AH44" s="1210"/>
      <c r="AI44" s="1706"/>
    </row>
    <row r="45" spans="1:35" s="1232" customFormat="1">
      <c r="A45" s="1232">
        <f t="shared" si="12"/>
        <v>40</v>
      </c>
      <c r="B45" s="1232" t="s">
        <v>262</v>
      </c>
      <c r="C45" s="1232" t="s">
        <v>121</v>
      </c>
      <c r="E45" s="1233">
        <v>9033.3333333333339</v>
      </c>
      <c r="F45" s="1234">
        <f t="shared" si="18"/>
        <v>8762.3333333333339</v>
      </c>
      <c r="G45" s="1233"/>
      <c r="H45" s="1366">
        <f t="shared" si="1"/>
        <v>-8762.3333333333339</v>
      </c>
      <c r="I45" s="1411">
        <f t="shared" si="2"/>
        <v>8762.3333333333339</v>
      </c>
      <c r="J45" s="1237"/>
      <c r="K45" s="1238">
        <f t="shared" si="3"/>
        <v>-8762.3333333333339</v>
      </c>
      <c r="L45" s="1233"/>
      <c r="M45" s="1412"/>
      <c r="N45" s="1234">
        <f t="shared" si="4"/>
        <v>9485.0000000000018</v>
      </c>
      <c r="O45" s="1366"/>
      <c r="P45" s="1234">
        <f t="shared" si="5"/>
        <v>9756.0000000000018</v>
      </c>
      <c r="Q45" s="1359"/>
      <c r="R45" s="1234"/>
      <c r="S45" s="1233"/>
      <c r="T45" s="1234"/>
      <c r="U45" s="1438"/>
      <c r="V45" s="1234">
        <f t="shared" si="7"/>
        <v>8762.3333333333339</v>
      </c>
      <c r="W45" s="1466"/>
      <c r="X45" s="1652"/>
      <c r="Y45" s="1234"/>
      <c r="Z45" s="1438"/>
      <c r="AA45" s="1653"/>
      <c r="AB45" s="1234"/>
      <c r="AC45" s="1438"/>
      <c r="AD45" s="1234"/>
      <c r="AE45" s="1707"/>
      <c r="AF45" s="1234"/>
      <c r="AG45" s="1763"/>
      <c r="AH45" s="1234"/>
      <c r="AI45" s="1706"/>
    </row>
    <row r="46" spans="1:35" s="1232" customFormat="1">
      <c r="A46" s="1232">
        <f t="shared" si="12"/>
        <v>41</v>
      </c>
      <c r="B46" s="1232" t="s">
        <v>549</v>
      </c>
      <c r="C46" s="1232" t="s">
        <v>102</v>
      </c>
      <c r="D46" s="1232">
        <v>3</v>
      </c>
      <c r="E46" s="1233">
        <v>53491.666666666664</v>
      </c>
      <c r="F46" s="1234">
        <f t="shared" si="18"/>
        <v>51886.916666666664</v>
      </c>
      <c r="G46" s="1233">
        <f>VLOOKUP(B46,[1]Лист_1!$A$1:$G$65536,7,0)</f>
        <v>68750</v>
      </c>
      <c r="H46" s="1366">
        <f t="shared" si="1"/>
        <v>16863.083333333336</v>
      </c>
      <c r="I46" s="1411">
        <f t="shared" si="2"/>
        <v>51886.916666666664</v>
      </c>
      <c r="J46" s="1237">
        <v>59050</v>
      </c>
      <c r="K46" s="1238">
        <f t="shared" si="3"/>
        <v>7163.0833333333358</v>
      </c>
      <c r="L46" s="1233">
        <v>72250</v>
      </c>
      <c r="M46" s="1412"/>
      <c r="N46" s="1234">
        <f t="shared" si="4"/>
        <v>56166.25</v>
      </c>
      <c r="O46" s="1366">
        <v>82700</v>
      </c>
      <c r="P46" s="1234">
        <f t="shared" si="5"/>
        <v>57771</v>
      </c>
      <c r="Q46" s="1359">
        <v>69850</v>
      </c>
      <c r="R46" s="1234"/>
      <c r="S46" s="1233"/>
      <c r="T46" s="1234"/>
      <c r="U46" s="1438"/>
      <c r="V46" s="1234">
        <f t="shared" si="7"/>
        <v>51886.916666666664</v>
      </c>
      <c r="W46" s="1466"/>
      <c r="X46" s="1652"/>
      <c r="Y46" s="1234"/>
      <c r="Z46" s="1438"/>
      <c r="AA46" s="1653"/>
      <c r="AB46" s="1234"/>
      <c r="AC46" s="1438"/>
      <c r="AD46" s="1234"/>
      <c r="AE46" s="1707"/>
      <c r="AF46" s="1234"/>
      <c r="AG46" s="1763"/>
      <c r="AH46" s="1234"/>
      <c r="AI46" s="1706"/>
    </row>
    <row r="47" spans="1:35" s="77" customFormat="1">
      <c r="A47" s="77">
        <f t="shared" si="12"/>
        <v>42</v>
      </c>
      <c r="B47" s="984" t="s">
        <v>925</v>
      </c>
      <c r="C47" s="77" t="s">
        <v>111</v>
      </c>
      <c r="D47" s="77">
        <v>5</v>
      </c>
      <c r="E47" s="535">
        <v>47886</v>
      </c>
      <c r="F47" s="1210">
        <f t="shared" si="18"/>
        <v>46449.42</v>
      </c>
      <c r="G47" s="535">
        <f>VLOOKUP(B47,[1]Лист_1!$A$1:$G$65536,7,0)</f>
        <v>21440</v>
      </c>
      <c r="H47" s="1211">
        <f t="shared" si="1"/>
        <v>-25009.42</v>
      </c>
      <c r="I47" s="1409">
        <f t="shared" si="2"/>
        <v>46449.42</v>
      </c>
      <c r="J47" s="974">
        <v>35000</v>
      </c>
      <c r="K47" s="978">
        <f t="shared" si="3"/>
        <v>-11449.419999999998</v>
      </c>
      <c r="L47" s="535">
        <v>65840</v>
      </c>
      <c r="M47" s="1410"/>
      <c r="N47" s="1210">
        <f t="shared" si="4"/>
        <v>50280.3</v>
      </c>
      <c r="O47" s="1211">
        <v>101240</v>
      </c>
      <c r="P47" s="1210">
        <f t="shared" si="5"/>
        <v>51716.880000000005</v>
      </c>
      <c r="Q47" s="1358">
        <v>39100</v>
      </c>
      <c r="R47" s="1210">
        <f t="shared" si="22"/>
        <v>48364.86</v>
      </c>
      <c r="S47" s="1396">
        <f>VLOOKUP(B47,[2]Лист_1!$A$1:$C$65536,3,0)</f>
        <v>81920</v>
      </c>
      <c r="T47" s="1210">
        <f t="shared" si="6"/>
        <v>43197.960599999999</v>
      </c>
      <c r="U47" s="1396">
        <v>44760</v>
      </c>
      <c r="V47" s="1210">
        <f t="shared" si="7"/>
        <v>46449.42</v>
      </c>
      <c r="W47" s="1435">
        <f>[3]Лист_1!$D$18</f>
        <v>13600</v>
      </c>
      <c r="X47" s="1639">
        <v>680</v>
      </c>
      <c r="Y47" s="1210">
        <f t="shared" si="8"/>
        <v>47407.14</v>
      </c>
      <c r="Z47" s="1435">
        <v>25500</v>
      </c>
      <c r="AA47" s="1502"/>
      <c r="AB47" s="1210">
        <f>E47*$AB$1</f>
        <v>53153.460000000006</v>
      </c>
      <c r="AC47" s="1396"/>
      <c r="AD47" s="1210">
        <f t="shared" si="9"/>
        <v>54590.039999999994</v>
      </c>
      <c r="AE47" s="1706"/>
      <c r="AF47" s="1210">
        <f t="shared" si="10"/>
        <v>56026.619999999995</v>
      </c>
      <c r="AG47" s="1762"/>
      <c r="AH47" s="1210">
        <f t="shared" ref="AH47" si="25">G47*$AF$1</f>
        <v>25084.799999999999</v>
      </c>
      <c r="AI47" s="1706"/>
    </row>
    <row r="48" spans="1:35" s="1232" customFormat="1">
      <c r="A48" s="1232">
        <f t="shared" si="12"/>
        <v>43</v>
      </c>
      <c r="B48" s="1232" t="s">
        <v>306</v>
      </c>
      <c r="C48" s="1232" t="s">
        <v>76</v>
      </c>
      <c r="E48" s="1233">
        <v>78360</v>
      </c>
      <c r="F48" s="1234">
        <f t="shared" si="18"/>
        <v>76009.2</v>
      </c>
      <c r="G48" s="1233"/>
      <c r="H48" s="1366">
        <f t="shared" si="1"/>
        <v>-76009.2</v>
      </c>
      <c r="I48" s="1414">
        <f t="shared" si="2"/>
        <v>76009.2</v>
      </c>
      <c r="J48" s="1235"/>
      <c r="K48" s="1236">
        <f t="shared" si="3"/>
        <v>-76009.2</v>
      </c>
      <c r="L48" s="1233"/>
      <c r="M48" s="1412"/>
      <c r="N48" s="1234">
        <f t="shared" si="4"/>
        <v>82278</v>
      </c>
      <c r="O48" s="1366"/>
      <c r="P48" s="1234">
        <f t="shared" si="5"/>
        <v>84628.800000000003</v>
      </c>
      <c r="Q48" s="1359"/>
      <c r="R48" s="1234"/>
      <c r="S48" s="1233"/>
      <c r="T48" s="1234"/>
      <c r="U48" s="1438"/>
      <c r="V48" s="1234">
        <f t="shared" si="7"/>
        <v>76009.2</v>
      </c>
      <c r="W48" s="1466"/>
      <c r="X48" s="1650"/>
      <c r="Y48" s="1234"/>
      <c r="Z48" s="1438"/>
      <c r="AA48" s="1651"/>
      <c r="AB48" s="1234"/>
      <c r="AC48" s="1438"/>
      <c r="AD48" s="1234"/>
      <c r="AE48" s="1707"/>
      <c r="AF48" s="1234"/>
      <c r="AG48" s="1763"/>
      <c r="AH48" s="1234"/>
      <c r="AI48" s="1706"/>
    </row>
    <row r="49" spans="1:35" s="1232" customFormat="1">
      <c r="A49" s="1232">
        <f t="shared" si="12"/>
        <v>44</v>
      </c>
      <c r="B49" s="1232" t="s">
        <v>285</v>
      </c>
      <c r="C49" s="1232" t="s">
        <v>143</v>
      </c>
      <c r="D49" s="1232">
        <v>3</v>
      </c>
      <c r="E49" s="1233">
        <v>130983.33333333333</v>
      </c>
      <c r="F49" s="1234">
        <f t="shared" si="18"/>
        <v>127053.83333333333</v>
      </c>
      <c r="G49" s="1233">
        <f>VLOOKUP(B49,[1]Лист_1!$A$1:$G$65536,7,0)</f>
        <v>71300</v>
      </c>
      <c r="H49" s="1366">
        <f t="shared" si="1"/>
        <v>-55753.833333333328</v>
      </c>
      <c r="I49" s="1411">
        <f t="shared" si="2"/>
        <v>127053.83333333333</v>
      </c>
      <c r="J49" s="1237">
        <v>91600</v>
      </c>
      <c r="K49" s="1238">
        <f t="shared" si="3"/>
        <v>-35453.833333333328</v>
      </c>
      <c r="L49" s="1233">
        <v>119000</v>
      </c>
      <c r="M49" s="1412"/>
      <c r="N49" s="1234">
        <f t="shared" si="4"/>
        <v>137532.5</v>
      </c>
      <c r="O49" s="1366"/>
      <c r="P49" s="1234">
        <f t="shared" si="5"/>
        <v>141462</v>
      </c>
      <c r="Q49" s="1359"/>
      <c r="R49" s="1234">
        <f t="shared" si="22"/>
        <v>132293.16666666666</v>
      </c>
      <c r="S49" s="1233"/>
      <c r="T49" s="1234"/>
      <c r="U49" s="1438"/>
      <c r="V49" s="1234">
        <f t="shared" si="7"/>
        <v>127053.83333333333</v>
      </c>
      <c r="W49" s="1466"/>
      <c r="X49" s="1650"/>
      <c r="Y49" s="1234"/>
      <c r="Z49" s="1438"/>
      <c r="AA49" s="1651"/>
      <c r="AB49" s="1234"/>
      <c r="AC49" s="1438"/>
      <c r="AD49" s="1234"/>
      <c r="AE49" s="1707"/>
      <c r="AF49" s="1234"/>
      <c r="AG49" s="1763"/>
      <c r="AH49" s="1234"/>
      <c r="AI49" s="1706"/>
    </row>
    <row r="50" spans="1:35" s="77" customFormat="1">
      <c r="A50" s="77">
        <f t="shared" si="12"/>
        <v>45</v>
      </c>
      <c r="B50" s="77" t="s">
        <v>1032</v>
      </c>
      <c r="C50" s="77" t="s">
        <v>143</v>
      </c>
      <c r="E50" s="535"/>
      <c r="F50" s="1210"/>
      <c r="G50" s="535"/>
      <c r="H50" s="1211"/>
      <c r="I50" s="1409"/>
      <c r="J50" s="974"/>
      <c r="K50" s="978"/>
      <c r="L50" s="535"/>
      <c r="M50" s="1410"/>
      <c r="N50" s="1210"/>
      <c r="O50" s="1211">
        <v>119150</v>
      </c>
      <c r="P50" s="1210"/>
      <c r="Q50" s="1358">
        <v>198350</v>
      </c>
      <c r="R50" s="1210">
        <f t="shared" si="22"/>
        <v>0</v>
      </c>
      <c r="S50" s="1396">
        <f>VLOOKUP(B50,[2]Лист_1!$A$1:$C$65536,3,0)</f>
        <v>236200</v>
      </c>
      <c r="T50" s="1210">
        <v>128324</v>
      </c>
      <c r="U50" s="1396">
        <v>150550</v>
      </c>
      <c r="V50" s="1210"/>
      <c r="W50" s="1435"/>
      <c r="X50" s="1643"/>
      <c r="Y50" s="1210">
        <f t="shared" si="8"/>
        <v>0</v>
      </c>
      <c r="Z50" s="1396"/>
      <c r="AA50" s="1503"/>
      <c r="AB50" s="1210"/>
      <c r="AC50" s="1396">
        <f>VLOOKUP(B50,[7]Лист_1!$A$3:$E$57,4,0)</f>
        <v>208700</v>
      </c>
      <c r="AD50" s="1210">
        <f t="shared" si="9"/>
        <v>0</v>
      </c>
      <c r="AE50" s="1706"/>
      <c r="AF50" s="1210"/>
      <c r="AG50" s="1762"/>
      <c r="AH50" s="1210"/>
      <c r="AI50" s="1706"/>
    </row>
    <row r="51" spans="1:35" s="77" customFormat="1">
      <c r="A51" s="77">
        <f>A49+1</f>
        <v>45</v>
      </c>
      <c r="B51" s="77" t="s">
        <v>307</v>
      </c>
      <c r="C51" s="77" t="s">
        <v>58</v>
      </c>
      <c r="D51" s="77">
        <v>5</v>
      </c>
      <c r="E51" s="535">
        <v>458905.33333333331</v>
      </c>
      <c r="F51" s="1210">
        <f t="shared" si="18"/>
        <v>445138.17333333328</v>
      </c>
      <c r="G51" s="535">
        <f>VLOOKUP(B51,[1]Лист_1!$A$1:$G$65536,7,0)</f>
        <v>513000</v>
      </c>
      <c r="H51" s="1211">
        <f t="shared" si="1"/>
        <v>67861.826666666719</v>
      </c>
      <c r="I51" s="1409">
        <f t="shared" si="2"/>
        <v>445138.17333333328</v>
      </c>
      <c r="J51" s="974">
        <v>480000</v>
      </c>
      <c r="K51" s="978">
        <f t="shared" si="3"/>
        <v>34861.826666666719</v>
      </c>
      <c r="L51" s="535">
        <v>516900</v>
      </c>
      <c r="M51" s="1410"/>
      <c r="N51" s="1210">
        <f t="shared" si="4"/>
        <v>481850.6</v>
      </c>
      <c r="O51" s="1211">
        <v>519200</v>
      </c>
      <c r="P51" s="1210">
        <f t="shared" si="5"/>
        <v>495617.76</v>
      </c>
      <c r="Q51" s="1358">
        <v>603700</v>
      </c>
      <c r="R51" s="1210">
        <f t="shared" si="22"/>
        <v>463494.38666666666</v>
      </c>
      <c r="S51" s="1396">
        <f>VLOOKUP(B51,[2]Лист_1!$A$1:$C$65536,3,0)</f>
        <v>465850</v>
      </c>
      <c r="T51" s="1210">
        <f t="shared" si="6"/>
        <v>413978.5012</v>
      </c>
      <c r="U51" s="1396">
        <v>481400</v>
      </c>
      <c r="V51" s="1210">
        <f t="shared" si="7"/>
        <v>445138.17333333328</v>
      </c>
      <c r="W51" s="1435">
        <f>VLOOKUP(B51,[3]Лист_1!$A$5:$F$55,4,0)</f>
        <v>541600</v>
      </c>
      <c r="X51" s="1639">
        <f>VLOOKUP(B51,[3]Лист_1!$A$5:$D$54,3,0)</f>
        <v>27080</v>
      </c>
      <c r="Y51" s="1210">
        <f t="shared" si="8"/>
        <v>454316.27999999997</v>
      </c>
      <c r="Z51" s="1435">
        <v>557928</v>
      </c>
      <c r="AA51" s="1502"/>
      <c r="AB51" s="1210">
        <f>E51*$AB$1</f>
        <v>509384.92000000004</v>
      </c>
      <c r="AC51" s="1396">
        <f>VLOOKUP(B51,[7]Лист_1!$A$3:$E$57,4,0)</f>
        <v>358848</v>
      </c>
      <c r="AD51" s="1210">
        <f t="shared" si="9"/>
        <v>523152.07999999996</v>
      </c>
      <c r="AE51" s="1706">
        <f>VLOOKUP(B51,[4]Лист_1!$A$5:$D$59,3,0)</f>
        <v>460119</v>
      </c>
      <c r="AF51" s="1210">
        <f t="shared" si="10"/>
        <v>536919.24</v>
      </c>
      <c r="AG51" s="1706">
        <f>VLOOKUP(B51,[5]Лист_1!$A$3:$C$50,3,0)</f>
        <v>580603.99999999988</v>
      </c>
      <c r="AH51" s="1210">
        <f t="shared" ref="AH51:AH52" si="26">G51*$AF$1</f>
        <v>600210</v>
      </c>
      <c r="AI51" s="1706">
        <f>VLOOKUP(B51,[29]Лист_1!$A$5:$C$67,3,0)</f>
        <v>464834</v>
      </c>
    </row>
    <row r="52" spans="1:35" s="77" customFormat="1">
      <c r="A52" s="77">
        <f t="shared" si="12"/>
        <v>46</v>
      </c>
      <c r="B52" s="77" t="s">
        <v>268</v>
      </c>
      <c r="C52" s="77" t="s">
        <v>127</v>
      </c>
      <c r="D52" s="77">
        <v>1</v>
      </c>
      <c r="E52" s="535">
        <v>506698.33333333331</v>
      </c>
      <c r="F52" s="1210">
        <f t="shared" si="18"/>
        <v>491497.3833333333</v>
      </c>
      <c r="G52" s="535">
        <f>VLOOKUP(B52,[1]Лист_1!$A$1:$G$65536,7,0)</f>
        <v>140747.61904761905</v>
      </c>
      <c r="H52" s="1211">
        <f t="shared" si="1"/>
        <v>-350749.76428571425</v>
      </c>
      <c r="I52" s="1413">
        <f t="shared" si="2"/>
        <v>491497.3833333333</v>
      </c>
      <c r="J52" s="975">
        <v>140000</v>
      </c>
      <c r="K52" s="981">
        <f t="shared" si="3"/>
        <v>-351497.3833333333</v>
      </c>
      <c r="L52" s="535">
        <v>319648.09523809527</v>
      </c>
      <c r="M52" s="1410"/>
      <c r="N52" s="1210">
        <f t="shared" si="4"/>
        <v>532033.25</v>
      </c>
      <c r="O52" s="1211">
        <v>515599</v>
      </c>
      <c r="P52" s="1210">
        <f t="shared" si="5"/>
        <v>547234.20000000007</v>
      </c>
      <c r="Q52" s="1358">
        <v>509946.19</v>
      </c>
      <c r="R52" s="1210">
        <f t="shared" si="22"/>
        <v>511765.31666666665</v>
      </c>
      <c r="S52" s="1396">
        <f>VLOOKUP(B52,[2]Лист_1!$A$1:$C$65536,3,0)</f>
        <v>586208.09523809527</v>
      </c>
      <c r="T52" s="1210">
        <f t="shared" si="6"/>
        <v>457092.56650000002</v>
      </c>
      <c r="U52" s="1396">
        <v>711488.57142857136</v>
      </c>
      <c r="V52" s="1210">
        <f t="shared" si="7"/>
        <v>491497.3833333333</v>
      </c>
      <c r="W52" s="1435">
        <f>VLOOKUP(B52,[3]Лист_1!$A$5:$F$55,4,0)</f>
        <v>552060.95238095231</v>
      </c>
      <c r="X52" s="1639">
        <v>27602.14</v>
      </c>
      <c r="Y52" s="1210">
        <f t="shared" si="8"/>
        <v>501631.35</v>
      </c>
      <c r="Z52" s="1435">
        <v>367594.3</v>
      </c>
      <c r="AA52" s="1502"/>
      <c r="AB52" s="1210">
        <f>E52*$AB$1</f>
        <v>562435.15</v>
      </c>
      <c r="AC52" s="1396">
        <f>VLOOKUP(B52,[7]Лист_1!$A$3:$E$57,4,0)</f>
        <v>511234.28571428568</v>
      </c>
      <c r="AD52" s="1210">
        <f t="shared" si="9"/>
        <v>577636.1</v>
      </c>
      <c r="AE52" s="1706">
        <f>VLOOKUP(B52,[4]Лист_1!$A$5:$D$59,3,0)</f>
        <v>492378.09523809521</v>
      </c>
      <c r="AF52" s="1210">
        <f t="shared" si="10"/>
        <v>592837.04999999993</v>
      </c>
      <c r="AG52" s="1706">
        <f>VLOOKUP(B52,[5]Лист_1!$A$3:$C$50,3,0)</f>
        <v>533752.38095238095</v>
      </c>
      <c r="AH52" s="1210">
        <f t="shared" si="26"/>
        <v>164674.71428571429</v>
      </c>
      <c r="AI52" s="1706">
        <f>VLOOKUP(B52,[29]Лист_1!$A$5:$C$67,3,0)</f>
        <v>367433.80952380953</v>
      </c>
    </row>
    <row r="53" spans="1:35" s="1232" customFormat="1" ht="11.25" customHeight="1">
      <c r="A53" s="1232">
        <f t="shared" si="12"/>
        <v>47</v>
      </c>
      <c r="B53" s="1232" t="s">
        <v>301</v>
      </c>
      <c r="C53" s="1232" t="s">
        <v>95</v>
      </c>
      <c r="E53" s="1233">
        <v>15600</v>
      </c>
      <c r="F53" s="1234">
        <f t="shared" si="18"/>
        <v>15132</v>
      </c>
      <c r="G53" s="1233"/>
      <c r="H53" s="1366">
        <f t="shared" si="1"/>
        <v>-15132</v>
      </c>
      <c r="I53" s="1411">
        <f t="shared" si="2"/>
        <v>15132</v>
      </c>
      <c r="J53" s="1237"/>
      <c r="K53" s="1238">
        <f t="shared" si="3"/>
        <v>-15132</v>
      </c>
      <c r="L53" s="1233"/>
      <c r="M53" s="1412"/>
      <c r="N53" s="1234">
        <f t="shared" si="4"/>
        <v>16380</v>
      </c>
      <c r="O53" s="1366">
        <v>10400</v>
      </c>
      <c r="P53" s="1234">
        <f t="shared" si="5"/>
        <v>16848</v>
      </c>
      <c r="Q53" s="1359"/>
      <c r="R53" s="1234"/>
      <c r="S53" s="1233"/>
      <c r="T53" s="1234"/>
      <c r="U53" s="1438"/>
      <c r="V53" s="1234"/>
      <c r="W53" s="1466"/>
      <c r="X53" s="1650"/>
      <c r="Y53" s="1234"/>
      <c r="Z53" s="1438"/>
      <c r="AA53" s="1651"/>
      <c r="AB53" s="1234"/>
      <c r="AC53" s="1438"/>
      <c r="AD53" s="1234"/>
      <c r="AE53" s="1707"/>
      <c r="AF53" s="1234"/>
      <c r="AG53" s="1763"/>
      <c r="AH53" s="1234"/>
      <c r="AI53" s="1706"/>
    </row>
    <row r="54" spans="1:35" s="1232" customFormat="1" ht="11.25" customHeight="1">
      <c r="A54" s="1232">
        <f t="shared" si="12"/>
        <v>48</v>
      </c>
      <c r="B54" s="1232" t="s">
        <v>286</v>
      </c>
      <c r="C54" s="1232" t="s">
        <v>144</v>
      </c>
      <c r="D54" s="1232">
        <v>3</v>
      </c>
      <c r="E54" s="1233">
        <v>29037.5</v>
      </c>
      <c r="F54" s="1234">
        <f t="shared" si="18"/>
        <v>28166.375</v>
      </c>
      <c r="G54" s="1233"/>
      <c r="H54" s="1366">
        <f t="shared" si="1"/>
        <v>-28166.375</v>
      </c>
      <c r="I54" s="1411">
        <f t="shared" si="2"/>
        <v>28166.375</v>
      </c>
      <c r="J54" s="1237">
        <v>30000</v>
      </c>
      <c r="K54" s="1238">
        <f t="shared" si="3"/>
        <v>1833.625</v>
      </c>
      <c r="L54" s="1233">
        <v>17825</v>
      </c>
      <c r="M54" s="1412"/>
      <c r="N54" s="1234">
        <f t="shared" si="4"/>
        <v>30489.375</v>
      </c>
      <c r="O54" s="1366">
        <v>21850</v>
      </c>
      <c r="P54" s="1234">
        <f t="shared" si="5"/>
        <v>31360.500000000004</v>
      </c>
      <c r="Q54" s="1359">
        <v>10235</v>
      </c>
      <c r="R54" s="1234">
        <f t="shared" si="22"/>
        <v>29327.875</v>
      </c>
      <c r="S54" s="1233"/>
      <c r="T54" s="1234"/>
      <c r="U54" s="1438"/>
      <c r="V54" s="1234"/>
      <c r="W54" s="1466"/>
      <c r="X54" s="1650"/>
      <c r="Y54" s="1234"/>
      <c r="Z54" s="1438"/>
      <c r="AA54" s="1651"/>
      <c r="AB54" s="1234"/>
      <c r="AC54" s="1438"/>
      <c r="AD54" s="1234"/>
      <c r="AE54" s="1707"/>
      <c r="AF54" s="1234"/>
      <c r="AG54" s="1763"/>
      <c r="AH54" s="1234"/>
      <c r="AI54" s="1706"/>
    </row>
    <row r="55" spans="1:35" s="1232" customFormat="1" ht="11.25" customHeight="1">
      <c r="A55" s="1232">
        <f t="shared" si="12"/>
        <v>49</v>
      </c>
      <c r="B55" s="1232" t="s">
        <v>258</v>
      </c>
      <c r="C55" s="1232" t="s">
        <v>99</v>
      </c>
      <c r="E55" s="1233">
        <v>17600</v>
      </c>
      <c r="F55" s="1234">
        <f t="shared" si="18"/>
        <v>17072</v>
      </c>
      <c r="G55" s="1233"/>
      <c r="H55" s="1366">
        <f t="shared" si="1"/>
        <v>-17072</v>
      </c>
      <c r="I55" s="1411">
        <f t="shared" si="2"/>
        <v>17072</v>
      </c>
      <c r="J55" s="1237"/>
      <c r="K55" s="1238">
        <f t="shared" si="3"/>
        <v>-17072</v>
      </c>
      <c r="L55" s="1233"/>
      <c r="M55" s="1412"/>
      <c r="N55" s="1234">
        <f t="shared" si="4"/>
        <v>18480</v>
      </c>
      <c r="O55" s="1366"/>
      <c r="P55" s="1234">
        <f t="shared" si="5"/>
        <v>19008</v>
      </c>
      <c r="Q55" s="1359"/>
      <c r="R55" s="1234">
        <f t="shared" si="22"/>
        <v>17776</v>
      </c>
      <c r="S55" s="1233"/>
      <c r="T55" s="1234"/>
      <c r="U55" s="1438"/>
      <c r="V55" s="1234"/>
      <c r="W55" s="1466"/>
      <c r="X55" s="1650"/>
      <c r="Y55" s="1234"/>
      <c r="Z55" s="1438"/>
      <c r="AA55" s="1651"/>
      <c r="AB55" s="1234"/>
      <c r="AC55" s="1438"/>
      <c r="AD55" s="1234"/>
      <c r="AE55" s="1707"/>
      <c r="AF55" s="1234"/>
      <c r="AG55" s="1763"/>
      <c r="AH55" s="1234"/>
      <c r="AI55" s="1706"/>
    </row>
    <row r="56" spans="1:35" s="77" customFormat="1" ht="11.25" customHeight="1">
      <c r="A56" s="77">
        <f t="shared" si="12"/>
        <v>50</v>
      </c>
      <c r="B56" s="984" t="s">
        <v>1028</v>
      </c>
      <c r="C56" s="984" t="s">
        <v>1029</v>
      </c>
      <c r="E56" s="535"/>
      <c r="F56" s="1210"/>
      <c r="G56" s="535"/>
      <c r="H56" s="1211"/>
      <c r="I56" s="1409"/>
      <c r="J56" s="974"/>
      <c r="K56" s="978"/>
      <c r="L56" s="535"/>
      <c r="M56" s="1410"/>
      <c r="N56" s="1210"/>
      <c r="O56" s="1211">
        <v>17286</v>
      </c>
      <c r="P56" s="1210"/>
      <c r="Q56" s="1358"/>
      <c r="R56" s="1210">
        <f t="shared" si="22"/>
        <v>0</v>
      </c>
      <c r="S56" s="1396">
        <f>VLOOKUP(B56,[2]Лист_1!$A$1:$C$65536,3,0)</f>
        <v>70714.28571428571</v>
      </c>
      <c r="T56" s="1210">
        <f t="shared" si="6"/>
        <v>0</v>
      </c>
      <c r="U56" s="1396"/>
      <c r="V56" s="1210"/>
      <c r="W56" s="1435">
        <f>VLOOKUP(B56,[3]Лист_1!$A$5:$F$55,4,0)</f>
        <v>154000</v>
      </c>
      <c r="X56" s="1639">
        <v>7699.99</v>
      </c>
      <c r="Y56" s="1210">
        <f t="shared" si="8"/>
        <v>0</v>
      </c>
      <c r="Z56" s="1435">
        <f>VLOOKUP(B56,[6]Лист_1!$C$5:$E$64,3,0)</f>
        <v>73857.142857142855</v>
      </c>
      <c r="AA56" s="1502"/>
      <c r="AB56" s="1210"/>
      <c r="AC56" s="1396">
        <f>VLOOKUP(B56,[7]Лист_1!$A$3:$E$57,4,0)</f>
        <v>83285.714285714275</v>
      </c>
      <c r="AD56" s="1210">
        <f t="shared" si="9"/>
        <v>0</v>
      </c>
      <c r="AE56" s="1706">
        <f>VLOOKUP(B56,[4]Лист_1!$A$5:$D$59,3,0)</f>
        <v>53428.571428571428</v>
      </c>
      <c r="AF56" s="1210"/>
      <c r="AG56" s="1706">
        <f>VLOOKUP(B56,[5]Лист_1!$A$3:$C$50,3,0)</f>
        <v>6285.7142857142853</v>
      </c>
      <c r="AH56" s="1210"/>
      <c r="AI56" s="1706"/>
    </row>
    <row r="57" spans="1:35" s="77" customFormat="1" ht="11.25" customHeight="1">
      <c r="A57" s="77">
        <f>A55+1</f>
        <v>50</v>
      </c>
      <c r="B57" s="984" t="s">
        <v>474</v>
      </c>
      <c r="E57" s="535"/>
      <c r="F57" s="1210"/>
      <c r="G57" s="535">
        <f>VLOOKUP(B57,[1]Лист_1!$A$1:$G$65536,7,0)</f>
        <v>27000</v>
      </c>
      <c r="H57" s="1211">
        <f t="shared" si="1"/>
        <v>27000</v>
      </c>
      <c r="I57" s="1409">
        <f t="shared" si="2"/>
        <v>0</v>
      </c>
      <c r="J57" s="974"/>
      <c r="K57" s="978">
        <f t="shared" si="3"/>
        <v>0</v>
      </c>
      <c r="L57" s="535"/>
      <c r="M57" s="1410"/>
      <c r="N57" s="1210">
        <f t="shared" si="4"/>
        <v>0</v>
      </c>
      <c r="O57" s="1211"/>
      <c r="P57" s="1210"/>
      <c r="Q57" s="1358"/>
      <c r="R57" s="1210">
        <f t="shared" si="22"/>
        <v>0</v>
      </c>
      <c r="S57" s="535"/>
      <c r="T57" s="1210">
        <f t="shared" si="6"/>
        <v>0</v>
      </c>
      <c r="U57" s="1396"/>
      <c r="V57" s="1210"/>
      <c r="W57" s="1435"/>
      <c r="X57" s="1643"/>
      <c r="Y57" s="1210">
        <f t="shared" si="8"/>
        <v>0</v>
      </c>
      <c r="Z57" s="1396"/>
      <c r="AA57" s="1503"/>
      <c r="AB57" s="1210"/>
      <c r="AC57" s="1396"/>
      <c r="AD57" s="1210"/>
      <c r="AE57" s="1706"/>
      <c r="AF57" s="1210"/>
      <c r="AG57" s="1706"/>
      <c r="AH57" s="1210"/>
      <c r="AI57" s="1706"/>
    </row>
    <row r="58" spans="1:35" s="77" customFormat="1" ht="11.25" customHeight="1">
      <c r="A58" s="77">
        <f t="shared" si="12"/>
        <v>51</v>
      </c>
      <c r="B58" s="77" t="s">
        <v>331</v>
      </c>
      <c r="D58" s="77">
        <v>1</v>
      </c>
      <c r="E58" s="535">
        <v>36014</v>
      </c>
      <c r="F58" s="1210">
        <f t="shared" ref="F58:F71" si="27">E58*$F$1</f>
        <v>34933.58</v>
      </c>
      <c r="G58" s="535">
        <f>VLOOKUP(B58,[1]Лист_1!$A$1:$G$65536,7,0)</f>
        <v>82302</v>
      </c>
      <c r="H58" s="1211">
        <f t="shared" si="1"/>
        <v>47368.42</v>
      </c>
      <c r="I58" s="1413">
        <f t="shared" si="2"/>
        <v>34933.58</v>
      </c>
      <c r="J58" s="975">
        <v>10000</v>
      </c>
      <c r="K58" s="981">
        <f t="shared" si="3"/>
        <v>-24933.58</v>
      </c>
      <c r="L58" s="535">
        <v>95348</v>
      </c>
      <c r="M58" s="1410"/>
      <c r="N58" s="1210">
        <f t="shared" si="4"/>
        <v>37814.700000000004</v>
      </c>
      <c r="O58" s="1211">
        <v>42482</v>
      </c>
      <c r="P58" s="1210">
        <f t="shared" si="5"/>
        <v>38895.120000000003</v>
      </c>
      <c r="Q58" s="1358">
        <v>176264</v>
      </c>
      <c r="R58" s="1210">
        <f t="shared" si="22"/>
        <v>36374.14</v>
      </c>
      <c r="S58" s="1396">
        <f>VLOOKUP(B58,[2]Лист_1!$A$1:$C$65536,3,0)</f>
        <v>190585.99999999997</v>
      </c>
      <c r="T58" s="1210">
        <f t="shared" si="6"/>
        <v>32488.229400000004</v>
      </c>
      <c r="U58" s="1396">
        <v>200244</v>
      </c>
      <c r="V58" s="1210">
        <f t="shared" si="7"/>
        <v>34933.58</v>
      </c>
      <c r="W58" s="1435">
        <f>VLOOKUP(B58,[3]Лист_1!$A$5:$F$55,4,0)</f>
        <v>62502</v>
      </c>
      <c r="X58" s="1639">
        <f>VLOOKUP(B58,[3]Лист_1!$A$5:$D$54,3,0)</f>
        <v>3125.1000000000058</v>
      </c>
      <c r="Y58" s="1210">
        <f t="shared" si="8"/>
        <v>35653.86</v>
      </c>
      <c r="Z58" s="1435">
        <v>34166</v>
      </c>
      <c r="AA58" s="1502"/>
      <c r="AB58" s="1210">
        <f>E58*$AB$1</f>
        <v>39975.54</v>
      </c>
      <c r="AC58" s="1396">
        <f>VLOOKUP(B58,[7]Лист_1!$A$3:$E$57,4,0)</f>
        <v>40106</v>
      </c>
      <c r="AD58" s="1210">
        <f t="shared" si="9"/>
        <v>41055.96</v>
      </c>
      <c r="AE58" s="1706">
        <f>VLOOKUP(B58,[4]Лист_1!$A$5:$D$59,3,0)</f>
        <v>79860</v>
      </c>
      <c r="AF58" s="1210">
        <f t="shared" si="10"/>
        <v>42136.38</v>
      </c>
      <c r="AG58" s="1706">
        <f>VLOOKUP(B58,[5]Лист_1!$A$3:$C$50,3,0)</f>
        <v>107756</v>
      </c>
      <c r="AH58" s="1210">
        <f t="shared" ref="AH58:AH59" si="28">G58*$AF$1</f>
        <v>96293.34</v>
      </c>
      <c r="AI58" s="1706">
        <f>VLOOKUP(B58,[29]Лист_1!$A$5:$C$67,3,0)</f>
        <v>45452</v>
      </c>
    </row>
    <row r="59" spans="1:35" s="1232" customFormat="1">
      <c r="A59" s="1232">
        <f t="shared" si="12"/>
        <v>52</v>
      </c>
      <c r="B59" s="1232" t="s">
        <v>305</v>
      </c>
      <c r="C59" s="1232" t="s">
        <v>161</v>
      </c>
      <c r="D59" s="1232">
        <v>1</v>
      </c>
      <c r="E59" s="1233">
        <v>282678.75</v>
      </c>
      <c r="F59" s="1234">
        <f t="shared" si="27"/>
        <v>274198.38750000001</v>
      </c>
      <c r="G59" s="1233">
        <f>VLOOKUP(B59,[1]Лист_1!$A$1:$G$65536,7,0)</f>
        <v>248600</v>
      </c>
      <c r="H59" s="1366">
        <f t="shared" si="1"/>
        <v>-25598.387500000012</v>
      </c>
      <c r="I59" s="1411">
        <f t="shared" si="2"/>
        <v>274198.38750000001</v>
      </c>
      <c r="J59" s="1237">
        <v>300000</v>
      </c>
      <c r="K59" s="1238">
        <f t="shared" si="3"/>
        <v>25801.612499999988</v>
      </c>
      <c r="L59" s="1233">
        <v>286800</v>
      </c>
      <c r="M59" s="1412"/>
      <c r="N59" s="1234">
        <f t="shared" si="4"/>
        <v>296812.6875</v>
      </c>
      <c r="O59" s="1366">
        <v>348000</v>
      </c>
      <c r="P59" s="1234">
        <f t="shared" si="5"/>
        <v>305293.05000000005</v>
      </c>
      <c r="Q59" s="1359">
        <v>374550</v>
      </c>
      <c r="R59" s="1234">
        <f t="shared" si="22"/>
        <v>285505.53749999998</v>
      </c>
      <c r="S59" s="1438">
        <f>VLOOKUP(B59,[2]Лист_1!$A$1:$C$65536,3,0)</f>
        <v>140950</v>
      </c>
      <c r="T59" s="1234">
        <f t="shared" si="6"/>
        <v>255004.50037500003</v>
      </c>
      <c r="U59" s="1438">
        <v>148300</v>
      </c>
      <c r="V59" s="1234">
        <f t="shared" si="7"/>
        <v>274198.38750000001</v>
      </c>
      <c r="W59" s="1466">
        <f>VLOOKUP(B59,[3]Лист_1!$A$5:$F$55,4,0)</f>
        <v>64820</v>
      </c>
      <c r="X59" s="1652">
        <f>VLOOKUP(B59,[3]Лист_1!$A$5:$D$54,3,0)</f>
        <v>3241</v>
      </c>
      <c r="Y59" s="1234">
        <f t="shared" si="8"/>
        <v>279851.96250000002</v>
      </c>
      <c r="Z59" s="1438"/>
      <c r="AA59" s="1653"/>
      <c r="AB59" s="1234"/>
      <c r="AC59" s="1438">
        <f>VLOOKUP(B59,[7]Лист_1!$A$3:$E$57,4,0)</f>
        <v>102977</v>
      </c>
      <c r="AD59" s="1234">
        <f t="shared" si="9"/>
        <v>322253.77499999997</v>
      </c>
      <c r="AE59" s="1707">
        <f>VLOOKUP(B59,[4]Лист_1!$A$5:$D$59,3,0)</f>
        <v>8250</v>
      </c>
      <c r="AF59" s="1234">
        <f t="shared" si="10"/>
        <v>330734.13749999995</v>
      </c>
      <c r="AG59" s="1707">
        <f>VLOOKUP(B59,[5]Лист_1!$A$3:$C$50,3,0)</f>
        <v>22980</v>
      </c>
      <c r="AH59" s="1234">
        <f t="shared" si="28"/>
        <v>290862</v>
      </c>
      <c r="AI59" s="1706">
        <v>150000</v>
      </c>
    </row>
    <row r="60" spans="1:35" s="77" customFormat="1">
      <c r="A60" s="77">
        <f t="shared" si="12"/>
        <v>53</v>
      </c>
      <c r="B60" s="77" t="s">
        <v>330</v>
      </c>
      <c r="C60" s="77" t="s">
        <v>108</v>
      </c>
      <c r="D60" s="1808">
        <v>1</v>
      </c>
      <c r="E60" s="535">
        <v>25929.166666666668</v>
      </c>
      <c r="F60" s="1210">
        <f t="shared" si="27"/>
        <v>25151.291666666668</v>
      </c>
      <c r="G60" s="535">
        <f>VLOOKUP(B60,[1]Лист_1!$A$1:$G$65536,7,0)</f>
        <v>28470</v>
      </c>
      <c r="H60" s="1211">
        <f t="shared" si="1"/>
        <v>3318.7083333333321</v>
      </c>
      <c r="I60" s="1413">
        <f t="shared" si="2"/>
        <v>25151.291666666668</v>
      </c>
      <c r="J60" s="1807">
        <v>100000</v>
      </c>
      <c r="K60" s="982">
        <v>-53400</v>
      </c>
      <c r="L60" s="535">
        <v>20950</v>
      </c>
      <c r="M60" s="1820"/>
      <c r="N60" s="1210">
        <f t="shared" si="4"/>
        <v>27225.625000000004</v>
      </c>
      <c r="O60" s="1401">
        <v>156179</v>
      </c>
      <c r="P60" s="1210">
        <f t="shared" si="5"/>
        <v>28003.500000000004</v>
      </c>
      <c r="Q60" s="1821">
        <v>120672</v>
      </c>
      <c r="R60" s="1210">
        <f t="shared" si="22"/>
        <v>26188.458333333336</v>
      </c>
      <c r="S60" s="535"/>
      <c r="T60" s="1210"/>
      <c r="U60" s="1396"/>
      <c r="V60" s="1210"/>
      <c r="W60" s="1435"/>
      <c r="X60" s="1643"/>
      <c r="Y60" s="1210">
        <f t="shared" si="8"/>
        <v>25669.875</v>
      </c>
      <c r="Z60" s="1435">
        <v>108601</v>
      </c>
      <c r="AA60" s="1503"/>
      <c r="AB60" s="1210">
        <f>E60*$AB$1</f>
        <v>28781.375000000004</v>
      </c>
      <c r="AC60" s="1396">
        <f>VLOOKUP(B60,[7]Лист_1!$A$3:$E$57,4,0)</f>
        <v>44213</v>
      </c>
      <c r="AD60" s="1210">
        <f t="shared" si="9"/>
        <v>29559.25</v>
      </c>
      <c r="AE60" s="1706"/>
      <c r="AF60" s="1210"/>
      <c r="AG60" s="1762"/>
      <c r="AH60" s="1210"/>
      <c r="AI60" s="1706"/>
    </row>
    <row r="61" spans="1:35" s="77" customFormat="1">
      <c r="A61" s="77">
        <f t="shared" si="12"/>
        <v>54</v>
      </c>
      <c r="B61" s="77" t="s">
        <v>328</v>
      </c>
      <c r="C61" s="77" t="s">
        <v>108</v>
      </c>
      <c r="D61" s="1808"/>
      <c r="E61" s="535">
        <v>83183.333333333328</v>
      </c>
      <c r="F61" s="1210">
        <f t="shared" si="27"/>
        <v>80687.833333333328</v>
      </c>
      <c r="G61" s="535">
        <f>VLOOKUP(B61,[1]Лист_1!$A$1:$G$65536,7,0)</f>
        <v>70400</v>
      </c>
      <c r="H61" s="1211">
        <f t="shared" si="1"/>
        <v>-10287.833333333328</v>
      </c>
      <c r="I61" s="1413">
        <f t="shared" si="2"/>
        <v>80687.833333333328</v>
      </c>
      <c r="J61" s="1807"/>
      <c r="K61" s="983"/>
      <c r="L61" s="535">
        <v>130005</v>
      </c>
      <c r="M61" s="1820"/>
      <c r="N61" s="1210">
        <f t="shared" si="4"/>
        <v>87342.5</v>
      </c>
      <c r="O61" s="1401"/>
      <c r="P61" s="1210">
        <f t="shared" si="5"/>
        <v>89838</v>
      </c>
      <c r="Q61" s="1821"/>
      <c r="R61" s="1210">
        <f t="shared" si="22"/>
        <v>84015.166666666657</v>
      </c>
      <c r="S61" s="535"/>
      <c r="T61" s="1210"/>
      <c r="U61" s="1396"/>
      <c r="V61" s="1210"/>
      <c r="W61" s="1435"/>
      <c r="X61" s="1643"/>
      <c r="Y61" s="1210">
        <f t="shared" si="8"/>
        <v>82351.5</v>
      </c>
      <c r="Z61" s="1396"/>
      <c r="AA61" s="1503"/>
      <c r="AB61" s="1210">
        <f>E61*$AB$1</f>
        <v>92333.5</v>
      </c>
      <c r="AC61" s="1396">
        <f>VLOOKUP(B61,[7]Лист_1!$A$3:$E$57,4,0)</f>
        <v>87101</v>
      </c>
      <c r="AD61" s="1210">
        <f t="shared" si="9"/>
        <v>94828.999999999985</v>
      </c>
      <c r="AE61" s="1706">
        <v>164966</v>
      </c>
      <c r="AF61" s="1210">
        <f t="shared" si="10"/>
        <v>97324.499999999985</v>
      </c>
      <c r="AG61" s="1706">
        <f>VLOOKUP(B61,[5]Лист_1!$A$3:$C$50,3,0)</f>
        <v>66227.999999999985</v>
      </c>
      <c r="AH61" s="1210">
        <f t="shared" ref="AH61" si="29">G61*$AF$1</f>
        <v>82368</v>
      </c>
      <c r="AI61" s="1706">
        <v>136329</v>
      </c>
    </row>
    <row r="62" spans="1:35" s="77" customFormat="1">
      <c r="A62" s="77">
        <f t="shared" si="12"/>
        <v>55</v>
      </c>
      <c r="B62" s="77" t="s">
        <v>244</v>
      </c>
      <c r="C62" s="77" t="s">
        <v>108</v>
      </c>
      <c r="D62" s="1808"/>
      <c r="E62" s="535">
        <v>31804.166666666668</v>
      </c>
      <c r="F62" s="1210">
        <f t="shared" si="27"/>
        <v>30850.041666666668</v>
      </c>
      <c r="G62" s="535">
        <f>VLOOKUP(B62,[1]Лист_1!$A$1:$G$65536,7,0)</f>
        <v>68495</v>
      </c>
      <c r="H62" s="1211">
        <f t="shared" si="1"/>
        <v>37644.958333333328</v>
      </c>
      <c r="I62" s="1413">
        <f t="shared" si="2"/>
        <v>30850.041666666668</v>
      </c>
      <c r="J62" s="1807"/>
      <c r="K62" s="983"/>
      <c r="L62" s="535">
        <v>20950</v>
      </c>
      <c r="M62" s="1820"/>
      <c r="N62" s="1210">
        <f t="shared" si="4"/>
        <v>33394.375</v>
      </c>
      <c r="O62" s="1401"/>
      <c r="P62" s="1210">
        <f t="shared" si="5"/>
        <v>34348.5</v>
      </c>
      <c r="Q62" s="1821"/>
      <c r="R62" s="1210">
        <f t="shared" si="22"/>
        <v>32122.208333333336</v>
      </c>
      <c r="S62" s="535"/>
      <c r="T62" s="1210"/>
      <c r="U62" s="1396">
        <v>121535</v>
      </c>
      <c r="V62" s="1210">
        <v>147142</v>
      </c>
      <c r="W62" s="1435">
        <v>90875</v>
      </c>
      <c r="X62" s="1639">
        <v>4543.75</v>
      </c>
      <c r="Y62" s="1210">
        <f t="shared" si="8"/>
        <v>31486.125</v>
      </c>
      <c r="Z62" s="1396"/>
      <c r="AA62" s="1502"/>
      <c r="AB62" s="1210">
        <f>E62*$AB$1</f>
        <v>35302.625000000007</v>
      </c>
      <c r="AC62" s="1396">
        <f>VLOOKUP(B62,[7]Лист_1!$A$3:$E$57,4,0)</f>
        <v>25740</v>
      </c>
      <c r="AD62" s="1210">
        <f t="shared" si="9"/>
        <v>36256.75</v>
      </c>
      <c r="AE62" s="1706"/>
      <c r="AF62" s="1210"/>
      <c r="AG62" s="1706">
        <f>VLOOKUP(B62,[5]Лист_1!$A$3:$C$50,3,0)</f>
        <v>26196.999999999996</v>
      </c>
      <c r="AH62" s="1210"/>
      <c r="AI62" s="1706"/>
    </row>
    <row r="63" spans="1:35" s="77" customFormat="1">
      <c r="A63" s="77">
        <f t="shared" si="12"/>
        <v>56</v>
      </c>
      <c r="B63" s="77" t="s">
        <v>329</v>
      </c>
      <c r="C63" s="77" t="s">
        <v>108</v>
      </c>
      <c r="D63" s="1808"/>
      <c r="E63" s="535">
        <v>17300</v>
      </c>
      <c r="F63" s="1210">
        <f t="shared" si="27"/>
        <v>16781</v>
      </c>
      <c r="G63" s="535"/>
      <c r="H63" s="1211">
        <f t="shared" si="1"/>
        <v>-16781</v>
      </c>
      <c r="I63" s="1413">
        <f t="shared" si="2"/>
        <v>16781</v>
      </c>
      <c r="J63" s="1807"/>
      <c r="K63" s="981"/>
      <c r="L63" s="535">
        <v>25779</v>
      </c>
      <c r="M63" s="1820"/>
      <c r="N63" s="1210">
        <f t="shared" si="4"/>
        <v>18165</v>
      </c>
      <c r="O63" s="1401"/>
      <c r="P63" s="1210">
        <f t="shared" si="5"/>
        <v>18684</v>
      </c>
      <c r="Q63" s="1821"/>
      <c r="R63" s="1210">
        <f t="shared" si="22"/>
        <v>17473</v>
      </c>
      <c r="S63" s="1396">
        <v>116938</v>
      </c>
      <c r="T63" s="1210">
        <f t="shared" si="6"/>
        <v>15606.33</v>
      </c>
      <c r="U63" s="1396"/>
      <c r="V63" s="1210"/>
      <c r="W63" s="1435"/>
      <c r="X63" s="1643"/>
      <c r="Y63" s="1210">
        <f t="shared" si="8"/>
        <v>17127</v>
      </c>
      <c r="Z63" s="1396"/>
      <c r="AA63" s="1503"/>
      <c r="AB63" s="1210">
        <f>E63*$AB$1</f>
        <v>19203</v>
      </c>
      <c r="AC63" s="1396"/>
      <c r="AD63" s="1210">
        <f t="shared" si="9"/>
        <v>19722</v>
      </c>
      <c r="AE63" s="1706"/>
      <c r="AF63" s="1210"/>
      <c r="AG63" s="1762"/>
      <c r="AH63" s="1210"/>
      <c r="AI63" s="1706"/>
    </row>
    <row r="64" spans="1:35" s="77" customFormat="1">
      <c r="A64" s="77">
        <f t="shared" si="12"/>
        <v>57</v>
      </c>
      <c r="B64" s="77" t="s">
        <v>548</v>
      </c>
      <c r="D64" s="1354"/>
      <c r="E64" s="535"/>
      <c r="F64" s="1210"/>
      <c r="G64" s="535"/>
      <c r="H64" s="1211"/>
      <c r="I64" s="1413"/>
      <c r="J64" s="1353"/>
      <c r="K64" s="981"/>
      <c r="L64" s="535"/>
      <c r="M64" s="1417"/>
      <c r="N64" s="1210"/>
      <c r="O64" s="1401"/>
      <c r="P64" s="1210"/>
      <c r="Q64" s="1357"/>
      <c r="R64" s="1210"/>
      <c r="S64" s="1396">
        <f>34200+9614.35</f>
        <v>43814.35</v>
      </c>
      <c r="T64" s="1210">
        <f t="shared" si="6"/>
        <v>0</v>
      </c>
      <c r="U64" s="1396">
        <v>11400</v>
      </c>
      <c r="V64" s="1210"/>
      <c r="W64" s="1435"/>
      <c r="X64" s="1643"/>
      <c r="Y64" s="1210">
        <f t="shared" si="8"/>
        <v>0</v>
      </c>
      <c r="Z64" s="1396"/>
      <c r="AA64" s="1503"/>
      <c r="AB64" s="1210"/>
      <c r="AC64" s="1396"/>
      <c r="AD64" s="1210"/>
      <c r="AE64" s="1706">
        <f>VLOOKUP(B64,[4]Лист_1!$A$5:$D$59,3,0)</f>
        <v>17100</v>
      </c>
      <c r="AF64" s="1210"/>
      <c r="AG64" s="1762"/>
      <c r="AH64" s="1210"/>
      <c r="AI64" s="1706">
        <f>VLOOKUP(B64,[29]Лист_1!$A$5:$C$67,3,0)</f>
        <v>11400</v>
      </c>
    </row>
    <row r="65" spans="1:35" s="1232" customFormat="1">
      <c r="A65" s="1232">
        <f t="shared" si="12"/>
        <v>58</v>
      </c>
      <c r="B65" s="1232" t="s">
        <v>243</v>
      </c>
      <c r="C65" s="1232" t="s">
        <v>107</v>
      </c>
      <c r="E65" s="1233">
        <v>147325</v>
      </c>
      <c r="F65" s="1234">
        <f t="shared" si="27"/>
        <v>142905.25</v>
      </c>
      <c r="G65" s="1233"/>
      <c r="H65" s="1366">
        <f t="shared" si="1"/>
        <v>-142905.25</v>
      </c>
      <c r="I65" s="1414">
        <f t="shared" si="2"/>
        <v>142905.25</v>
      </c>
      <c r="J65" s="1235"/>
      <c r="K65" s="1236">
        <f t="shared" si="3"/>
        <v>-142905.25</v>
      </c>
      <c r="L65" s="1233">
        <v>114300</v>
      </c>
      <c r="M65" s="1412"/>
      <c r="N65" s="1234">
        <f t="shared" si="4"/>
        <v>154691.25</v>
      </c>
      <c r="O65" s="1366">
        <v>118350</v>
      </c>
      <c r="P65" s="1234">
        <f t="shared" si="5"/>
        <v>159111</v>
      </c>
      <c r="Q65" s="1359">
        <v>197150</v>
      </c>
      <c r="R65" s="1234">
        <f t="shared" si="22"/>
        <v>148798.25</v>
      </c>
      <c r="S65" s="1438">
        <f>VLOOKUP(B65,[2]Лист_1!$A$1:$C$65536,3,0)</f>
        <v>162250</v>
      </c>
      <c r="T65" s="1234">
        <f t="shared" si="6"/>
        <v>132901.88250000001</v>
      </c>
      <c r="U65" s="1438"/>
      <c r="V65" s="1234"/>
      <c r="W65" s="1466"/>
      <c r="X65" s="1650"/>
      <c r="Y65" s="1234">
        <f t="shared" si="8"/>
        <v>145851.75</v>
      </c>
      <c r="Z65" s="1438"/>
      <c r="AA65" s="1651"/>
      <c r="AB65" s="1234"/>
      <c r="AC65" s="1438"/>
      <c r="AD65" s="1234"/>
      <c r="AE65" s="1707"/>
      <c r="AF65" s="1234"/>
      <c r="AG65" s="1763"/>
      <c r="AH65" s="1234"/>
      <c r="AI65" s="1706"/>
    </row>
    <row r="66" spans="1:35" s="77" customFormat="1">
      <c r="A66" s="77">
        <f t="shared" si="12"/>
        <v>59</v>
      </c>
      <c r="B66" s="77" t="s">
        <v>250</v>
      </c>
      <c r="C66" s="77" t="s">
        <v>112</v>
      </c>
      <c r="D66" s="77">
        <v>5</v>
      </c>
      <c r="E66" s="535">
        <v>17250</v>
      </c>
      <c r="F66" s="1210">
        <f t="shared" si="27"/>
        <v>16732.5</v>
      </c>
      <c r="G66" s="535">
        <f>VLOOKUP(B66,[1]Лист_1!$A$1:$G$65536,7,0)</f>
        <v>18975</v>
      </c>
      <c r="H66" s="1211">
        <f t="shared" si="1"/>
        <v>2242.5</v>
      </c>
      <c r="I66" s="1409">
        <f t="shared" si="2"/>
        <v>16732.5</v>
      </c>
      <c r="J66" s="974">
        <v>18975</v>
      </c>
      <c r="K66" s="978">
        <f t="shared" si="3"/>
        <v>2242.5</v>
      </c>
      <c r="L66" s="535">
        <v>21086.666666666668</v>
      </c>
      <c r="M66" s="1410"/>
      <c r="N66" s="1210">
        <f t="shared" si="4"/>
        <v>18112.5</v>
      </c>
      <c r="O66" s="1211">
        <v>21086.666666666664</v>
      </c>
      <c r="P66" s="1210">
        <f t="shared" si="5"/>
        <v>18630</v>
      </c>
      <c r="Q66" s="1358">
        <v>21086.666666666664</v>
      </c>
      <c r="R66" s="1210">
        <f t="shared" si="22"/>
        <v>17422.5</v>
      </c>
      <c r="S66" s="1396">
        <f>VLOOKUP(B66,[2]Лист_1!$A$1:$C$65536,3,0)</f>
        <v>21086.666666666664</v>
      </c>
      <c r="T66" s="1210">
        <f t="shared" si="6"/>
        <v>15561.225</v>
      </c>
      <c r="U66" s="1396">
        <v>25605.238095238095</v>
      </c>
      <c r="V66" s="1210">
        <f t="shared" si="7"/>
        <v>16732.5</v>
      </c>
      <c r="W66" s="1435">
        <f>[3]Лист_1!$D$15</f>
        <v>15061.904761904761</v>
      </c>
      <c r="X66" s="1639">
        <v>753.1</v>
      </c>
      <c r="Y66" s="1210">
        <f t="shared" si="8"/>
        <v>17077.5</v>
      </c>
      <c r="Z66" s="1435">
        <v>6845.24</v>
      </c>
      <c r="AA66" s="1502"/>
      <c r="AB66" s="1210">
        <f>E66*$AB$1</f>
        <v>19147.5</v>
      </c>
      <c r="AC66" s="1396">
        <v>15061.9</v>
      </c>
      <c r="AD66" s="1210">
        <f t="shared" si="9"/>
        <v>19665</v>
      </c>
      <c r="AE66" s="1706">
        <v>22593</v>
      </c>
      <c r="AF66" s="1210">
        <f t="shared" si="10"/>
        <v>20182.5</v>
      </c>
      <c r="AG66" s="1706">
        <v>30123.81</v>
      </c>
      <c r="AH66" s="1210">
        <f t="shared" ref="AH66" si="30">G66*$AF$1</f>
        <v>22200.75</v>
      </c>
      <c r="AI66" s="1706">
        <v>22592.86</v>
      </c>
    </row>
    <row r="67" spans="1:35" s="1232" customFormat="1">
      <c r="A67" s="1232">
        <f t="shared" si="12"/>
        <v>60</v>
      </c>
      <c r="B67" s="1232" t="s">
        <v>274</v>
      </c>
      <c r="C67" s="1232" t="s">
        <v>131</v>
      </c>
      <c r="E67" s="1233">
        <v>214326.66666666666</v>
      </c>
      <c r="F67" s="1234">
        <f t="shared" si="27"/>
        <v>207896.86666666664</v>
      </c>
      <c r="G67" s="1233"/>
      <c r="H67" s="1366">
        <f t="shared" si="1"/>
        <v>-207896.86666666664</v>
      </c>
      <c r="I67" s="1414">
        <f t="shared" si="2"/>
        <v>207896.86666666664</v>
      </c>
      <c r="J67" s="1235"/>
      <c r="K67" s="1236">
        <f t="shared" si="3"/>
        <v>-207896.86666666664</v>
      </c>
      <c r="L67" s="1233"/>
      <c r="M67" s="1412"/>
      <c r="N67" s="1234">
        <v>0</v>
      </c>
      <c r="O67" s="1366">
        <v>19333.333333333332</v>
      </c>
      <c r="P67" s="1234"/>
      <c r="Q67" s="1359"/>
      <c r="R67" s="1234"/>
      <c r="S67" s="1233"/>
      <c r="T67" s="1234"/>
      <c r="U67" s="1438"/>
      <c r="V67" s="1234"/>
      <c r="W67" s="1466"/>
      <c r="X67" s="1650"/>
      <c r="Y67" s="1234"/>
      <c r="Z67" s="1438"/>
      <c r="AA67" s="1651"/>
      <c r="AB67" s="1234"/>
      <c r="AC67" s="1438"/>
      <c r="AD67" s="1234"/>
      <c r="AE67" s="1707"/>
      <c r="AF67" s="1234"/>
      <c r="AG67" s="1763"/>
      <c r="AH67" s="1234"/>
      <c r="AI67" s="1706"/>
    </row>
    <row r="68" spans="1:35" s="77" customFormat="1">
      <c r="A68" s="77">
        <f t="shared" si="12"/>
        <v>61</v>
      </c>
      <c r="B68" s="77" t="s">
        <v>278</v>
      </c>
      <c r="C68" s="77" t="s">
        <v>135</v>
      </c>
      <c r="D68" s="77">
        <v>1</v>
      </c>
      <c r="E68" s="535">
        <v>30763.333333333332</v>
      </c>
      <c r="F68" s="1210">
        <f t="shared" si="27"/>
        <v>29840.433333333331</v>
      </c>
      <c r="G68" s="535">
        <f>VLOOKUP(B68,[1]Лист_1!$A$1:$G$65536,7,0)</f>
        <v>15100</v>
      </c>
      <c r="H68" s="1211">
        <f t="shared" si="1"/>
        <v>-14740.433333333331</v>
      </c>
      <c r="I68" s="1409">
        <f t="shared" si="2"/>
        <v>29840.433333333331</v>
      </c>
      <c r="J68" s="974">
        <v>10000</v>
      </c>
      <c r="K68" s="978">
        <f t="shared" si="3"/>
        <v>-19840.433333333331</v>
      </c>
      <c r="L68" s="535">
        <v>62440</v>
      </c>
      <c r="M68" s="1410"/>
      <c r="N68" s="1210">
        <f t="shared" si="4"/>
        <v>32301.5</v>
      </c>
      <c r="O68" s="1211">
        <v>35300</v>
      </c>
      <c r="P68" s="1210">
        <f t="shared" si="5"/>
        <v>33224.400000000001</v>
      </c>
      <c r="Q68" s="1358">
        <v>51500</v>
      </c>
      <c r="R68" s="1210">
        <f t="shared" si="22"/>
        <v>31070.966666666667</v>
      </c>
      <c r="S68" s="1396">
        <f>VLOOKUP(B68,[2]Лист_1!$A$1:$C$65536,3,0)</f>
        <v>42068.999999999993</v>
      </c>
      <c r="T68" s="1210">
        <f t="shared" si="6"/>
        <v>27751.602999999999</v>
      </c>
      <c r="U68" s="1396">
        <v>48180</v>
      </c>
      <c r="V68" s="1210">
        <f t="shared" si="7"/>
        <v>29840.433333333331</v>
      </c>
      <c r="W68" s="1435">
        <f>VLOOKUP(B68,[3]Лист_1!$A$5:$F$55,4,0)</f>
        <v>34570</v>
      </c>
      <c r="X68" s="1639">
        <f>VLOOKUP(B68,[3]Лист_1!$A$5:$D$54,3,0)</f>
        <v>1728.5</v>
      </c>
      <c r="Y68" s="1210">
        <f t="shared" si="8"/>
        <v>30455.699999999997</v>
      </c>
      <c r="Z68" s="1435">
        <f>VLOOKUP(B68,[6]Лист_1!$C$5:$E$64,3,0)</f>
        <v>42040</v>
      </c>
      <c r="AA68" s="1502"/>
      <c r="AB68" s="1210">
        <f>E68*$AB$1</f>
        <v>34147.300000000003</v>
      </c>
      <c r="AC68" s="1396">
        <f>VLOOKUP(B68,[7]Лист_1!$A$3:$E$57,4,0)</f>
        <v>22200</v>
      </c>
      <c r="AD68" s="1210">
        <f t="shared" si="9"/>
        <v>35070.199999999997</v>
      </c>
      <c r="AE68" s="1706"/>
      <c r="AF68" s="1210">
        <f t="shared" si="10"/>
        <v>35993.1</v>
      </c>
      <c r="AG68" s="1762"/>
      <c r="AH68" s="1210">
        <f t="shared" ref="AH68" si="31">G68*$AF$1</f>
        <v>17667</v>
      </c>
      <c r="AI68" s="1706">
        <f>VLOOKUP(B68,[29]Лист_1!$A$5:$C$67,3,0)</f>
        <v>18630</v>
      </c>
    </row>
    <row r="69" spans="1:35" s="1232" customFormat="1">
      <c r="A69" s="1232">
        <f t="shared" si="12"/>
        <v>62</v>
      </c>
      <c r="B69" s="1232" t="s">
        <v>497</v>
      </c>
      <c r="C69" s="1232" t="s">
        <v>498</v>
      </c>
      <c r="E69" s="1233">
        <v>16876.5</v>
      </c>
      <c r="F69" s="1234">
        <f t="shared" si="27"/>
        <v>16370.205</v>
      </c>
      <c r="G69" s="1233"/>
      <c r="H69" s="1366">
        <f t="shared" si="1"/>
        <v>-16370.205</v>
      </c>
      <c r="I69" s="1411">
        <f t="shared" si="2"/>
        <v>16370.205</v>
      </c>
      <c r="J69" s="1237"/>
      <c r="K69" s="1238">
        <f t="shared" si="3"/>
        <v>-16370.205</v>
      </c>
      <c r="L69" s="1233"/>
      <c r="M69" s="1412"/>
      <c r="N69" s="1234">
        <f t="shared" si="4"/>
        <v>17720.325000000001</v>
      </c>
      <c r="O69" s="1366"/>
      <c r="P69" s="1234">
        <f t="shared" si="5"/>
        <v>18226.620000000003</v>
      </c>
      <c r="Q69" s="1359"/>
      <c r="R69" s="1234"/>
      <c r="S69" s="1233"/>
      <c r="T69" s="1234"/>
      <c r="U69" s="1438"/>
      <c r="V69" s="1234"/>
      <c r="W69" s="1466"/>
      <c r="X69" s="1650"/>
      <c r="Y69" s="1234"/>
      <c r="Z69" s="1438"/>
      <c r="AA69" s="1651"/>
      <c r="AB69" s="1234"/>
      <c r="AC69" s="1438"/>
      <c r="AD69" s="1234"/>
      <c r="AE69" s="1707"/>
      <c r="AF69" s="1234"/>
      <c r="AG69" s="1763"/>
      <c r="AH69" s="1234"/>
      <c r="AI69" s="1706"/>
    </row>
    <row r="70" spans="1:35" s="77" customFormat="1">
      <c r="A70" s="77">
        <f t="shared" si="12"/>
        <v>63</v>
      </c>
      <c r="B70" s="77" t="s">
        <v>437</v>
      </c>
      <c r="E70" s="535"/>
      <c r="F70" s="1210"/>
      <c r="G70" s="535"/>
      <c r="H70" s="1211"/>
      <c r="I70" s="1418"/>
      <c r="J70" s="979"/>
      <c r="K70" s="980"/>
      <c r="L70" s="535">
        <v>1447.5</v>
      </c>
      <c r="M70" s="1419"/>
      <c r="N70" s="1210"/>
      <c r="O70" s="1211"/>
      <c r="P70" s="1210"/>
      <c r="Q70" s="1358"/>
      <c r="R70" s="1210">
        <f t="shared" si="22"/>
        <v>0</v>
      </c>
      <c r="S70" s="535"/>
      <c r="T70" s="1210">
        <f t="shared" ref="T70:T75" si="32">I70*$T$1</f>
        <v>0</v>
      </c>
      <c r="U70" s="1396"/>
      <c r="V70" s="1210"/>
      <c r="W70" s="1435"/>
      <c r="X70" s="1643"/>
      <c r="Y70" s="1210">
        <f t="shared" ref="Y70:Y77" si="33">E70*$Y$1</f>
        <v>0</v>
      </c>
      <c r="Z70" s="1396"/>
      <c r="AA70" s="1503"/>
      <c r="AB70" s="1210"/>
      <c r="AC70" s="1396"/>
      <c r="AD70" s="1210">
        <f t="shared" ref="AD70:AD77" si="34">E70*$AD$1</f>
        <v>0</v>
      </c>
      <c r="AE70" s="1706"/>
      <c r="AF70" s="1210"/>
      <c r="AG70" s="1762"/>
      <c r="AH70" s="1210"/>
      <c r="AI70" s="1706"/>
    </row>
    <row r="71" spans="1:35" s="77" customFormat="1">
      <c r="A71" s="77">
        <f t="shared" si="12"/>
        <v>64</v>
      </c>
      <c r="B71" s="77" t="s">
        <v>313</v>
      </c>
      <c r="C71" s="77" t="s">
        <v>126</v>
      </c>
      <c r="D71" s="77">
        <v>5</v>
      </c>
      <c r="E71" s="535">
        <v>229800</v>
      </c>
      <c r="F71" s="1210">
        <f t="shared" si="27"/>
        <v>222906</v>
      </c>
      <c r="G71" s="535">
        <f>VLOOKUP(B71,[1]Лист_1!$A$1:$G$65536,7,0)</f>
        <v>54500</v>
      </c>
      <c r="H71" s="1211">
        <f t="shared" si="1"/>
        <v>-168406</v>
      </c>
      <c r="I71" s="1418">
        <f t="shared" si="2"/>
        <v>222906</v>
      </c>
      <c r="J71" s="979">
        <v>200000</v>
      </c>
      <c r="K71" s="980">
        <f t="shared" si="3"/>
        <v>-22906</v>
      </c>
      <c r="L71" s="535">
        <v>92400</v>
      </c>
      <c r="M71" s="1419"/>
      <c r="N71" s="1210">
        <f t="shared" si="4"/>
        <v>241290</v>
      </c>
      <c r="O71" s="1211">
        <v>221900</v>
      </c>
      <c r="P71" s="1210">
        <f>E71*$P$1</f>
        <v>248184.00000000003</v>
      </c>
      <c r="Q71" s="1358">
        <v>135200</v>
      </c>
      <c r="R71" s="1210">
        <f t="shared" si="22"/>
        <v>232098</v>
      </c>
      <c r="S71" s="1396">
        <f>VLOOKUP(B71,[2]Лист_1!$A$1:$C$65536,3,0)</f>
        <v>168800</v>
      </c>
      <c r="T71" s="1210">
        <f t="shared" si="32"/>
        <v>207302.58000000002</v>
      </c>
      <c r="U71" s="1396">
        <v>85500</v>
      </c>
      <c r="V71" s="1210">
        <f>E71*$V$1</f>
        <v>222906</v>
      </c>
      <c r="W71" s="1435">
        <f>VLOOKUP(B71,[3]Лист_1!$A$5:$F$55,4,0)</f>
        <v>128000</v>
      </c>
      <c r="X71" s="1639">
        <f>VLOOKUP(B71,[3]Лист_1!$A$5:$D$54,3,0)</f>
        <v>6400</v>
      </c>
      <c r="Y71" s="1210">
        <f t="shared" si="33"/>
        <v>227502</v>
      </c>
      <c r="Z71" s="1435">
        <v>161400</v>
      </c>
      <c r="AA71" s="1502"/>
      <c r="AB71" s="1210">
        <f>E71*$AB$1</f>
        <v>255078.00000000003</v>
      </c>
      <c r="AC71" s="1396">
        <f>VLOOKUP(B71,[7]Лист_1!$A$3:$E$57,4,0)</f>
        <v>158600</v>
      </c>
      <c r="AD71" s="1210">
        <f t="shared" si="34"/>
        <v>261971.99999999997</v>
      </c>
      <c r="AE71" s="1706">
        <v>265285.71000000002</v>
      </c>
      <c r="AF71" s="1210">
        <f t="shared" ref="AF71" si="35">E71*$AF$1</f>
        <v>268866</v>
      </c>
      <c r="AG71" s="1706">
        <v>238200</v>
      </c>
      <c r="AH71" s="1210">
        <f t="shared" ref="AH71" si="36">G71*$AF$1</f>
        <v>63764.999999999993</v>
      </c>
      <c r="AI71" s="1706">
        <f>VLOOKUP(B71,[29]Лист_1!$A$5:$C$67,3,0)</f>
        <v>278000</v>
      </c>
    </row>
    <row r="72" spans="1:35" s="77" customFormat="1">
      <c r="A72" s="77">
        <f t="shared" si="12"/>
        <v>65</v>
      </c>
      <c r="B72" s="984" t="s">
        <v>293</v>
      </c>
      <c r="C72" s="984" t="s">
        <v>1079</v>
      </c>
      <c r="E72" s="535"/>
      <c r="F72" s="1210"/>
      <c r="G72" s="535"/>
      <c r="H72" s="1211"/>
      <c r="I72" s="1420"/>
      <c r="J72" s="980"/>
      <c r="K72" s="980"/>
      <c r="L72" s="535"/>
      <c r="M72" s="1421"/>
      <c r="N72" s="1210"/>
      <c r="O72" s="1211"/>
      <c r="P72" s="1210"/>
      <c r="Q72" s="1211"/>
      <c r="R72" s="1210"/>
      <c r="S72" s="1396">
        <f>VLOOKUP(B72,[2]Лист_1!$A$1:$C$65536,3,0)</f>
        <v>91588.266666666663</v>
      </c>
      <c r="T72" s="1210">
        <f t="shared" si="32"/>
        <v>0</v>
      </c>
      <c r="U72" s="1396"/>
      <c r="V72" s="1210"/>
      <c r="W72" s="1435"/>
      <c r="X72" s="1643"/>
      <c r="Y72" s="1210">
        <f t="shared" si="33"/>
        <v>0</v>
      </c>
      <c r="Z72" s="1396"/>
      <c r="AA72" s="1503"/>
      <c r="AB72" s="1210"/>
      <c r="AC72" s="1396"/>
      <c r="AD72" s="1210">
        <f t="shared" si="34"/>
        <v>0</v>
      </c>
      <c r="AE72" s="1706"/>
      <c r="AF72" s="1210"/>
      <c r="AG72" s="1762"/>
      <c r="AH72" s="1210"/>
      <c r="AI72" s="1706"/>
    </row>
    <row r="73" spans="1:35" s="77" customFormat="1">
      <c r="A73" s="77">
        <f t="shared" si="12"/>
        <v>66</v>
      </c>
      <c r="B73" s="984" t="s">
        <v>1080</v>
      </c>
      <c r="C73" s="984" t="s">
        <v>1081</v>
      </c>
      <c r="E73" s="535"/>
      <c r="F73" s="1210"/>
      <c r="G73" s="535"/>
      <c r="H73" s="1211"/>
      <c r="I73" s="1420"/>
      <c r="J73" s="980"/>
      <c r="K73" s="980"/>
      <c r="L73" s="535"/>
      <c r="M73" s="1421"/>
      <c r="N73" s="1210"/>
      <c r="O73" s="1211"/>
      <c r="P73" s="1210"/>
      <c r="Q73" s="1211"/>
      <c r="R73" s="1210"/>
      <c r="S73" s="1396">
        <f>VLOOKUP(B73,[2]Лист_1!$A$1:$C$65536,3,0)</f>
        <v>145714.28571428571</v>
      </c>
      <c r="T73" s="1210">
        <f t="shared" si="32"/>
        <v>0</v>
      </c>
      <c r="U73" s="1396"/>
      <c r="V73" s="1210"/>
      <c r="W73" s="1435"/>
      <c r="X73" s="1643"/>
      <c r="Y73" s="1210">
        <f t="shared" si="33"/>
        <v>0</v>
      </c>
      <c r="Z73" s="1396"/>
      <c r="AA73" s="1503"/>
      <c r="AB73" s="1210"/>
      <c r="AC73" s="1396"/>
      <c r="AD73" s="1210">
        <f t="shared" si="34"/>
        <v>0</v>
      </c>
      <c r="AE73" s="1706"/>
      <c r="AF73" s="1210"/>
      <c r="AG73" s="1762"/>
      <c r="AH73" s="1210"/>
      <c r="AI73" s="1706">
        <f>VLOOKUP(B73,[29]Лист_1!$A$5:$C$67,3,0)</f>
        <v>284952.38095238095</v>
      </c>
    </row>
    <row r="74" spans="1:35" s="77" customFormat="1">
      <c r="A74" s="77">
        <f t="shared" si="12"/>
        <v>67</v>
      </c>
      <c r="B74" s="77" t="s">
        <v>447</v>
      </c>
      <c r="C74" s="984" t="s">
        <v>1155</v>
      </c>
      <c r="E74" s="535"/>
      <c r="F74" s="1210"/>
      <c r="G74" s="535"/>
      <c r="H74" s="1211"/>
      <c r="I74" s="1420"/>
      <c r="J74" s="980"/>
      <c r="K74" s="980"/>
      <c r="L74" s="535"/>
      <c r="M74" s="1421"/>
      <c r="N74" s="1210"/>
      <c r="O74" s="1211"/>
      <c r="P74" s="1210"/>
      <c r="Q74" s="1211"/>
      <c r="R74" s="1210"/>
      <c r="S74" s="1396"/>
      <c r="T74" s="1210"/>
      <c r="U74" s="1396"/>
      <c r="V74" s="1210">
        <v>200000</v>
      </c>
      <c r="W74" s="1435">
        <v>242321.55</v>
      </c>
      <c r="X74" s="1639">
        <v>12116.03</v>
      </c>
      <c r="Y74" s="1210">
        <v>200000</v>
      </c>
      <c r="Z74" s="1435">
        <v>201584.06</v>
      </c>
      <c r="AA74" s="1503"/>
      <c r="AB74" s="1210"/>
      <c r="AC74" s="1396">
        <f>VLOOKUP(B74,[7]Лист_1!$A$3:$E$57,4,0)</f>
        <v>93375.314285714281</v>
      </c>
      <c r="AD74" s="1210">
        <f t="shared" si="34"/>
        <v>0</v>
      </c>
      <c r="AE74" s="1706"/>
      <c r="AF74" s="1210"/>
      <c r="AG74" s="1762"/>
      <c r="AH74" s="1210"/>
      <c r="AI74" s="1706"/>
    </row>
    <row r="75" spans="1:35" s="77" customFormat="1" ht="14.4">
      <c r="A75" s="77">
        <f t="shared" si="12"/>
        <v>68</v>
      </c>
      <c r="B75" s="1360" t="s">
        <v>1083</v>
      </c>
      <c r="C75" s="984" t="s">
        <v>102</v>
      </c>
      <c r="E75" s="535"/>
      <c r="F75" s="1210"/>
      <c r="G75" s="535"/>
      <c r="H75" s="1211"/>
      <c r="I75" s="1420"/>
      <c r="J75" s="980"/>
      <c r="K75" s="980"/>
      <c r="L75" s="535"/>
      <c r="M75" s="1421"/>
      <c r="N75" s="1210"/>
      <c r="O75" s="1211"/>
      <c r="P75" s="1210"/>
      <c r="Q75" s="1211"/>
      <c r="R75" s="1210"/>
      <c r="S75" s="1396">
        <v>132250</v>
      </c>
      <c r="T75" s="1210">
        <f t="shared" si="32"/>
        <v>0</v>
      </c>
      <c r="U75" s="1396">
        <v>59050</v>
      </c>
      <c r="V75" s="1210"/>
      <c r="W75" s="1435">
        <v>59050</v>
      </c>
      <c r="X75" s="1639">
        <v>0</v>
      </c>
      <c r="Y75" s="1210">
        <f t="shared" si="33"/>
        <v>0</v>
      </c>
      <c r="Z75" s="1396"/>
      <c r="AA75" s="1502"/>
      <c r="AB75" s="1210"/>
      <c r="AC75" s="1396"/>
      <c r="AD75" s="1210">
        <f t="shared" si="34"/>
        <v>0</v>
      </c>
      <c r="AE75" s="1706"/>
      <c r="AF75" s="1210"/>
      <c r="AG75" s="1762"/>
      <c r="AH75" s="1210"/>
      <c r="AI75" s="1706">
        <v>128150</v>
      </c>
    </row>
    <row r="76" spans="1:35" s="77" customFormat="1" ht="14.4">
      <c r="A76" s="77">
        <f t="shared" si="12"/>
        <v>69</v>
      </c>
      <c r="B76" s="1360" t="s">
        <v>1230</v>
      </c>
      <c r="C76" s="984" t="s">
        <v>956</v>
      </c>
      <c r="E76" s="535"/>
      <c r="F76" s="1210"/>
      <c r="G76" s="535"/>
      <c r="H76" s="1211"/>
      <c r="I76" s="1420"/>
      <c r="J76" s="980"/>
      <c r="K76" s="980"/>
      <c r="L76" s="535"/>
      <c r="M76" s="1421"/>
      <c r="N76" s="1210"/>
      <c r="O76" s="1211"/>
      <c r="P76" s="1210"/>
      <c r="Q76" s="1211"/>
      <c r="R76" s="1210"/>
      <c r="S76" s="1396"/>
      <c r="T76" s="1210"/>
      <c r="U76" s="1396"/>
      <c r="V76" s="1210"/>
      <c r="W76" s="1435"/>
      <c r="X76" s="1639"/>
      <c r="Y76" s="1210"/>
      <c r="Z76" s="1396"/>
      <c r="AA76" s="1502"/>
      <c r="AB76" s="1210"/>
      <c r="AC76" s="1396"/>
      <c r="AD76" s="1210"/>
      <c r="AE76" s="1706"/>
      <c r="AF76" s="1210"/>
      <c r="AG76" s="1762"/>
      <c r="AH76" s="1210"/>
      <c r="AI76" s="1706">
        <f>VLOOKUP(B76,[29]Лист_1!$A$5:$C$67,3,0)</f>
        <v>187200</v>
      </c>
    </row>
    <row r="77" spans="1:35" s="77" customFormat="1" ht="15" thickBot="1">
      <c r="A77" s="77">
        <f t="shared" ref="A77" si="37">A76+1</f>
        <v>70</v>
      </c>
      <c r="B77" s="1360" t="s">
        <v>1104</v>
      </c>
      <c r="C77" s="984" t="s">
        <v>1105</v>
      </c>
      <c r="E77" s="535"/>
      <c r="F77" s="1210"/>
      <c r="G77" s="535"/>
      <c r="H77" s="1211"/>
      <c r="I77" s="1420"/>
      <c r="J77" s="980"/>
      <c r="K77" s="980"/>
      <c r="L77" s="535"/>
      <c r="M77" s="1421"/>
      <c r="N77" s="1210"/>
      <c r="O77" s="1211"/>
      <c r="P77" s="1210"/>
      <c r="Q77" s="1211"/>
      <c r="R77" s="1210"/>
      <c r="S77" s="1396"/>
      <c r="T77" s="1210"/>
      <c r="U77" s="1396">
        <v>128600</v>
      </c>
      <c r="V77" s="1210"/>
      <c r="W77" s="1435"/>
      <c r="X77" s="1643"/>
      <c r="Y77" s="1210">
        <f t="shared" si="33"/>
        <v>0</v>
      </c>
      <c r="Z77" s="1396"/>
      <c r="AA77" s="1503"/>
      <c r="AB77" s="1210"/>
      <c r="AC77" s="1396"/>
      <c r="AD77" s="1210">
        <f t="shared" si="34"/>
        <v>0</v>
      </c>
      <c r="AE77" s="1706"/>
      <c r="AF77" s="1210"/>
      <c r="AG77" s="1762"/>
      <c r="AH77" s="1210"/>
      <c r="AI77" s="1706"/>
    </row>
    <row r="78" spans="1:35" s="176" customFormat="1" ht="13.8" thickBot="1">
      <c r="A78" s="1440"/>
      <c r="E78" s="1441">
        <f t="shared" ref="E78:K78" si="38">SUM(E4:E71)</f>
        <v>10479531.453333335</v>
      </c>
      <c r="F78" s="1442">
        <f t="shared" si="38"/>
        <v>10165145.50973333</v>
      </c>
      <c r="G78" s="1219">
        <f>SUM(G4:G71)</f>
        <v>8477722.7333333325</v>
      </c>
      <c r="H78" s="1443">
        <f t="shared" si="38"/>
        <v>-1687422.7764000006</v>
      </c>
      <c r="I78" s="1444">
        <f t="shared" si="38"/>
        <v>10216230.403066665</v>
      </c>
      <c r="J78" s="1445">
        <f t="shared" si="38"/>
        <v>8050890</v>
      </c>
      <c r="K78" s="1445">
        <f t="shared" si="38"/>
        <v>-2165270.7197333327</v>
      </c>
      <c r="L78" s="1200">
        <v>8583947.3357142843</v>
      </c>
      <c r="M78" s="1446"/>
      <c r="N78" s="1442">
        <f>SUM(N4:N71)</f>
        <v>10764749.220999999</v>
      </c>
      <c r="O78" s="1221">
        <v>8987414.3142857142</v>
      </c>
      <c r="P78" s="1442">
        <f>SUM(P4:P71)</f>
        <v>10375631.997599998</v>
      </c>
      <c r="Q78" s="1221">
        <f>SUM(Q4:Q71)</f>
        <v>9814327.9142857119</v>
      </c>
      <c r="R78" s="1442">
        <f>SUM(R4:R71)</f>
        <v>9896769.454023812</v>
      </c>
      <c r="S78" s="1219">
        <f>SUM(S4:S75)</f>
        <v>9934360.8833333328</v>
      </c>
      <c r="T78" s="1442">
        <f>SUM(T4:T71)</f>
        <v>8064279.9723119987</v>
      </c>
      <c r="U78" s="1219">
        <f>SUM(U4:U77)</f>
        <v>8150692.4490476185</v>
      </c>
      <c r="V78" s="1442">
        <f>SUM(V4:V42)</f>
        <v>6143136.5558999991</v>
      </c>
      <c r="W78" s="1219">
        <f>SUM(W4:W77)</f>
        <v>8346684.2023809524</v>
      </c>
      <c r="X78" s="1644"/>
      <c r="Y78" s="1442">
        <f>SUM(Y4:Y42)</f>
        <v>6050394.3753000004</v>
      </c>
      <c r="Z78" s="1219">
        <f>SUM(Z4:Z77)</f>
        <v>7048368.2523809513</v>
      </c>
      <c r="AA78" s="1504"/>
      <c r="AB78" s="1442">
        <f>SUM(AB4:AB42)</f>
        <v>6172100.0216999995</v>
      </c>
      <c r="AC78" s="1219">
        <f>SUM(AC4:AC77)</f>
        <v>7264562.0233333334</v>
      </c>
      <c r="AD78" s="1442">
        <f>SUM(AD4:AD42)</f>
        <v>5936962.8358000005</v>
      </c>
      <c r="AE78" s="1221">
        <f>SUM(AE4:AE77)</f>
        <v>7420532.8385714283</v>
      </c>
      <c r="AF78" s="1442">
        <f>SUM(AF4:AF42)</f>
        <v>5998703.8448999999</v>
      </c>
      <c r="AG78" s="1764">
        <f>SUM(AG4:AG77)</f>
        <v>7546009.6547619049</v>
      </c>
      <c r="AH78" s="1442">
        <f>SUM(AH4:AH42)</f>
        <v>6075227.8637142861</v>
      </c>
      <c r="AI78" s="1764">
        <f>SUM(AI4:AI77)</f>
        <v>9479767.688571427</v>
      </c>
    </row>
    <row r="79" spans="1:35" s="151" customFormat="1" ht="27" thickBot="1">
      <c r="A79" s="1218"/>
      <c r="C79" s="1473" t="s">
        <v>944</v>
      </c>
      <c r="E79" s="1219"/>
      <c r="F79" s="1220"/>
      <c r="G79" s="1219">
        <f>COUNT(G4:G71)</f>
        <v>43</v>
      </c>
      <c r="H79" s="1221">
        <f>H12+H15+H21+H29+H30+H36+H37+H43+H52+H65+H67+H71+H48</f>
        <v>-2709301.4866523813</v>
      </c>
      <c r="I79" s="1427"/>
      <c r="J79" s="1199"/>
      <c r="K79" s="1199">
        <f>K7+K11+K15+K21+K26+K30+K37++K48+K52+K58+K65+K67</f>
        <v>-1767560.0727000001</v>
      </c>
      <c r="L79" s="1200">
        <v>43</v>
      </c>
      <c r="M79" s="1428"/>
      <c r="N79" s="1220"/>
      <c r="O79" s="1221"/>
      <c r="P79" s="1220"/>
      <c r="Q79" s="1474"/>
      <c r="R79" s="1220"/>
      <c r="S79" s="1219"/>
      <c r="T79" s="1220"/>
      <c r="U79" s="1219"/>
      <c r="V79" s="1220"/>
      <c r="W79" s="1219"/>
      <c r="X79" s="1644"/>
      <c r="Y79" s="1220"/>
      <c r="Z79" s="1219"/>
      <c r="AA79" s="1504"/>
      <c r="AB79" s="1220"/>
      <c r="AC79" s="1219"/>
      <c r="AD79" s="1220"/>
      <c r="AE79" s="1221"/>
      <c r="AF79" s="1220"/>
      <c r="AG79" s="1764"/>
      <c r="AH79" s="1220"/>
      <c r="AI79" s="1764"/>
    </row>
    <row r="80" spans="1:35" s="1393" customFormat="1" ht="14.25" customHeight="1">
      <c r="A80" s="1392"/>
      <c r="C80" s="1393" t="s">
        <v>943</v>
      </c>
      <c r="E80" s="1217"/>
      <c r="F80" s="1394">
        <f>COUNT(F4:F71)</f>
        <v>53</v>
      </c>
      <c r="G80" s="1217">
        <f>COUNT(G4:G71)</f>
        <v>43</v>
      </c>
      <c r="H80" s="1389"/>
      <c r="I80" s="1394">
        <f>COUNT(I4:I71)</f>
        <v>55</v>
      </c>
      <c r="J80" s="1449"/>
      <c r="K80" s="1449"/>
      <c r="L80" s="1450">
        <v>43</v>
      </c>
      <c r="M80" s="1451"/>
      <c r="N80" s="1394"/>
      <c r="O80" s="1389">
        <v>45</v>
      </c>
      <c r="P80" s="1394"/>
      <c r="Q80" s="1389">
        <f>COUNT(Q4:Q71)</f>
        <v>40</v>
      </c>
      <c r="R80" s="1394"/>
      <c r="S80" s="1217">
        <f>COUNT(S4:S71)</f>
        <v>37</v>
      </c>
      <c r="T80" s="1394"/>
      <c r="U80" s="1217">
        <f>COUNT(U4:U75)</f>
        <v>37</v>
      </c>
      <c r="V80" s="1394"/>
      <c r="W80" s="1217">
        <f>COUNT(W4:W77)</f>
        <v>36</v>
      </c>
      <c r="X80" s="1645"/>
      <c r="Y80" s="1394"/>
      <c r="Z80" s="1217">
        <f>COUNT(Z4:Z77)</f>
        <v>35</v>
      </c>
      <c r="AA80" s="1505"/>
      <c r="AB80" s="1394"/>
      <c r="AC80" s="1217">
        <f>COUNT(AC4:AC77)</f>
        <v>36</v>
      </c>
      <c r="AD80" s="1394"/>
      <c r="AE80" s="1389">
        <f>COUNT(AE4:AE77)</f>
        <v>34</v>
      </c>
      <c r="AF80" s="1394"/>
      <c r="AG80" s="1765">
        <f>COUNT(AG4:AG77)</f>
        <v>31</v>
      </c>
      <c r="AH80" s="1394"/>
      <c r="AI80" s="1765">
        <f>COUNT(AI4:AI77)</f>
        <v>36</v>
      </c>
    </row>
    <row r="81" spans="1:35" s="1453" customFormat="1" ht="14.25" customHeight="1" thickBot="1">
      <c r="A81" s="1452"/>
      <c r="C81" s="1453" t="s">
        <v>179</v>
      </c>
      <c r="E81" s="782"/>
      <c r="F81" s="1399">
        <f>F78/F80</f>
        <v>191795.19829685529</v>
      </c>
      <c r="G81" s="782">
        <f>G78/G80</f>
        <v>197156.34263565889</v>
      </c>
      <c r="H81" s="1390"/>
      <c r="I81" s="1399">
        <f>I78/I80</f>
        <v>185749.64369212117</v>
      </c>
      <c r="J81" s="1454"/>
      <c r="K81" s="1454"/>
      <c r="L81" s="1455">
        <v>199593.01943521592</v>
      </c>
      <c r="M81" s="1456"/>
      <c r="N81" s="1399"/>
      <c r="O81" s="1390">
        <v>199720.31809523809</v>
      </c>
      <c r="P81" s="1399"/>
      <c r="Q81" s="1390">
        <f>Q78/Q80</f>
        <v>245358.1978571428</v>
      </c>
      <c r="R81" s="1399"/>
      <c r="S81" s="782">
        <f>S78/S80</f>
        <v>268496.24009009008</v>
      </c>
      <c r="T81" s="1399"/>
      <c r="U81" s="782">
        <f>U78/U80</f>
        <v>220288.98510939509</v>
      </c>
      <c r="V81" s="1399"/>
      <c r="W81" s="782">
        <f>W78/W80</f>
        <v>231852.33895502647</v>
      </c>
      <c r="X81" s="1646"/>
      <c r="Y81" s="1399"/>
      <c r="Z81" s="782">
        <f>Z78/Z80</f>
        <v>201381.95006802719</v>
      </c>
      <c r="AA81" s="1506"/>
      <c r="AB81" s="1399"/>
      <c r="AC81" s="782">
        <f>AC78/AC80</f>
        <v>201793.38953703703</v>
      </c>
      <c r="AD81" s="1399"/>
      <c r="AE81" s="1390">
        <f>AE78/AE80</f>
        <v>218250.96584033614</v>
      </c>
      <c r="AF81" s="1399"/>
      <c r="AG81" s="1766">
        <f>AG78/AG80</f>
        <v>243419.66628264208</v>
      </c>
      <c r="AH81" s="1399"/>
      <c r="AI81" s="1766">
        <f>AI78/AI80</f>
        <v>263326.88023809518</v>
      </c>
    </row>
    <row r="82" spans="1:35" s="176" customFormat="1" ht="15" customHeight="1" thickBot="1">
      <c r="A82" s="1440"/>
      <c r="C82" s="1464"/>
      <c r="E82" s="1441"/>
      <c r="F82" s="1442"/>
      <c r="G82" s="1441"/>
      <c r="H82" s="1221"/>
      <c r="I82" s="1444"/>
      <c r="J82" s="1445"/>
      <c r="K82" s="1445"/>
      <c r="L82" s="1465"/>
      <c r="M82" s="1446"/>
      <c r="N82" s="1442"/>
      <c r="O82" s="1443"/>
      <c r="P82" s="1442"/>
      <c r="Q82" s="1443"/>
      <c r="R82" s="1442"/>
      <c r="S82" s="1441"/>
      <c r="T82" s="1442"/>
      <c r="U82" s="1441"/>
      <c r="V82" s="1442"/>
      <c r="W82" s="1441"/>
      <c r="X82" s="1644"/>
      <c r="Y82" s="1442"/>
      <c r="Z82" s="1441"/>
      <c r="AA82" s="1504"/>
      <c r="AB82" s="1442"/>
      <c r="AC82" s="1441"/>
      <c r="AD82" s="1442"/>
      <c r="AE82" s="1443"/>
      <c r="AF82" s="1442"/>
      <c r="AG82" s="1767"/>
      <c r="AH82" s="1442"/>
      <c r="AI82" s="1767"/>
    </row>
    <row r="83" spans="1:35" s="151" customFormat="1" ht="13.8" thickBot="1">
      <c r="A83" s="1218"/>
      <c r="C83" s="151" t="s">
        <v>930</v>
      </c>
      <c r="E83" s="1219"/>
      <c r="F83" s="1220"/>
      <c r="G83" s="1219"/>
      <c r="H83" s="1439"/>
      <c r="I83" s="1427"/>
      <c r="J83" s="1199"/>
      <c r="K83" s="1199"/>
      <c r="L83" s="1200">
        <v>176800</v>
      </c>
      <c r="M83" s="1428"/>
      <c r="N83" s="1220"/>
      <c r="O83" s="1221">
        <v>380485</v>
      </c>
      <c r="P83" s="1220"/>
      <c r="Q83" s="1221">
        <f>SUM(Q84:Q125)</f>
        <v>685695.4761904761</v>
      </c>
      <c r="R83" s="1220"/>
      <c r="S83" s="1219">
        <f>SUM(S84:S125)</f>
        <v>364342</v>
      </c>
      <c r="T83" s="1220"/>
      <c r="U83" s="1219">
        <f>SUM(U84:U125)</f>
        <v>604575.51428571437</v>
      </c>
      <c r="V83" s="1220"/>
      <c r="W83" s="1219">
        <f>SUM(W84:W125)</f>
        <v>1674336.2414285713</v>
      </c>
      <c r="X83" s="1644"/>
      <c r="Y83" s="1220"/>
      <c r="Z83" s="1219">
        <f>SUM(Z84:Z125)</f>
        <v>2783075.52</v>
      </c>
      <c r="AA83" s="1504"/>
      <c r="AB83" s="1220"/>
      <c r="AC83" s="1219">
        <f>SUM(AC84:AC125)</f>
        <v>2940865.3380952384</v>
      </c>
      <c r="AD83" s="1394"/>
      <c r="AE83" s="1389">
        <f>SUM(AE84:AE125)</f>
        <v>3410570.6571428566</v>
      </c>
      <c r="AF83" s="1394"/>
      <c r="AG83" s="1765">
        <f>SUM(AG84:AG125)</f>
        <v>2909900.0285714287</v>
      </c>
      <c r="AH83" s="1394"/>
      <c r="AI83" s="1765">
        <f>SUM(AI84:AI125)</f>
        <v>4739673.9571428569</v>
      </c>
    </row>
    <row r="84" spans="1:35" s="1214" customFormat="1">
      <c r="A84" s="1240">
        <v>1</v>
      </c>
      <c r="B84" s="1214" t="s">
        <v>955</v>
      </c>
      <c r="C84" s="1214" t="s">
        <v>955</v>
      </c>
      <c r="E84" s="1241"/>
      <c r="F84" s="1242"/>
      <c r="G84" s="1241"/>
      <c r="H84" s="1424"/>
      <c r="I84" s="1242"/>
      <c r="J84" s="1241">
        <v>30000</v>
      </c>
      <c r="K84" s="1241"/>
      <c r="L84" s="1241"/>
      <c r="M84" s="1424"/>
      <c r="N84" s="1242"/>
      <c r="O84" s="1243"/>
      <c r="P84" s="1242"/>
      <c r="Q84" s="1362"/>
      <c r="R84" s="1242"/>
      <c r="S84" s="1241"/>
      <c r="T84" s="1242"/>
      <c r="U84" s="1241"/>
      <c r="V84" s="1242"/>
      <c r="W84" s="1241"/>
      <c r="X84" s="1645"/>
      <c r="Y84" s="1242"/>
      <c r="Z84" s="1241"/>
      <c r="AA84" s="1505"/>
      <c r="AB84" s="1242"/>
      <c r="AC84" s="1241"/>
      <c r="AD84" s="1242"/>
      <c r="AE84" s="1243"/>
      <c r="AF84" s="1242"/>
      <c r="AG84" s="1768"/>
      <c r="AH84" s="1242"/>
      <c r="AI84" s="1768"/>
    </row>
    <row r="85" spans="1:35" s="1985" customFormat="1">
      <c r="A85" s="1222">
        <f>A84+1</f>
        <v>2</v>
      </c>
      <c r="B85" s="1985" t="s">
        <v>956</v>
      </c>
      <c r="C85" s="1985" t="s">
        <v>956</v>
      </c>
      <c r="E85" s="1986"/>
      <c r="F85" s="1223"/>
      <c r="G85" s="1986"/>
      <c r="H85" s="1425"/>
      <c r="I85" s="1223"/>
      <c r="J85" s="1986">
        <v>16380</v>
      </c>
      <c r="K85" s="1986"/>
      <c r="L85" s="1986"/>
      <c r="M85" s="1425"/>
      <c r="N85" s="1223"/>
      <c r="O85" s="1224"/>
      <c r="P85" s="1223"/>
      <c r="Q85" s="1358"/>
      <c r="R85" s="1223"/>
      <c r="S85" s="1986"/>
      <c r="T85" s="1223"/>
      <c r="U85" s="1986"/>
      <c r="V85" s="1223"/>
      <c r="W85" s="1986"/>
      <c r="X85" s="1987"/>
      <c r="Y85" s="1223"/>
      <c r="Z85" s="1986"/>
      <c r="AA85" s="1503"/>
      <c r="AB85" s="1223"/>
      <c r="AC85" s="1986"/>
      <c r="AD85" s="1223"/>
      <c r="AE85" s="1224"/>
      <c r="AF85" s="1223"/>
      <c r="AG85" s="1762"/>
      <c r="AH85" s="1223"/>
      <c r="AI85" s="1762"/>
    </row>
    <row r="86" spans="1:35" s="1985" customFormat="1">
      <c r="A86" s="1222">
        <f t="shared" ref="A86:A125" si="39">A85+1</f>
        <v>3</v>
      </c>
      <c r="B86" s="1985" t="s">
        <v>968</v>
      </c>
      <c r="E86" s="1986"/>
      <c r="F86" s="1223"/>
      <c r="G86" s="1986"/>
      <c r="H86" s="1425"/>
      <c r="I86" s="1223"/>
      <c r="J86" s="1986"/>
      <c r="K86" s="1986"/>
      <c r="L86" s="1986">
        <v>76800</v>
      </c>
      <c r="M86" s="1425"/>
      <c r="N86" s="1223"/>
      <c r="O86" s="1224"/>
      <c r="P86" s="1223"/>
      <c r="Q86" s="1358"/>
      <c r="R86" s="1223"/>
      <c r="S86" s="1986"/>
      <c r="T86" s="1223"/>
      <c r="U86" s="1986"/>
      <c r="V86" s="1223"/>
      <c r="W86" s="1986"/>
      <c r="X86" s="1987"/>
      <c r="Y86" s="1223"/>
      <c r="Z86" s="1986"/>
      <c r="AA86" s="1503"/>
      <c r="AB86" s="1223"/>
      <c r="AC86" s="1986"/>
      <c r="AD86" s="1223"/>
      <c r="AE86" s="1224"/>
      <c r="AF86" s="1223"/>
      <c r="AG86" s="1762"/>
      <c r="AH86" s="1223"/>
      <c r="AI86" s="1762"/>
    </row>
    <row r="87" spans="1:35" s="1985" customFormat="1">
      <c r="A87" s="1222">
        <f t="shared" si="39"/>
        <v>4</v>
      </c>
      <c r="B87" s="1985" t="s">
        <v>1023</v>
      </c>
      <c r="C87" s="1985" t="s">
        <v>1022</v>
      </c>
      <c r="E87" s="1986"/>
      <c r="F87" s="1986"/>
      <c r="G87" s="1986"/>
      <c r="I87" s="1986"/>
      <c r="J87" s="1986"/>
      <c r="K87" s="1986"/>
      <c r="L87" s="1986"/>
      <c r="N87" s="1986"/>
      <c r="O87" s="1986">
        <v>96915</v>
      </c>
      <c r="P87" s="1986"/>
      <c r="Q87" s="1988">
        <v>188763</v>
      </c>
      <c r="R87" s="1986"/>
      <c r="S87" s="1989">
        <f>VLOOKUP(B87,[2]Лист_1!$A$1:$C$65536,3,0)</f>
        <v>93262.999999999985</v>
      </c>
      <c r="T87" s="1986"/>
      <c r="U87" s="1986">
        <v>106180</v>
      </c>
      <c r="V87" s="1986"/>
      <c r="W87" s="1990">
        <f>VLOOKUP(B87,[3]Лист_1!$A$5:$F$54,4,0)</f>
        <v>124050</v>
      </c>
      <c r="X87" s="1991">
        <f>VLOOKUP(B87,[3]Лист_1!$A$5:$D$54,3,0)</f>
        <v>6202.5</v>
      </c>
      <c r="Y87" s="1223"/>
      <c r="Z87" s="1990">
        <v>159790</v>
      </c>
      <c r="AA87" s="1502"/>
      <c r="AB87" s="1223"/>
      <c r="AC87" s="1989">
        <f>VLOOKUP(B87,[7]Лист_1!$A$3:$E$56,4,0)</f>
        <v>106180</v>
      </c>
      <c r="AD87" s="1223"/>
      <c r="AE87" s="1224">
        <f>VLOOKUP(B87,[4]Лист_1!$A$5:$D$59,3,0)</f>
        <v>106180</v>
      </c>
      <c r="AF87" s="1223"/>
      <c r="AG87" s="1706">
        <f>VLOOKUP(B87,[5]Лист_1!$A$3:$C$50,3,0)</f>
        <v>106180</v>
      </c>
      <c r="AH87" s="1223"/>
      <c r="AI87" s="1762">
        <f>VLOOKUP(B87,[29]Лист_1!$A$5:$C$68,3,0)</f>
        <v>177625.8</v>
      </c>
    </row>
    <row r="88" spans="1:35" s="1985" customFormat="1">
      <c r="A88" s="1222">
        <f t="shared" si="39"/>
        <v>5</v>
      </c>
      <c r="B88" s="1985" t="s">
        <v>1024</v>
      </c>
      <c r="C88" s="1985" t="s">
        <v>786</v>
      </c>
      <c r="E88" s="1986"/>
      <c r="F88" s="1223"/>
      <c r="G88" s="1986"/>
      <c r="H88" s="1425"/>
      <c r="I88" s="1223"/>
      <c r="J88" s="1986"/>
      <c r="K88" s="1986"/>
      <c r="L88" s="1986"/>
      <c r="M88" s="1425"/>
      <c r="N88" s="1223"/>
      <c r="O88" s="1224">
        <v>67900</v>
      </c>
      <c r="P88" s="1223"/>
      <c r="Q88" s="1358">
        <v>20700</v>
      </c>
      <c r="R88" s="1223"/>
      <c r="S88" s="1986"/>
      <c r="T88" s="1223"/>
      <c r="U88" s="1986"/>
      <c r="V88" s="1223"/>
      <c r="W88" s="1986"/>
      <c r="X88" s="1987"/>
      <c r="Y88" s="1223"/>
      <c r="Z88" s="1986"/>
      <c r="AA88" s="1503"/>
      <c r="AB88" s="1223"/>
      <c r="AC88" s="1986"/>
      <c r="AD88" s="1223"/>
      <c r="AE88" s="1224"/>
      <c r="AF88" s="1223"/>
      <c r="AG88" s="1762"/>
      <c r="AH88" s="1223"/>
      <c r="AI88" s="1762"/>
    </row>
    <row r="89" spans="1:35" s="1985" customFormat="1">
      <c r="A89" s="1222">
        <f t="shared" si="39"/>
        <v>6</v>
      </c>
      <c r="B89" s="1985" t="s">
        <v>1026</v>
      </c>
      <c r="C89" s="1985" t="s">
        <v>1027</v>
      </c>
      <c r="E89" s="1986"/>
      <c r="F89" s="1223"/>
      <c r="G89" s="1986"/>
      <c r="H89" s="1425"/>
      <c r="I89" s="1223"/>
      <c r="J89" s="1986"/>
      <c r="K89" s="1986"/>
      <c r="L89" s="1986"/>
      <c r="M89" s="1425"/>
      <c r="N89" s="1223"/>
      <c r="O89" s="1224">
        <v>23786</v>
      </c>
      <c r="P89" s="1223"/>
      <c r="Q89" s="1358"/>
      <c r="R89" s="1223"/>
      <c r="S89" s="1986"/>
      <c r="T89" s="1223"/>
      <c r="U89" s="1986"/>
      <c r="V89" s="1223"/>
      <c r="W89" s="1986"/>
      <c r="X89" s="1987"/>
      <c r="Y89" s="1223"/>
      <c r="Z89" s="1986">
        <v>75013.86</v>
      </c>
      <c r="AA89" s="1503"/>
      <c r="AB89" s="1223"/>
      <c r="AC89" s="1989">
        <f>VLOOKUP(B89,[7]Лист_1!$A$3:$E$56,4,0)</f>
        <v>59132.380952380947</v>
      </c>
      <c r="AD89" s="1223"/>
      <c r="AE89" s="1224">
        <f>VLOOKUP(B89,[4]Лист_1!$A$5:$D$59,3,0)</f>
        <v>33065.238095238092</v>
      </c>
      <c r="AF89" s="1223"/>
      <c r="AG89" s="1706">
        <f>VLOOKUP(B89,[5]Лист_1!$A$3:$C$50,3,0)</f>
        <v>45419.523809523809</v>
      </c>
      <c r="AH89" s="1223"/>
      <c r="AI89" s="1762"/>
    </row>
    <row r="90" spans="1:35" s="1985" customFormat="1">
      <c r="A90" s="1222">
        <f t="shared" si="39"/>
        <v>7</v>
      </c>
      <c r="B90" s="1985" t="s">
        <v>1031</v>
      </c>
      <c r="C90" s="1985" t="s">
        <v>1030</v>
      </c>
      <c r="E90" s="1986"/>
      <c r="F90" s="1223"/>
      <c r="G90" s="1986"/>
      <c r="H90" s="1425"/>
      <c r="I90" s="1223"/>
      <c r="J90" s="1986"/>
      <c r="K90" s="1986"/>
      <c r="L90" s="1986"/>
      <c r="M90" s="1425"/>
      <c r="N90" s="1223"/>
      <c r="O90" s="1224">
        <v>26667</v>
      </c>
      <c r="P90" s="1223"/>
      <c r="Q90" s="1358"/>
      <c r="R90" s="1223"/>
      <c r="S90" s="1986"/>
      <c r="T90" s="1223"/>
      <c r="U90" s="1986"/>
      <c r="V90" s="1223"/>
      <c r="W90" s="1986"/>
      <c r="X90" s="1987"/>
      <c r="Y90" s="1223"/>
      <c r="Z90" s="1986"/>
      <c r="AA90" s="1503"/>
      <c r="AB90" s="1223"/>
      <c r="AC90" s="1986"/>
      <c r="AD90" s="1223"/>
      <c r="AE90" s="1224"/>
      <c r="AF90" s="1223"/>
      <c r="AG90" s="1762"/>
      <c r="AH90" s="1223"/>
      <c r="AI90" s="1762"/>
    </row>
    <row r="91" spans="1:35" s="1985" customFormat="1" ht="14.4" customHeight="1">
      <c r="A91" s="1222">
        <f t="shared" si="39"/>
        <v>8</v>
      </c>
      <c r="B91" s="1985" t="s">
        <v>1034</v>
      </c>
      <c r="C91" s="1992" t="s">
        <v>1033</v>
      </c>
      <c r="E91" s="1986"/>
      <c r="F91" s="1223"/>
      <c r="G91" s="1986"/>
      <c r="H91" s="1425"/>
      <c r="I91" s="1223"/>
      <c r="J91" s="1986"/>
      <c r="K91" s="1986"/>
      <c r="L91" s="1986"/>
      <c r="M91" s="1425"/>
      <c r="N91" s="1223"/>
      <c r="O91" s="1224">
        <v>139775</v>
      </c>
      <c r="P91" s="1223"/>
      <c r="Q91" s="1358">
        <v>98083</v>
      </c>
      <c r="R91" s="1223"/>
      <c r="S91" s="1986"/>
      <c r="T91" s="1223"/>
      <c r="U91" s="1986"/>
      <c r="V91" s="1223"/>
      <c r="W91" s="1986"/>
      <c r="X91" s="1987"/>
      <c r="Y91" s="1223"/>
      <c r="Z91" s="1986"/>
      <c r="AA91" s="1503"/>
      <c r="AB91" s="1223"/>
      <c r="AC91" s="1986"/>
      <c r="AD91" s="1223"/>
      <c r="AE91" s="1224"/>
      <c r="AF91" s="1223"/>
      <c r="AG91" s="1762"/>
      <c r="AH91" s="1223"/>
      <c r="AI91" s="1762"/>
    </row>
    <row r="92" spans="1:35" s="1985" customFormat="1" ht="15" customHeight="1">
      <c r="A92" s="1222">
        <f t="shared" si="39"/>
        <v>9</v>
      </c>
      <c r="B92" s="1985" t="s">
        <v>1035</v>
      </c>
      <c r="C92" s="1992" t="s">
        <v>1036</v>
      </c>
      <c r="E92" s="1986"/>
      <c r="F92" s="1223"/>
      <c r="G92" s="1986"/>
      <c r="H92" s="1425"/>
      <c r="I92" s="1223"/>
      <c r="J92" s="1986"/>
      <c r="K92" s="1986"/>
      <c r="L92" s="1986"/>
      <c r="M92" s="1425"/>
      <c r="N92" s="1223"/>
      <c r="O92" s="1224">
        <v>25442</v>
      </c>
      <c r="P92" s="1223"/>
      <c r="Q92" s="1358"/>
      <c r="R92" s="1223"/>
      <c r="S92" s="1986"/>
      <c r="T92" s="1223"/>
      <c r="U92" s="1986"/>
      <c r="V92" s="1223"/>
      <c r="W92" s="1986"/>
      <c r="X92" s="1987"/>
      <c r="Y92" s="1223"/>
      <c r="Z92" s="1986"/>
      <c r="AA92" s="1503"/>
      <c r="AB92" s="1223"/>
      <c r="AC92" s="1986"/>
      <c r="AD92" s="1223"/>
      <c r="AE92" s="1224"/>
      <c r="AF92" s="1223"/>
      <c r="AG92" s="1762"/>
      <c r="AH92" s="1223"/>
      <c r="AI92" s="1762"/>
    </row>
    <row r="93" spans="1:35" s="1985" customFormat="1">
      <c r="A93" s="1222">
        <f t="shared" si="39"/>
        <v>10</v>
      </c>
      <c r="B93" s="1985" t="s">
        <v>1050</v>
      </c>
      <c r="C93" s="1992"/>
      <c r="E93" s="1986"/>
      <c r="F93" s="1223"/>
      <c r="G93" s="1986"/>
      <c r="H93" s="1425"/>
      <c r="I93" s="1223"/>
      <c r="J93" s="1986"/>
      <c r="K93" s="1986"/>
      <c r="L93" s="1986"/>
      <c r="M93" s="1425"/>
      <c r="N93" s="1223"/>
      <c r="O93" s="1224"/>
      <c r="P93" s="1223"/>
      <c r="Q93" s="1358">
        <v>265277.33333333331</v>
      </c>
      <c r="R93" s="1223"/>
      <c r="S93" s="1989">
        <f>VLOOKUP(B93,[2]Лист_1!$A$1:$C$65536,3,0)</f>
        <v>109778.99999999999</v>
      </c>
      <c r="T93" s="1223"/>
      <c r="U93" s="1986">
        <v>128545.51428571429</v>
      </c>
      <c r="V93" s="1223"/>
      <c r="W93" s="1990">
        <f>VLOOKUP(B93,[3]Лист_1!$A$5:$F$54,4,0)+213800</f>
        <v>456404.91428571427</v>
      </c>
      <c r="X93" s="1991">
        <f>VLOOKUP(B93,[3]Лист_1!$A$5:$D$54,3,0)</f>
        <v>12130.245714285731</v>
      </c>
      <c r="Y93" s="1223"/>
      <c r="Z93" s="1989"/>
      <c r="AA93" s="1502"/>
      <c r="AB93" s="1223"/>
      <c r="AC93" s="1986"/>
      <c r="AD93" s="1223"/>
      <c r="AE93" s="1224"/>
      <c r="AF93" s="1223"/>
      <c r="AG93" s="1706">
        <f>VLOOKUP(B93,[5]Лист_1!$A$3:$C$50,3,0)</f>
        <v>131906.71428571426</v>
      </c>
      <c r="AH93" s="1223"/>
      <c r="AI93" s="1762"/>
    </row>
    <row r="94" spans="1:35" s="1985" customFormat="1">
      <c r="A94" s="1222">
        <f t="shared" si="39"/>
        <v>11</v>
      </c>
      <c r="B94" s="1985" t="s">
        <v>1049</v>
      </c>
      <c r="C94" s="1992"/>
      <c r="E94" s="1986"/>
      <c r="F94" s="1223"/>
      <c r="G94" s="1986"/>
      <c r="H94" s="1425"/>
      <c r="I94" s="1223"/>
      <c r="J94" s="1986"/>
      <c r="K94" s="1986"/>
      <c r="L94" s="1986"/>
      <c r="M94" s="1425"/>
      <c r="N94" s="1223"/>
      <c r="O94" s="1224"/>
      <c r="P94" s="1223"/>
      <c r="Q94" s="1358">
        <v>70757.142857142855</v>
      </c>
      <c r="R94" s="1223"/>
      <c r="S94" s="1989"/>
      <c r="T94" s="1223"/>
      <c r="U94" s="1986"/>
      <c r="V94" s="1223"/>
      <c r="W94" s="1986"/>
      <c r="X94" s="1987"/>
      <c r="Y94" s="1223"/>
      <c r="Z94" s="1986"/>
      <c r="AA94" s="1503"/>
      <c r="AB94" s="1223"/>
      <c r="AC94" s="1986"/>
      <c r="AD94" s="1223"/>
      <c r="AE94" s="1224"/>
      <c r="AF94" s="1223"/>
      <c r="AG94" s="1762"/>
      <c r="AH94" s="1223"/>
      <c r="AI94" s="1762"/>
    </row>
    <row r="95" spans="1:35" s="1985" customFormat="1" ht="14.4">
      <c r="A95" s="1222">
        <f t="shared" si="39"/>
        <v>12</v>
      </c>
      <c r="B95" s="1993" t="s">
        <v>1051</v>
      </c>
      <c r="C95" s="1993" t="s">
        <v>1052</v>
      </c>
      <c r="E95" s="1986"/>
      <c r="F95" s="1223"/>
      <c r="G95" s="1986"/>
      <c r="H95" s="1425"/>
      <c r="I95" s="1223"/>
      <c r="J95" s="1986"/>
      <c r="K95" s="1986"/>
      <c r="L95" s="1986"/>
      <c r="M95" s="1425"/>
      <c r="N95" s="1223"/>
      <c r="O95" s="1224"/>
      <c r="P95" s="1223"/>
      <c r="Q95" s="1358">
        <v>42115</v>
      </c>
      <c r="R95" s="1223"/>
      <c r="S95" s="1989"/>
      <c r="T95" s="1223"/>
      <c r="U95" s="1986"/>
      <c r="V95" s="1223"/>
      <c r="W95" s="1994"/>
      <c r="X95" s="1987"/>
      <c r="Y95" s="1223"/>
      <c r="Z95" s="1994"/>
      <c r="AA95" s="1503"/>
      <c r="AB95" s="1223"/>
      <c r="AC95" s="1989">
        <v>144222</v>
      </c>
      <c r="AD95" s="1223"/>
      <c r="AE95" s="1224"/>
      <c r="AF95" s="1223"/>
      <c r="AG95" s="1762"/>
      <c r="AH95" s="1223"/>
      <c r="AI95" s="1762"/>
    </row>
    <row r="96" spans="1:35" s="1985" customFormat="1" ht="14.4">
      <c r="A96" s="1222">
        <f t="shared" si="39"/>
        <v>13</v>
      </c>
      <c r="B96" s="1993" t="s">
        <v>1082</v>
      </c>
      <c r="C96" s="1993"/>
      <c r="E96" s="1986"/>
      <c r="F96" s="1223"/>
      <c r="G96" s="1986"/>
      <c r="H96" s="1425"/>
      <c r="I96" s="1223"/>
      <c r="J96" s="1986"/>
      <c r="K96" s="1986"/>
      <c r="L96" s="1986"/>
      <c r="M96" s="1425"/>
      <c r="N96" s="1223"/>
      <c r="O96" s="1224"/>
      <c r="P96" s="1223"/>
      <c r="Q96" s="1358"/>
      <c r="R96" s="1223"/>
      <c r="S96" s="1989">
        <f>VLOOKUP(B96,[2]Лист_1!$A$1:$C$65536,3,0)</f>
        <v>41300</v>
      </c>
      <c r="T96" s="1223"/>
      <c r="U96" s="1986">
        <v>41300</v>
      </c>
      <c r="V96" s="1223"/>
      <c r="W96" s="1990">
        <f>VLOOKUP(B96,[3]Лист_1!$A$5:$F$54,4,0)</f>
        <v>93316.504761904755</v>
      </c>
      <c r="X96" s="1991">
        <f>VLOOKUP(B96,[3]Лист_1!$A$5:$D$54,3,0)</f>
        <v>4665.8252380952472</v>
      </c>
      <c r="Y96" s="1223"/>
      <c r="Z96" s="1990">
        <v>29500</v>
      </c>
      <c r="AA96" s="1502"/>
      <c r="AB96" s="1223"/>
      <c r="AC96" s="1989">
        <f>VLOOKUP(B96,[7]Лист_1!$A$3:$E$56,4,0)+92200</f>
        <v>139550</v>
      </c>
      <c r="AD96" s="1223"/>
      <c r="AE96" s="1224">
        <f>VLOOKUP(B96,[4]Лист_1!$A$5:$D$59,3,0)</f>
        <v>85190</v>
      </c>
      <c r="AF96" s="1223"/>
      <c r="AG96" s="1706">
        <f>VLOOKUP(B96,[5]Лист_1!$A$3:$C$50,3,0)</f>
        <v>88435</v>
      </c>
      <c r="AH96" s="1223"/>
      <c r="AI96" s="1762">
        <f>VLOOKUP(B96,[29]Лист_1!$A$5:$C$68,3,0)</f>
        <v>92815</v>
      </c>
    </row>
    <row r="97" spans="1:35" s="1985" customFormat="1" ht="14.4">
      <c r="A97" s="1222">
        <f t="shared" si="39"/>
        <v>14</v>
      </c>
      <c r="B97" s="1993" t="s">
        <v>1116</v>
      </c>
      <c r="C97" s="1993"/>
      <c r="E97" s="1986"/>
      <c r="F97" s="1223"/>
      <c r="G97" s="1986"/>
      <c r="H97" s="1425"/>
      <c r="I97" s="1223"/>
      <c r="J97" s="1986"/>
      <c r="K97" s="1986"/>
      <c r="L97" s="1986"/>
      <c r="M97" s="1425"/>
      <c r="N97" s="1223"/>
      <c r="O97" s="1224"/>
      <c r="P97" s="1223"/>
      <c r="Q97" s="1358"/>
      <c r="R97" s="1223"/>
      <c r="S97" s="1989"/>
      <c r="T97" s="1223"/>
      <c r="U97" s="1986"/>
      <c r="V97" s="1223"/>
      <c r="W97" s="1990">
        <f>VLOOKUP(B97,[3]Лист_1!$A$5:$F$54,4,0)</f>
        <v>37906</v>
      </c>
      <c r="X97" s="1991">
        <f>VLOOKUP(B97,[3]Лист_1!$A$5:$D$54,3,0)</f>
        <v>1895.3000000000029</v>
      </c>
      <c r="Y97" s="1223"/>
      <c r="Z97" s="1989"/>
      <c r="AA97" s="1502"/>
      <c r="AB97" s="1223"/>
      <c r="AC97" s="1986"/>
      <c r="AD97" s="1223"/>
      <c r="AE97" s="1224"/>
      <c r="AF97" s="1223"/>
      <c r="AG97" s="1762"/>
      <c r="AH97" s="1223"/>
      <c r="AI97" s="1762"/>
    </row>
    <row r="98" spans="1:35" s="1985" customFormat="1" ht="14.4">
      <c r="A98" s="1222">
        <f t="shared" si="39"/>
        <v>15</v>
      </c>
      <c r="B98" s="1993" t="s">
        <v>1115</v>
      </c>
      <c r="C98" s="1993"/>
      <c r="E98" s="1986"/>
      <c r="F98" s="1223"/>
      <c r="G98" s="1986"/>
      <c r="H98" s="1425"/>
      <c r="I98" s="1223"/>
      <c r="J98" s="1986"/>
      <c r="K98" s="1986"/>
      <c r="L98" s="1986"/>
      <c r="M98" s="1425"/>
      <c r="N98" s="1223"/>
      <c r="O98" s="1224"/>
      <c r="P98" s="1223"/>
      <c r="Q98" s="1358"/>
      <c r="R98" s="1223"/>
      <c r="S98" s="1989">
        <v>120000</v>
      </c>
      <c r="T98" s="1223"/>
      <c r="V98" s="1223"/>
      <c r="W98" s="1990">
        <f>VLOOKUP(B98,[3]Лист_1!$A$5:$F$54,4,0)</f>
        <v>211754.15238095235</v>
      </c>
      <c r="X98" s="1991">
        <f>VLOOKUP(B98,[3]Лист_1!$A$5:$D$54,3,0)</f>
        <v>10587.707619047636</v>
      </c>
      <c r="Y98" s="1223"/>
      <c r="Z98" s="1990">
        <v>187269.78</v>
      </c>
      <c r="AA98" s="1502"/>
      <c r="AB98" s="1223"/>
      <c r="AC98" s="1989">
        <f>VLOOKUP(B98,[7]Лист_1!$A$3:$E$56,4,0)</f>
        <v>189305.47619047618</v>
      </c>
      <c r="AD98" s="1223"/>
      <c r="AE98" s="1224">
        <f>VLOOKUP(B98,[4]Лист_1!$A$5:$D$59,3,0)</f>
        <v>157959.79999999999</v>
      </c>
      <c r="AF98" s="1223"/>
      <c r="AG98" s="1706">
        <f>VLOOKUP(B98,[5]Лист_1!$A$3:$C$50,3,0)</f>
        <v>125109.37142857142</v>
      </c>
      <c r="AH98" s="1223"/>
      <c r="AI98" s="1762">
        <f>VLOOKUP(B98,[29]Лист_1!$A$5:$C$68,3,0)</f>
        <v>143392.6857142857</v>
      </c>
    </row>
    <row r="99" spans="1:35" s="1985" customFormat="1" ht="14.4">
      <c r="A99" s="1222">
        <f t="shared" si="39"/>
        <v>16</v>
      </c>
      <c r="B99" s="1993" t="s">
        <v>1145</v>
      </c>
      <c r="C99" s="1993" t="s">
        <v>1146</v>
      </c>
      <c r="E99" s="1986"/>
      <c r="F99" s="1223"/>
      <c r="G99" s="1986"/>
      <c r="H99" s="1425"/>
      <c r="I99" s="1223"/>
      <c r="J99" s="1986"/>
      <c r="K99" s="1986"/>
      <c r="L99" s="1986"/>
      <c r="M99" s="1425"/>
      <c r="N99" s="1223"/>
      <c r="O99" s="1224"/>
      <c r="P99" s="1223"/>
      <c r="Q99" s="1358"/>
      <c r="R99" s="1223"/>
      <c r="S99" s="1989"/>
      <c r="T99" s="1223"/>
      <c r="V99" s="1223"/>
      <c r="W99" s="1989"/>
      <c r="X99" s="1991"/>
      <c r="Y99" s="1223"/>
      <c r="Z99" s="1990">
        <v>134340</v>
      </c>
      <c r="AA99" s="1502"/>
      <c r="AB99" s="1223"/>
      <c r="AC99" s="1986"/>
      <c r="AD99" s="1223"/>
      <c r="AE99" s="1224"/>
      <c r="AF99" s="1223"/>
      <c r="AG99" s="1762"/>
      <c r="AH99" s="1223"/>
      <c r="AI99" s="1762"/>
    </row>
    <row r="100" spans="1:35" s="1985" customFormat="1" ht="14.4">
      <c r="A100" s="1222">
        <f t="shared" si="39"/>
        <v>17</v>
      </c>
      <c r="B100" s="1993" t="s">
        <v>1148</v>
      </c>
      <c r="C100" s="1993" t="s">
        <v>1149</v>
      </c>
      <c r="E100" s="1986"/>
      <c r="F100" s="1223"/>
      <c r="G100" s="1986"/>
      <c r="H100" s="1425"/>
      <c r="I100" s="1223"/>
      <c r="J100" s="1986"/>
      <c r="K100" s="1986"/>
      <c r="L100" s="1986"/>
      <c r="M100" s="1425"/>
      <c r="N100" s="1223"/>
      <c r="O100" s="1224"/>
      <c r="P100" s="1223"/>
      <c r="Q100" s="1358"/>
      <c r="R100" s="1223"/>
      <c r="S100" s="1989"/>
      <c r="T100" s="1223"/>
      <c r="V100" s="1223"/>
      <c r="W100" s="1989"/>
      <c r="X100" s="1991"/>
      <c r="Y100" s="1223"/>
      <c r="Z100" s="1990">
        <v>101518</v>
      </c>
      <c r="AA100" s="1502"/>
      <c r="AB100" s="1223"/>
      <c r="AC100" s="1986"/>
      <c r="AD100" s="1223"/>
      <c r="AE100" s="1224"/>
      <c r="AF100" s="1223"/>
      <c r="AG100" s="1706">
        <f>VLOOKUP(B100,[5]Лист_1!$A$3:$C$50,3,0)</f>
        <v>119880.95238095238</v>
      </c>
      <c r="AH100" s="1223"/>
      <c r="AI100" s="1762">
        <f>VLOOKUP(B100,[29]Лист_1!$A$5:$C$68,3,0)</f>
        <v>10411.428571428571</v>
      </c>
    </row>
    <row r="101" spans="1:35" s="1985" customFormat="1" ht="14.4">
      <c r="A101" s="1222">
        <f t="shared" si="39"/>
        <v>18</v>
      </c>
      <c r="B101" s="1993" t="s">
        <v>1150</v>
      </c>
      <c r="C101" s="1993" t="s">
        <v>1151</v>
      </c>
      <c r="E101" s="1986"/>
      <c r="F101" s="1223"/>
      <c r="G101" s="1986"/>
      <c r="H101" s="1425"/>
      <c r="I101" s="1223"/>
      <c r="J101" s="1986"/>
      <c r="K101" s="1986"/>
      <c r="L101" s="1986"/>
      <c r="M101" s="1425"/>
      <c r="N101" s="1223"/>
      <c r="O101" s="1224"/>
      <c r="P101" s="1223"/>
      <c r="Q101" s="1358"/>
      <c r="R101" s="1223"/>
      <c r="S101" s="1989"/>
      <c r="T101" s="1223"/>
      <c r="V101" s="1223"/>
      <c r="W101" s="1989"/>
      <c r="X101" s="1991"/>
      <c r="Y101" s="1223"/>
      <c r="Z101" s="1990">
        <v>190476.19</v>
      </c>
      <c r="AA101" s="1502"/>
      <c r="AB101" s="1223"/>
      <c r="AC101" s="1986"/>
      <c r="AD101" s="1223"/>
      <c r="AE101" s="1224"/>
      <c r="AF101" s="1223"/>
      <c r="AG101" s="1762"/>
      <c r="AH101" s="1223"/>
      <c r="AI101" s="1762">
        <f>VLOOKUP(B101,[29]Лист_1!$A$5:$C$68,3,0)</f>
        <v>492938.64761904761</v>
      </c>
    </row>
    <row r="102" spans="1:35" s="1985" customFormat="1" ht="14.4">
      <c r="A102" s="1222">
        <f t="shared" si="39"/>
        <v>19</v>
      </c>
      <c r="B102" s="1993" t="s">
        <v>1152</v>
      </c>
      <c r="C102" s="1993" t="s">
        <v>1153</v>
      </c>
      <c r="E102" s="1986"/>
      <c r="F102" s="1223"/>
      <c r="G102" s="1986"/>
      <c r="H102" s="1425"/>
      <c r="I102" s="1223"/>
      <c r="J102" s="1986"/>
      <c r="K102" s="1986"/>
      <c r="L102" s="1986"/>
      <c r="M102" s="1425"/>
      <c r="N102" s="1223"/>
      <c r="O102" s="1224"/>
      <c r="P102" s="1223"/>
      <c r="Q102" s="1358"/>
      <c r="R102" s="1223"/>
      <c r="S102" s="1989"/>
      <c r="T102" s="1223"/>
      <c r="V102" s="1223"/>
      <c r="W102" s="1989"/>
      <c r="X102" s="1991"/>
      <c r="Y102" s="1223"/>
      <c r="Z102" s="1990">
        <v>52945</v>
      </c>
      <c r="AA102" s="1502"/>
      <c r="AB102" s="1223"/>
      <c r="AC102" s="1989">
        <f>VLOOKUP(B102,[7]Лист_1!$A$3:$E$56,4,0)</f>
        <v>25313.504761904762</v>
      </c>
      <c r="AD102" s="1223"/>
      <c r="AE102" s="1224"/>
      <c r="AF102" s="1223"/>
      <c r="AG102" s="1762"/>
      <c r="AH102" s="1223"/>
      <c r="AI102" s="1762"/>
    </row>
    <row r="103" spans="1:35" s="1985" customFormat="1" ht="14.4">
      <c r="A103" s="1222">
        <f t="shared" si="39"/>
        <v>20</v>
      </c>
      <c r="B103" s="1993" t="s">
        <v>1147</v>
      </c>
      <c r="C103" s="1993"/>
      <c r="E103" s="1986"/>
      <c r="F103" s="1223"/>
      <c r="G103" s="1986"/>
      <c r="H103" s="1425"/>
      <c r="I103" s="1223"/>
      <c r="J103" s="1986"/>
      <c r="K103" s="1986"/>
      <c r="L103" s="1986"/>
      <c r="M103" s="1425"/>
      <c r="N103" s="1223"/>
      <c r="O103" s="1224"/>
      <c r="P103" s="1223"/>
      <c r="Q103" s="1358"/>
      <c r="R103" s="1223"/>
      <c r="S103" s="1989"/>
      <c r="T103" s="1223"/>
      <c r="V103" s="1223"/>
      <c r="W103" s="1989"/>
      <c r="X103" s="1991"/>
      <c r="Y103" s="1223"/>
      <c r="Z103" s="1990">
        <v>328619.05</v>
      </c>
      <c r="AA103" s="1502"/>
      <c r="AB103" s="1223"/>
      <c r="AC103" s="1989">
        <f>VLOOKUP(B103,[7]Лист_1!$A$3:$E$56,4,0)</f>
        <v>622601.33333333337</v>
      </c>
      <c r="AD103" s="1223"/>
      <c r="AE103" s="1224">
        <f>VLOOKUP(B103,[4]Лист_1!$A$5:$D$59,3,0)</f>
        <v>440235.80952380947</v>
      </c>
      <c r="AF103" s="1223"/>
      <c r="AG103" s="1706">
        <f>VLOOKUP(B103,[5]Лист_1!$A$3:$C$50,3,0)</f>
        <v>633276.76190476189</v>
      </c>
      <c r="AH103" s="1223"/>
      <c r="AI103" s="1762">
        <f>VLOOKUP(B103,[29]Лист_1!$A$5:$C$68,3,0)</f>
        <v>275821.42857142858</v>
      </c>
    </row>
    <row r="104" spans="1:35" s="1985" customFormat="1" ht="14.4">
      <c r="A104" s="1222">
        <f t="shared" si="39"/>
        <v>21</v>
      </c>
      <c r="B104" s="1993" t="s">
        <v>1175</v>
      </c>
      <c r="C104" s="1993" t="s">
        <v>1176</v>
      </c>
      <c r="E104" s="1986"/>
      <c r="F104" s="1223"/>
      <c r="G104" s="1986"/>
      <c r="H104" s="1425"/>
      <c r="I104" s="1223"/>
      <c r="J104" s="1986"/>
      <c r="K104" s="1986"/>
      <c r="L104" s="1986"/>
      <c r="M104" s="1425"/>
      <c r="N104" s="1223"/>
      <c r="O104" s="1224"/>
      <c r="P104" s="1223"/>
      <c r="Q104" s="1358"/>
      <c r="R104" s="1223"/>
      <c r="S104" s="1989"/>
      <c r="T104" s="1223"/>
      <c r="V104" s="1223"/>
      <c r="W104" s="1989"/>
      <c r="X104" s="1991"/>
      <c r="Y104" s="1223"/>
      <c r="Z104" s="1990">
        <v>28800</v>
      </c>
      <c r="AA104" s="1502"/>
      <c r="AB104" s="1223"/>
      <c r="AC104" s="1989">
        <f>VLOOKUP(B104,[7]Лист_1!$A$3:$E$56,4,0)</f>
        <v>57600</v>
      </c>
      <c r="AD104" s="1223"/>
      <c r="AE104" s="1224"/>
      <c r="AF104" s="1223"/>
      <c r="AG104" s="1762"/>
      <c r="AH104" s="1223"/>
      <c r="AI104" s="1762">
        <f>VLOOKUP(B104,[29]Лист_1!$A$5:$C$68,3,0)</f>
        <v>216000</v>
      </c>
    </row>
    <row r="105" spans="1:35" s="1985" customFormat="1" ht="14.4">
      <c r="A105" s="1222">
        <f t="shared" si="39"/>
        <v>22</v>
      </c>
      <c r="B105" s="1993" t="s">
        <v>1177</v>
      </c>
      <c r="C105" s="1993" t="s">
        <v>1176</v>
      </c>
      <c r="E105" s="1986"/>
      <c r="F105" s="1223"/>
      <c r="G105" s="1986"/>
      <c r="H105" s="1425"/>
      <c r="I105" s="1223"/>
      <c r="J105" s="1986"/>
      <c r="K105" s="1986"/>
      <c r="L105" s="1986"/>
      <c r="M105" s="1425"/>
      <c r="N105" s="1223"/>
      <c r="O105" s="1224"/>
      <c r="P105" s="1223"/>
      <c r="Q105" s="1358"/>
      <c r="R105" s="1223"/>
      <c r="S105" s="1989"/>
      <c r="T105" s="1223"/>
      <c r="V105" s="1223"/>
      <c r="W105" s="1989"/>
      <c r="X105" s="1991"/>
      <c r="Y105" s="1223"/>
      <c r="Z105" s="1990"/>
      <c r="AA105" s="1502"/>
      <c r="AB105" s="1223"/>
      <c r="AC105" s="1989">
        <f>VLOOKUP(B105,[7]Лист_1!$A$3:$E$56,4,0)</f>
        <v>28800</v>
      </c>
      <c r="AD105" s="1223"/>
      <c r="AE105" s="1224"/>
      <c r="AF105" s="1223"/>
      <c r="AG105" s="1762"/>
      <c r="AH105" s="1223"/>
      <c r="AI105" s="1762"/>
    </row>
    <row r="106" spans="1:35" s="1985" customFormat="1" ht="14.4">
      <c r="A106" s="1222">
        <f>A104+1</f>
        <v>22</v>
      </c>
      <c r="B106" s="1993" t="s">
        <v>1154</v>
      </c>
      <c r="C106" s="1993"/>
      <c r="E106" s="1986"/>
      <c r="F106" s="1223"/>
      <c r="G106" s="1986"/>
      <c r="H106" s="1425"/>
      <c r="I106" s="1223"/>
      <c r="J106" s="1986"/>
      <c r="K106" s="1986"/>
      <c r="L106" s="1986"/>
      <c r="M106" s="1425"/>
      <c r="N106" s="1223"/>
      <c r="O106" s="1224"/>
      <c r="P106" s="1223"/>
      <c r="Q106" s="1358"/>
      <c r="R106" s="1223"/>
      <c r="S106" s="1989"/>
      <c r="T106" s="1223"/>
      <c r="V106" s="1223"/>
      <c r="W106" s="1989"/>
      <c r="X106" s="1991"/>
      <c r="Y106" s="1223"/>
      <c r="Z106" s="1990">
        <v>30000</v>
      </c>
      <c r="AA106" s="1502"/>
      <c r="AB106" s="1223"/>
      <c r="AC106" s="1986"/>
      <c r="AD106" s="1223"/>
      <c r="AE106" s="1224">
        <f>VLOOKUP(B106,[4]Лист_1!$A$5:$D$59,3,0)</f>
        <v>30000</v>
      </c>
      <c r="AF106" s="1223"/>
      <c r="AG106" s="1762"/>
      <c r="AH106" s="1223"/>
      <c r="AI106" s="1762"/>
    </row>
    <row r="107" spans="1:35" s="1985" customFormat="1" ht="14.4">
      <c r="A107" s="1222">
        <f t="shared" si="39"/>
        <v>23</v>
      </c>
      <c r="B107" s="1993" t="s">
        <v>1162</v>
      </c>
      <c r="C107" s="1993" t="s">
        <v>1163</v>
      </c>
      <c r="E107" s="1986"/>
      <c r="F107" s="1223"/>
      <c r="G107" s="1986"/>
      <c r="H107" s="1425"/>
      <c r="I107" s="1223"/>
      <c r="J107" s="1986"/>
      <c r="K107" s="1986"/>
      <c r="L107" s="1986"/>
      <c r="M107" s="1425"/>
      <c r="N107" s="1223"/>
      <c r="O107" s="1224"/>
      <c r="P107" s="1223"/>
      <c r="Q107" s="1358"/>
      <c r="R107" s="1223"/>
      <c r="S107" s="1989"/>
      <c r="T107" s="1223"/>
      <c r="V107" s="1223"/>
      <c r="W107" s="1989"/>
      <c r="X107" s="1991"/>
      <c r="Y107" s="1223"/>
      <c r="Z107" s="1990">
        <v>90005.7</v>
      </c>
      <c r="AA107" s="1502"/>
      <c r="AB107" s="1223"/>
      <c r="AC107" s="1986"/>
      <c r="AD107" s="1223"/>
      <c r="AE107" s="1224"/>
      <c r="AF107" s="1223"/>
      <c r="AG107" s="1762"/>
      <c r="AH107" s="1223"/>
      <c r="AI107" s="1762"/>
    </row>
    <row r="108" spans="1:35" s="1985" customFormat="1" ht="14.4">
      <c r="A108" s="1222">
        <f t="shared" si="39"/>
        <v>24</v>
      </c>
      <c r="B108" s="1993" t="s">
        <v>292</v>
      </c>
      <c r="C108" s="1993"/>
      <c r="E108" s="1986"/>
      <c r="F108" s="1223"/>
      <c r="G108" s="1986"/>
      <c r="H108" s="1425"/>
      <c r="I108" s="1223"/>
      <c r="J108" s="1986"/>
      <c r="K108" s="1986"/>
      <c r="L108" s="1986"/>
      <c r="M108" s="1425"/>
      <c r="N108" s="1223"/>
      <c r="O108" s="1224"/>
      <c r="P108" s="1223"/>
      <c r="Q108" s="1358"/>
      <c r="R108" s="1223"/>
      <c r="S108" s="1989"/>
      <c r="T108" s="1223"/>
      <c r="V108" s="1223"/>
      <c r="W108" s="1989"/>
      <c r="X108" s="1991"/>
      <c r="Y108" s="1223"/>
      <c r="Z108" s="1990">
        <v>87702.85</v>
      </c>
      <c r="AA108" s="1502"/>
      <c r="AB108" s="1223"/>
      <c r="AC108" s="1989">
        <f>VLOOKUP(B108,[7]Лист_1!$A$3:$E$56,4,0)</f>
        <v>129332.38095238095</v>
      </c>
      <c r="AD108" s="1223"/>
      <c r="AE108" s="1224">
        <f>VLOOKUP(B108,[4]Лист_1!$A$5:$D$59,3,0)</f>
        <v>142137.14285714284</v>
      </c>
      <c r="AF108" s="1223"/>
      <c r="AG108" s="1706">
        <f>VLOOKUP(B108,[5]Лист_1!$A$3:$C$50,3,0)</f>
        <v>100285.71428571428</v>
      </c>
      <c r="AH108" s="1223"/>
      <c r="AI108" s="1762">
        <f>VLOOKUP(B108,[29]Лист_1!$A$5:$C$68,3,0)</f>
        <v>60628.571428571428</v>
      </c>
    </row>
    <row r="109" spans="1:35" s="1985" customFormat="1" ht="14.4">
      <c r="A109" s="1222">
        <f t="shared" si="39"/>
        <v>25</v>
      </c>
      <c r="B109" s="1993" t="s">
        <v>1173</v>
      </c>
      <c r="C109" s="1993" t="s">
        <v>1174</v>
      </c>
      <c r="E109" s="1986"/>
      <c r="F109" s="1223"/>
      <c r="G109" s="1986"/>
      <c r="H109" s="1425"/>
      <c r="I109" s="1223"/>
      <c r="J109" s="1986"/>
      <c r="K109" s="1986"/>
      <c r="L109" s="1986"/>
      <c r="M109" s="1425"/>
      <c r="N109" s="1223"/>
      <c r="O109" s="1224"/>
      <c r="P109" s="1223"/>
      <c r="Q109" s="1358"/>
      <c r="R109" s="1223"/>
      <c r="S109" s="1989"/>
      <c r="T109" s="1223"/>
      <c r="V109" s="1223"/>
      <c r="W109" s="1989"/>
      <c r="X109" s="1991"/>
      <c r="Y109" s="1223"/>
      <c r="Z109" s="1990"/>
      <c r="AA109" s="1502"/>
      <c r="AB109" s="1223"/>
      <c r="AC109" s="1989">
        <f>VLOOKUP(B109,[7]Лист_1!$A$3:$E$56,4,0)</f>
        <v>151250</v>
      </c>
      <c r="AD109" s="1223"/>
      <c r="AE109" s="1224"/>
      <c r="AF109" s="1223"/>
      <c r="AG109" s="1762"/>
      <c r="AH109" s="1223"/>
      <c r="AI109" s="1762"/>
    </row>
    <row r="110" spans="1:35" s="1985" customFormat="1" ht="14.4">
      <c r="A110" s="1222">
        <f t="shared" si="39"/>
        <v>26</v>
      </c>
      <c r="B110" s="1993" t="s">
        <v>1183</v>
      </c>
      <c r="C110" s="1993" t="s">
        <v>1184</v>
      </c>
      <c r="E110" s="1986"/>
      <c r="F110" s="1223"/>
      <c r="G110" s="1986"/>
      <c r="H110" s="1425"/>
      <c r="I110" s="1223"/>
      <c r="J110" s="1986"/>
      <c r="K110" s="1986"/>
      <c r="L110" s="1986"/>
      <c r="M110" s="1425"/>
      <c r="N110" s="1223"/>
      <c r="O110" s="1224"/>
      <c r="P110" s="1223"/>
      <c r="Q110" s="1358"/>
      <c r="R110" s="1223"/>
      <c r="S110" s="1989"/>
      <c r="T110" s="1223"/>
      <c r="V110" s="1223"/>
      <c r="W110" s="1989"/>
      <c r="X110" s="1991"/>
      <c r="Y110" s="1223"/>
      <c r="Z110" s="1990"/>
      <c r="AA110" s="1502"/>
      <c r="AB110" s="1223"/>
      <c r="AC110" s="1989">
        <v>155165</v>
      </c>
      <c r="AD110" s="1223"/>
      <c r="AE110" s="1224"/>
      <c r="AF110" s="1223"/>
      <c r="AG110" s="1762"/>
      <c r="AH110" s="1223"/>
      <c r="AI110" s="1762"/>
    </row>
    <row r="111" spans="1:35" s="1985" customFormat="1" ht="14.4">
      <c r="A111" s="1222">
        <f t="shared" si="39"/>
        <v>27</v>
      </c>
      <c r="B111" s="1993" t="s">
        <v>1181</v>
      </c>
      <c r="C111" s="1993" t="s">
        <v>1182</v>
      </c>
      <c r="E111" s="1986"/>
      <c r="F111" s="1223"/>
      <c r="G111" s="1986"/>
      <c r="H111" s="1425"/>
      <c r="I111" s="1223"/>
      <c r="J111" s="1986"/>
      <c r="K111" s="1986"/>
      <c r="L111" s="1986"/>
      <c r="M111" s="1425"/>
      <c r="N111" s="1223"/>
      <c r="O111" s="1224"/>
      <c r="P111" s="1223"/>
      <c r="Q111" s="1358"/>
      <c r="R111" s="1223"/>
      <c r="S111" s="1989"/>
      <c r="T111" s="1223"/>
      <c r="V111" s="1223"/>
      <c r="W111" s="1989"/>
      <c r="X111" s="1991"/>
      <c r="Y111" s="1223"/>
      <c r="Z111" s="1990"/>
      <c r="AA111" s="1502"/>
      <c r="AB111" s="1223"/>
      <c r="AC111" s="1989">
        <v>95508.5</v>
      </c>
      <c r="AD111" s="1223"/>
      <c r="AE111" s="1224"/>
      <c r="AF111" s="1223"/>
      <c r="AG111" s="1762"/>
      <c r="AH111" s="1223"/>
      <c r="AI111" s="1762"/>
    </row>
    <row r="112" spans="1:35" s="1985" customFormat="1" ht="14.4">
      <c r="A112" s="1222">
        <f t="shared" si="39"/>
        <v>28</v>
      </c>
      <c r="B112" s="1993" t="s">
        <v>1204</v>
      </c>
      <c r="C112" s="1993" t="s">
        <v>1205</v>
      </c>
      <c r="E112" s="1986"/>
      <c r="F112" s="1223"/>
      <c r="G112" s="1986"/>
      <c r="H112" s="1425"/>
      <c r="I112" s="1223"/>
      <c r="J112" s="1986"/>
      <c r="K112" s="1986"/>
      <c r="L112" s="1986"/>
      <c r="M112" s="1425"/>
      <c r="N112" s="1223"/>
      <c r="O112" s="1224"/>
      <c r="P112" s="1223"/>
      <c r="Q112" s="1358"/>
      <c r="R112" s="1223"/>
      <c r="S112" s="1989"/>
      <c r="T112" s="1223"/>
      <c r="V112" s="1223"/>
      <c r="W112" s="1989"/>
      <c r="X112" s="1991"/>
      <c r="Y112" s="1223"/>
      <c r="Z112" s="1990"/>
      <c r="AA112" s="1502"/>
      <c r="AB112" s="1223"/>
      <c r="AC112" s="1989"/>
      <c r="AD112" s="1223"/>
      <c r="AE112" s="1224">
        <f>VLOOKUP(B112,[4]Лист_1!$A$5:$D$59,3,0)</f>
        <v>998658.23809523799</v>
      </c>
      <c r="AF112" s="1223"/>
      <c r="AG112" s="1706">
        <f>VLOOKUP(B112,[5]Лист_1!$A$3:$C$50,3,0)</f>
        <v>205540</v>
      </c>
      <c r="AH112" s="1223"/>
      <c r="AI112" s="1762">
        <f>VLOOKUP(B112,[29]Лист_1!$A$5:$C$68,3,0)</f>
        <v>156793.90476190476</v>
      </c>
    </row>
    <row r="113" spans="1:35" s="1985" customFormat="1" ht="14.4">
      <c r="A113" s="1222">
        <f t="shared" si="39"/>
        <v>29</v>
      </c>
      <c r="B113" s="1993" t="s">
        <v>1206</v>
      </c>
      <c r="C113" s="1993" t="s">
        <v>1207</v>
      </c>
      <c r="E113" s="1986"/>
      <c r="F113" s="1223"/>
      <c r="G113" s="1986"/>
      <c r="H113" s="1425"/>
      <c r="I113" s="1223"/>
      <c r="J113" s="1986"/>
      <c r="K113" s="1986"/>
      <c r="L113" s="1986"/>
      <c r="M113" s="1425"/>
      <c r="N113" s="1223"/>
      <c r="O113" s="1224"/>
      <c r="P113" s="1223"/>
      <c r="Q113" s="1358"/>
      <c r="R113" s="1223"/>
      <c r="S113" s="1989"/>
      <c r="T113" s="1223"/>
      <c r="V113" s="1223"/>
      <c r="W113" s="1989"/>
      <c r="X113" s="1991"/>
      <c r="Y113" s="1223"/>
      <c r="Z113" s="1990"/>
      <c r="AA113" s="1502"/>
      <c r="AB113" s="1223"/>
      <c r="AC113" s="1989"/>
      <c r="AD113" s="1223"/>
      <c r="AE113" s="1224">
        <f>VLOOKUP(B113,[4]Лист_1!$A$5:$D$59,3,0)</f>
        <v>146575.23809523808</v>
      </c>
      <c r="AF113" s="1223"/>
      <c r="AG113" s="1706"/>
      <c r="AH113" s="1223"/>
      <c r="AI113" s="1762"/>
    </row>
    <row r="114" spans="1:35" s="1985" customFormat="1" ht="14.4">
      <c r="A114" s="1222">
        <f t="shared" si="39"/>
        <v>30</v>
      </c>
      <c r="B114" s="1993" t="s">
        <v>1208</v>
      </c>
      <c r="C114" s="1993" t="s">
        <v>1209</v>
      </c>
      <c r="E114" s="1986"/>
      <c r="F114" s="1223"/>
      <c r="G114" s="1986"/>
      <c r="H114" s="1425"/>
      <c r="I114" s="1223"/>
      <c r="J114" s="1986"/>
      <c r="K114" s="1986"/>
      <c r="L114" s="1986"/>
      <c r="M114" s="1425"/>
      <c r="N114" s="1223"/>
      <c r="O114" s="1224"/>
      <c r="P114" s="1223"/>
      <c r="Q114" s="1358"/>
      <c r="R114" s="1223"/>
      <c r="S114" s="1989"/>
      <c r="T114" s="1223"/>
      <c r="V114" s="1223"/>
      <c r="W114" s="1989"/>
      <c r="X114" s="1991"/>
      <c r="Y114" s="1223"/>
      <c r="Z114" s="1990"/>
      <c r="AA114" s="1502"/>
      <c r="AB114" s="1223"/>
      <c r="AC114" s="1989"/>
      <c r="AD114" s="1223"/>
      <c r="AE114" s="1224">
        <f>VLOOKUP(B114,[4]Лист_1!$A$5:$D$59,3,0)</f>
        <v>80000</v>
      </c>
      <c r="AF114" s="1223"/>
      <c r="AG114" s="1706"/>
      <c r="AH114" s="1223"/>
      <c r="AI114" s="1762"/>
    </row>
    <row r="115" spans="1:35" s="1985" customFormat="1" ht="14.4">
      <c r="A115" s="1222">
        <f t="shared" si="39"/>
        <v>31</v>
      </c>
      <c r="B115" s="1993" t="s">
        <v>1210</v>
      </c>
      <c r="C115" s="1993" t="s">
        <v>1211</v>
      </c>
      <c r="E115" s="1986"/>
      <c r="F115" s="1223"/>
      <c r="G115" s="1986"/>
      <c r="H115" s="1425"/>
      <c r="I115" s="1223"/>
      <c r="J115" s="1986"/>
      <c r="K115" s="1986"/>
      <c r="L115" s="1986"/>
      <c r="M115" s="1425"/>
      <c r="N115" s="1223"/>
      <c r="O115" s="1224"/>
      <c r="P115" s="1223"/>
      <c r="Q115" s="1358"/>
      <c r="R115" s="1223"/>
      <c r="S115" s="1989"/>
      <c r="T115" s="1223"/>
      <c r="V115" s="1223"/>
      <c r="W115" s="1989"/>
      <c r="X115" s="1991"/>
      <c r="Y115" s="1223"/>
      <c r="Z115" s="1990"/>
      <c r="AA115" s="1502"/>
      <c r="AB115" s="1223"/>
      <c r="AC115" s="1989"/>
      <c r="AD115" s="1223"/>
      <c r="AE115" s="1224">
        <f>VLOOKUP(B115,[4]Лист_1!$A$5:$D$59,3,0)</f>
        <v>78342</v>
      </c>
      <c r="AF115" s="1223"/>
      <c r="AG115" s="1706"/>
      <c r="AH115" s="1223"/>
      <c r="AI115" s="1762"/>
    </row>
    <row r="116" spans="1:35" s="1985" customFormat="1" ht="14.4">
      <c r="A116" s="1222">
        <f t="shared" si="39"/>
        <v>32</v>
      </c>
      <c r="B116" s="1993" t="s">
        <v>1212</v>
      </c>
      <c r="C116" s="1993" t="s">
        <v>1213</v>
      </c>
      <c r="E116" s="1986"/>
      <c r="F116" s="1223"/>
      <c r="G116" s="1986"/>
      <c r="H116" s="1425"/>
      <c r="I116" s="1223"/>
      <c r="J116" s="1986"/>
      <c r="K116" s="1986"/>
      <c r="L116" s="1986"/>
      <c r="M116" s="1425"/>
      <c r="N116" s="1223"/>
      <c r="O116" s="1224"/>
      <c r="P116" s="1223"/>
      <c r="Q116" s="1358"/>
      <c r="R116" s="1223"/>
      <c r="S116" s="1989"/>
      <c r="T116" s="1223"/>
      <c r="V116" s="1223"/>
      <c r="W116" s="1989"/>
      <c r="X116" s="1991"/>
      <c r="Y116" s="1223"/>
      <c r="Z116" s="1990"/>
      <c r="AA116" s="1502"/>
      <c r="AB116" s="1223"/>
      <c r="AC116" s="1989"/>
      <c r="AD116" s="1223"/>
      <c r="AE116" s="1224">
        <v>186751</v>
      </c>
      <c r="AF116" s="1223"/>
      <c r="AG116" s="1706"/>
      <c r="AH116" s="1223"/>
      <c r="AI116" s="1762"/>
    </row>
    <row r="117" spans="1:35" s="1985" customFormat="1" ht="14.4">
      <c r="A117" s="1222">
        <f t="shared" si="39"/>
        <v>33</v>
      </c>
      <c r="B117" s="1993" t="s">
        <v>1215</v>
      </c>
      <c r="C117" s="1993"/>
      <c r="E117" s="1986"/>
      <c r="F117" s="1223"/>
      <c r="G117" s="1986"/>
      <c r="H117" s="1425"/>
      <c r="I117" s="1223"/>
      <c r="J117" s="1986"/>
      <c r="K117" s="1986"/>
      <c r="L117" s="1986"/>
      <c r="M117" s="1425"/>
      <c r="N117" s="1223"/>
      <c r="O117" s="1224"/>
      <c r="P117" s="1223"/>
      <c r="Q117" s="1358"/>
      <c r="R117" s="1223"/>
      <c r="S117" s="1989"/>
      <c r="T117" s="1223"/>
      <c r="V117" s="1223"/>
      <c r="W117" s="1989"/>
      <c r="X117" s="1991"/>
      <c r="Y117" s="1223"/>
      <c r="Z117" s="1990"/>
      <c r="AA117" s="1502"/>
      <c r="AB117" s="1223"/>
      <c r="AC117" s="1989"/>
      <c r="AD117" s="1223"/>
      <c r="AE117" s="1224"/>
      <c r="AF117" s="1223"/>
      <c r="AG117" s="1706">
        <f>VLOOKUP(B117,[5]Лист_1!$A$3:$C$50,3,0)</f>
        <v>285714.28571428568</v>
      </c>
      <c r="AH117" s="1223"/>
      <c r="AI117" s="1762">
        <f>VLOOKUP(B117,[29]Лист_1!$A$5:$C$68,3,0)</f>
        <v>190476.19047619047</v>
      </c>
    </row>
    <row r="118" spans="1:35" s="1985" customFormat="1" ht="14.4">
      <c r="A118" s="1222">
        <f t="shared" si="39"/>
        <v>34</v>
      </c>
      <c r="B118" s="1993" t="s">
        <v>1216</v>
      </c>
      <c r="C118" s="1993"/>
      <c r="E118" s="1986"/>
      <c r="F118" s="1223"/>
      <c r="G118" s="1986"/>
      <c r="H118" s="1425"/>
      <c r="I118" s="1223"/>
      <c r="J118" s="1986"/>
      <c r="K118" s="1986"/>
      <c r="L118" s="1986"/>
      <c r="M118" s="1425"/>
      <c r="N118" s="1223"/>
      <c r="O118" s="1224"/>
      <c r="P118" s="1223"/>
      <c r="Q118" s="1358"/>
      <c r="R118" s="1223"/>
      <c r="S118" s="1989"/>
      <c r="T118" s="1223"/>
      <c r="V118" s="1223"/>
      <c r="W118" s="1989"/>
      <c r="X118" s="1991"/>
      <c r="Y118" s="1223"/>
      <c r="Z118" s="1990"/>
      <c r="AA118" s="1502"/>
      <c r="AB118" s="1223"/>
      <c r="AC118" s="1989"/>
      <c r="AD118" s="1223"/>
      <c r="AE118" s="1224"/>
      <c r="AF118" s="1223"/>
      <c r="AG118" s="1706">
        <f>VLOOKUP(B118,[5]Лист_1!$A$3:$C$50,3,0)</f>
        <v>50193</v>
      </c>
      <c r="AH118" s="1223"/>
      <c r="AI118" s="1762"/>
    </row>
    <row r="119" spans="1:35" s="1985" customFormat="1" ht="14.4">
      <c r="A119" s="1222">
        <f t="shared" si="39"/>
        <v>35</v>
      </c>
      <c r="B119" s="1993" t="s">
        <v>1233</v>
      </c>
      <c r="C119" s="1993" t="s">
        <v>1232</v>
      </c>
      <c r="E119" s="1986"/>
      <c r="F119" s="1223"/>
      <c r="G119" s="1986"/>
      <c r="H119" s="1425"/>
      <c r="I119" s="1223"/>
      <c r="J119" s="1986"/>
      <c r="K119" s="1986"/>
      <c r="L119" s="1986"/>
      <c r="M119" s="1425"/>
      <c r="N119" s="1223"/>
      <c r="O119" s="1224"/>
      <c r="P119" s="1223"/>
      <c r="Q119" s="1358"/>
      <c r="R119" s="1223"/>
      <c r="S119" s="1989"/>
      <c r="T119" s="1223"/>
      <c r="V119" s="1223"/>
      <c r="W119" s="1989"/>
      <c r="X119" s="1991"/>
      <c r="Y119" s="1223"/>
      <c r="Z119" s="1990"/>
      <c r="AA119" s="1502"/>
      <c r="AB119" s="1223"/>
      <c r="AC119" s="1989"/>
      <c r="AD119" s="1223"/>
      <c r="AE119" s="1224"/>
      <c r="AF119" s="1223"/>
      <c r="AG119" s="1706"/>
      <c r="AH119" s="1223"/>
      <c r="AI119" s="1762">
        <f>VLOOKUP(B119,[29]Лист_1!$A$5:$C$68,3,0)</f>
        <v>97127.619047619039</v>
      </c>
    </row>
    <row r="120" spans="1:35" s="1985" customFormat="1" ht="14.4">
      <c r="A120" s="1222">
        <f t="shared" si="39"/>
        <v>36</v>
      </c>
      <c r="B120" s="1993" t="s">
        <v>1234</v>
      </c>
      <c r="C120" s="1993" t="s">
        <v>1244</v>
      </c>
      <c r="E120" s="1986"/>
      <c r="F120" s="1223"/>
      <c r="G120" s="1986"/>
      <c r="H120" s="1425"/>
      <c r="I120" s="1223"/>
      <c r="J120" s="1986"/>
      <c r="K120" s="1986"/>
      <c r="L120" s="1986"/>
      <c r="M120" s="1425"/>
      <c r="N120" s="1223"/>
      <c r="O120" s="1224"/>
      <c r="P120" s="1223"/>
      <c r="Q120" s="1358"/>
      <c r="R120" s="1223"/>
      <c r="S120" s="1989"/>
      <c r="T120" s="1223"/>
      <c r="V120" s="1223"/>
      <c r="W120" s="1989"/>
      <c r="X120" s="1991"/>
      <c r="Y120" s="1223"/>
      <c r="Z120" s="1990"/>
      <c r="AA120" s="1502"/>
      <c r="AB120" s="1223"/>
      <c r="AC120" s="1989"/>
      <c r="AD120" s="1223"/>
      <c r="AE120" s="1224"/>
      <c r="AF120" s="1223"/>
      <c r="AG120" s="1706"/>
      <c r="AH120" s="1223"/>
      <c r="AI120" s="1762">
        <f>VLOOKUP(B120,[29]Лист_1!$A$5:$C$68,3,0)</f>
        <v>71289.714285714275</v>
      </c>
    </row>
    <row r="121" spans="1:35" s="1985" customFormat="1" ht="14.4">
      <c r="A121" s="1222">
        <f t="shared" si="39"/>
        <v>37</v>
      </c>
      <c r="B121" s="1993" t="s">
        <v>457</v>
      </c>
      <c r="C121" s="1993" t="s">
        <v>1237</v>
      </c>
      <c r="E121" s="1986"/>
      <c r="F121" s="1223"/>
      <c r="G121" s="1986"/>
      <c r="H121" s="1425"/>
      <c r="I121" s="1223"/>
      <c r="J121" s="1986"/>
      <c r="K121" s="1986"/>
      <c r="L121" s="1986"/>
      <c r="M121" s="1425"/>
      <c r="N121" s="1223"/>
      <c r="O121" s="1224"/>
      <c r="P121" s="1223"/>
      <c r="Q121" s="1358"/>
      <c r="R121" s="1223"/>
      <c r="S121" s="1989"/>
      <c r="T121" s="1223"/>
      <c r="V121" s="1223"/>
      <c r="W121" s="1989"/>
      <c r="X121" s="1991"/>
      <c r="Y121" s="1223"/>
      <c r="Z121" s="1990"/>
      <c r="AA121" s="1502"/>
      <c r="AB121" s="1223"/>
      <c r="AC121" s="1989"/>
      <c r="AD121" s="1223"/>
      <c r="AE121" s="1224"/>
      <c r="AF121" s="1223"/>
      <c r="AG121" s="1706"/>
      <c r="AH121" s="1223"/>
      <c r="AI121" s="1762">
        <v>107238.1</v>
      </c>
    </row>
    <row r="122" spans="1:35" s="1985" customFormat="1" ht="14.4">
      <c r="A122" s="1222">
        <f t="shared" si="39"/>
        <v>38</v>
      </c>
      <c r="B122" s="1993" t="s">
        <v>1238</v>
      </c>
      <c r="C122" s="1993" t="s">
        <v>1239</v>
      </c>
      <c r="E122" s="1986"/>
      <c r="F122" s="1223"/>
      <c r="G122" s="1986"/>
      <c r="H122" s="1425"/>
      <c r="I122" s="1223"/>
      <c r="J122" s="1986"/>
      <c r="K122" s="1986"/>
      <c r="L122" s="1986"/>
      <c r="M122" s="1425"/>
      <c r="N122" s="1223"/>
      <c r="O122" s="1224"/>
      <c r="P122" s="1223"/>
      <c r="Q122" s="1358"/>
      <c r="R122" s="1223"/>
      <c r="S122" s="1989"/>
      <c r="T122" s="1223"/>
      <c r="V122" s="1223"/>
      <c r="W122" s="1989"/>
      <c r="X122" s="1991"/>
      <c r="Y122" s="1223"/>
      <c r="Z122" s="1990"/>
      <c r="AA122" s="1502"/>
      <c r="AB122" s="1223"/>
      <c r="AC122" s="1989"/>
      <c r="AD122" s="1223"/>
      <c r="AE122" s="1224"/>
      <c r="AF122" s="1223"/>
      <c r="AG122" s="1706"/>
      <c r="AH122" s="1223"/>
      <c r="AI122" s="1762">
        <f>VLOOKUP(B122,[29]Лист_1!$A$5:$C$68,3,0)</f>
        <v>180157</v>
      </c>
    </row>
    <row r="123" spans="1:35" s="1985" customFormat="1" ht="14.4">
      <c r="A123" s="1222">
        <f t="shared" si="39"/>
        <v>39</v>
      </c>
      <c r="B123" s="1993" t="s">
        <v>1240</v>
      </c>
      <c r="C123" s="1993" t="s">
        <v>1241</v>
      </c>
      <c r="E123" s="1986"/>
      <c r="F123" s="1223"/>
      <c r="G123" s="1986"/>
      <c r="H123" s="1425"/>
      <c r="I123" s="1223"/>
      <c r="J123" s="1986"/>
      <c r="K123" s="1986"/>
      <c r="L123" s="1986"/>
      <c r="M123" s="1425"/>
      <c r="N123" s="1223"/>
      <c r="O123" s="1224"/>
      <c r="P123" s="1223"/>
      <c r="Q123" s="1358"/>
      <c r="R123" s="1223"/>
      <c r="S123" s="1989"/>
      <c r="T123" s="1223"/>
      <c r="V123" s="1223"/>
      <c r="W123" s="1989"/>
      <c r="X123" s="1991"/>
      <c r="Y123" s="1223"/>
      <c r="Z123" s="1990"/>
      <c r="AA123" s="1502"/>
      <c r="AB123" s="1223"/>
      <c r="AC123" s="1989"/>
      <c r="AD123" s="1223"/>
      <c r="AE123" s="1224"/>
      <c r="AF123" s="1223"/>
      <c r="AG123" s="1706"/>
      <c r="AH123" s="1223"/>
      <c r="AI123" s="1762">
        <f>VLOOKUP(B123,[29]Лист_1!$A$5:$C$68,3,0)</f>
        <v>148133.33333333331</v>
      </c>
    </row>
    <row r="124" spans="1:35" s="1985" customFormat="1" ht="14.4">
      <c r="A124" s="1222">
        <f t="shared" si="39"/>
        <v>40</v>
      </c>
      <c r="B124" s="1993" t="s">
        <v>1242</v>
      </c>
      <c r="C124" s="1993" t="s">
        <v>1243</v>
      </c>
      <c r="E124" s="1986"/>
      <c r="F124" s="1223"/>
      <c r="G124" s="1986"/>
      <c r="H124" s="1425"/>
      <c r="I124" s="1223"/>
      <c r="J124" s="1986"/>
      <c r="K124" s="1986"/>
      <c r="L124" s="1986"/>
      <c r="M124" s="1425"/>
      <c r="N124" s="1223"/>
      <c r="O124" s="1224"/>
      <c r="P124" s="1223"/>
      <c r="Q124" s="1358"/>
      <c r="R124" s="1223"/>
      <c r="S124" s="1989"/>
      <c r="T124" s="1223"/>
      <c r="V124" s="1223"/>
      <c r="W124" s="1989"/>
      <c r="X124" s="1991"/>
      <c r="Y124" s="1223"/>
      <c r="Z124" s="1990"/>
      <c r="AA124" s="1502"/>
      <c r="AB124" s="1223"/>
      <c r="AC124" s="1989"/>
      <c r="AD124" s="1223"/>
      <c r="AE124" s="1224"/>
      <c r="AF124" s="1223"/>
      <c r="AG124" s="1706"/>
      <c r="AH124" s="1223"/>
      <c r="AI124" s="1762">
        <f>VLOOKUP(B124,[29]Лист_1!$A$5:$C$68,3,0)</f>
        <v>114638.09523809524</v>
      </c>
    </row>
    <row r="125" spans="1:35" s="1225" customFormat="1" ht="15" thickBot="1">
      <c r="A125" s="1222">
        <f t="shared" si="39"/>
        <v>41</v>
      </c>
      <c r="B125" s="1225" t="s">
        <v>1172</v>
      </c>
      <c r="C125" s="1368" t="s">
        <v>1092</v>
      </c>
      <c r="E125" s="1226"/>
      <c r="F125" s="1227"/>
      <c r="G125" s="1226">
        <v>23000</v>
      </c>
      <c r="H125" s="1426"/>
      <c r="I125" s="1227"/>
      <c r="J125" s="1226"/>
      <c r="K125" s="1226"/>
      <c r="L125" s="1226">
        <v>100000</v>
      </c>
      <c r="M125" s="1426"/>
      <c r="N125" s="1227"/>
      <c r="O125" s="1228"/>
      <c r="P125" s="1227"/>
      <c r="Q125" s="1361"/>
      <c r="R125" s="1227"/>
      <c r="S125" s="1226"/>
      <c r="T125" s="1399"/>
      <c r="U125" s="1226">
        <v>328550</v>
      </c>
      <c r="V125" s="1227"/>
      <c r="W125" s="1476">
        <v>750904.67</v>
      </c>
      <c r="X125" s="1647">
        <v>37545.33</v>
      </c>
      <c r="Y125" s="1227"/>
      <c r="Z125" s="1226">
        <f>984238.09+302857</f>
        <v>1287095.0899999999</v>
      </c>
      <c r="AA125" s="1507"/>
      <c r="AB125" s="1227"/>
      <c r="AC125" s="1475">
        <f>VLOOKUP(B125,[7]Лист_1!$A$3:$E$56,4,0)</f>
        <v>1036904.7619047619</v>
      </c>
      <c r="AD125" s="1227"/>
      <c r="AE125" s="1228">
        <f>VLOOKUP(B125,[4]Лист_1!$A$5:$D$59,3,0)</f>
        <v>925476.19047619042</v>
      </c>
      <c r="AF125" s="1227"/>
      <c r="AG125" s="1779">
        <f>VLOOKUP(B125,[5]Лист_1!$A$3:$C$50,3,0)</f>
        <v>1017958.7047619047</v>
      </c>
      <c r="AH125" s="1227"/>
      <c r="AI125" s="1770">
        <f>VLOOKUP(B125,[29]Лист_1!$A$5:$C$68,3,0)</f>
        <v>2204186.4380952376</v>
      </c>
    </row>
    <row r="126" spans="1:35" s="1447" customFormat="1" ht="26.4">
      <c r="A126" s="1229"/>
      <c r="C126" s="1774" t="s">
        <v>312</v>
      </c>
      <c r="E126" s="1397"/>
      <c r="F126" s="1212"/>
      <c r="G126" s="1397"/>
      <c r="H126" s="1437"/>
      <c r="I126" s="1775"/>
      <c r="J126" s="1776"/>
      <c r="K126" s="1776"/>
      <c r="L126" s="1777"/>
      <c r="M126" s="1778"/>
      <c r="N126" s="1212"/>
      <c r="O126" s="1213"/>
      <c r="P126" s="1212"/>
      <c r="Q126" s="1358"/>
      <c r="R126" s="1212"/>
      <c r="S126" s="1391"/>
      <c r="T126" s="1210"/>
      <c r="U126" s="1391"/>
      <c r="V126" s="1212"/>
      <c r="W126" s="1391"/>
      <c r="X126" s="1643"/>
      <c r="Y126" s="1212"/>
      <c r="Z126" s="1391"/>
      <c r="AA126" s="1503"/>
      <c r="AB126" s="1212"/>
      <c r="AC126" s="1391"/>
      <c r="AD126" s="1212"/>
      <c r="AE126" s="1224"/>
      <c r="AF126" s="1212"/>
      <c r="AG126" s="1762"/>
      <c r="AH126" s="1212"/>
      <c r="AI126" s="1762"/>
    </row>
    <row r="127" spans="1:35" s="77" customFormat="1">
      <c r="A127" s="1230">
        <v>1</v>
      </c>
      <c r="B127" s="77" t="s">
        <v>314</v>
      </c>
      <c r="C127" s="77" t="s">
        <v>322</v>
      </c>
      <c r="E127" s="535">
        <v>35746.833333333336</v>
      </c>
      <c r="F127" s="1210">
        <f>E127*$F$1</f>
        <v>34674.428333333337</v>
      </c>
      <c r="G127" s="535">
        <f>VLOOKUP(B127,[1]Лист_1!$A$1:$G$65536,7,0)</f>
        <v>26120</v>
      </c>
      <c r="H127" s="1211">
        <f>G127-F127</f>
        <v>-8554.4283333333369</v>
      </c>
      <c r="I127" s="1409"/>
      <c r="J127" s="974"/>
      <c r="K127" s="974"/>
      <c r="L127" s="986">
        <v>24100</v>
      </c>
      <c r="M127" s="1410"/>
      <c r="N127" s="1210"/>
      <c r="O127" s="1211">
        <v>30900</v>
      </c>
      <c r="P127" s="1210"/>
      <c r="Q127" s="1358">
        <v>12280</v>
      </c>
      <c r="R127" s="1210"/>
      <c r="S127" s="1391"/>
      <c r="T127" s="1210"/>
      <c r="U127" s="1391"/>
      <c r="V127" s="1210"/>
      <c r="W127" s="1391"/>
      <c r="X127" s="1643"/>
      <c r="Y127" s="1210"/>
      <c r="Z127" s="1391"/>
      <c r="AA127" s="1503"/>
      <c r="AB127" s="1210"/>
      <c r="AC127" s="1391"/>
      <c r="AD127" s="1210"/>
      <c r="AE127" s="1224"/>
      <c r="AF127" s="1210"/>
      <c r="AG127" s="1762"/>
      <c r="AH127" s="1210"/>
      <c r="AI127" s="1762"/>
    </row>
    <row r="128" spans="1:35" s="77" customFormat="1">
      <c r="A128" s="1230">
        <v>2</v>
      </c>
      <c r="B128" s="984" t="s">
        <v>1179</v>
      </c>
      <c r="C128" s="984" t="s">
        <v>1180</v>
      </c>
      <c r="E128" s="535"/>
      <c r="F128" s="1210"/>
      <c r="G128" s="535"/>
      <c r="H128" s="1211"/>
      <c r="I128" s="1409"/>
      <c r="J128" s="974"/>
      <c r="K128" s="974"/>
      <c r="L128" s="986"/>
      <c r="M128" s="1410"/>
      <c r="N128" s="1210"/>
      <c r="O128" s="1211"/>
      <c r="P128" s="1210"/>
      <c r="Q128" s="1358"/>
      <c r="R128" s="1210"/>
      <c r="S128" s="1391"/>
      <c r="T128" s="1210"/>
      <c r="U128" s="1391"/>
      <c r="V128" s="1210"/>
      <c r="W128" s="1391"/>
      <c r="X128" s="1643"/>
      <c r="Y128" s="1210"/>
      <c r="Z128" s="1391"/>
      <c r="AA128" s="1503"/>
      <c r="AB128" s="1210"/>
      <c r="AC128" s="1396">
        <v>259811.7</v>
      </c>
      <c r="AD128" s="1210"/>
      <c r="AE128" s="1224"/>
      <c r="AF128" s="1210"/>
      <c r="AG128" s="1706">
        <v>293526</v>
      </c>
      <c r="AH128" s="1210"/>
      <c r="AI128" s="1706">
        <f>VLOOKUP(B128,[29]Лист_1!$A$5:$C$67,3,0)</f>
        <v>216105</v>
      </c>
    </row>
    <row r="129" spans="1:35" s="77" customFormat="1">
      <c r="A129" s="1230">
        <v>3</v>
      </c>
      <c r="B129" s="77" t="s">
        <v>315</v>
      </c>
      <c r="C129" s="77" t="s">
        <v>321</v>
      </c>
      <c r="E129" s="535">
        <v>76242.875</v>
      </c>
      <c r="F129" s="1210">
        <f t="shared" ref="F129:F142" si="40">E129*$F$1</f>
        <v>73955.588749999995</v>
      </c>
      <c r="G129" s="535">
        <f>VLOOKUP(B129,[1]Лист_1!$A$1:$G$65536,7,0)</f>
        <v>101819.04761904762</v>
      </c>
      <c r="H129" s="1211">
        <f t="shared" ref="H129:H142" si="41">G129-F129</f>
        <v>27863.458869047623</v>
      </c>
      <c r="I129" s="1409"/>
      <c r="J129" s="974"/>
      <c r="K129" s="974"/>
      <c r="L129" s="986">
        <v>64267.999999999993</v>
      </c>
      <c r="M129" s="1410"/>
      <c r="N129" s="1210"/>
      <c r="O129" s="1211">
        <v>35488.571428571428</v>
      </c>
      <c r="P129" s="1210"/>
      <c r="Q129" s="1358">
        <v>175375.57</v>
      </c>
      <c r="R129" s="1210"/>
      <c r="S129" s="1396">
        <f>VLOOKUP(B129,[2]Лист_1!$A$1:$C$65536,3,0)</f>
        <v>225546.24761904762</v>
      </c>
      <c r="T129" s="1210"/>
      <c r="U129" s="1391">
        <v>23370</v>
      </c>
      <c r="V129" s="1210"/>
      <c r="W129" s="1435">
        <f>[3]Лист_1!$D$22</f>
        <v>181601.0476190476</v>
      </c>
      <c r="X129" s="1639">
        <v>9080.0499999999993</v>
      </c>
      <c r="Y129" s="1210"/>
      <c r="Z129" s="1396"/>
      <c r="AA129" s="1502"/>
      <c r="AB129" s="1210"/>
      <c r="AC129" s="1396">
        <v>237572.01</v>
      </c>
      <c r="AD129" s="1210"/>
      <c r="AE129" s="1224"/>
      <c r="AF129" s="1210"/>
      <c r="AG129" s="1706">
        <f>VLOOKUP(B129,[5]Лист_1!$A$3:$C$50,3,0)</f>
        <v>35825</v>
      </c>
      <c r="AH129" s="1210"/>
      <c r="AI129" s="1706">
        <f>VLOOKUP(B129,[29]Лист_1!$A$5:$C$67,3,0)</f>
        <v>106397.28571428571</v>
      </c>
    </row>
    <row r="130" spans="1:35" s="77" customFormat="1">
      <c r="A130" s="1230">
        <f>A129+1</f>
        <v>4</v>
      </c>
      <c r="B130" s="77" t="s">
        <v>316</v>
      </c>
      <c r="C130" s="77" t="s">
        <v>316</v>
      </c>
      <c r="E130" s="535">
        <v>269866.66666666669</v>
      </c>
      <c r="F130" s="1210">
        <f t="shared" si="40"/>
        <v>261770.66666666669</v>
      </c>
      <c r="G130" s="535">
        <f>VLOOKUP(B130,[1]Лист_1!$A$1:$G$65536,7,0)</f>
        <v>265476.19047619047</v>
      </c>
      <c r="H130" s="1211">
        <f t="shared" si="41"/>
        <v>3705.5238095237873</v>
      </c>
      <c r="I130" s="1409"/>
      <c r="J130" s="974"/>
      <c r="K130" s="974"/>
      <c r="L130" s="986"/>
      <c r="M130" s="1410"/>
      <c r="N130" s="1210"/>
      <c r="O130" s="1211"/>
      <c r="P130" s="1210"/>
      <c r="Q130" s="1358">
        <v>77800</v>
      </c>
      <c r="R130" s="1210"/>
      <c r="S130" s="1391"/>
      <c r="T130" s="1210"/>
      <c r="U130" s="1391"/>
      <c r="V130" s="1210"/>
      <c r="W130" s="1391"/>
      <c r="X130" s="1643"/>
      <c r="Y130" s="1210"/>
      <c r="Z130" s="1391"/>
      <c r="AA130" s="1503"/>
      <c r="AB130" s="1210"/>
      <c r="AC130" s="1391"/>
      <c r="AD130" s="1210"/>
      <c r="AE130" s="1224"/>
      <c r="AF130" s="1210"/>
      <c r="AG130" s="1762"/>
      <c r="AH130" s="1210"/>
      <c r="AI130" s="1706"/>
    </row>
    <row r="131" spans="1:35" s="77" customFormat="1">
      <c r="A131" s="1230">
        <f t="shared" ref="A131:A145" si="42">A130+1</f>
        <v>5</v>
      </c>
      <c r="B131" s="77" t="s">
        <v>325</v>
      </c>
      <c r="C131" s="77" t="s">
        <v>325</v>
      </c>
      <c r="E131" s="535">
        <v>39000</v>
      </c>
      <c r="F131" s="1210">
        <f t="shared" si="40"/>
        <v>37830</v>
      </c>
      <c r="G131" s="535">
        <f>VLOOKUP(B131,[1]Лист_1!$A$1:$G$65536,7,0)</f>
        <v>78000</v>
      </c>
      <c r="H131" s="1211">
        <f t="shared" si="41"/>
        <v>40170</v>
      </c>
      <c r="I131" s="1409"/>
      <c r="J131" s="974"/>
      <c r="K131" s="974"/>
      <c r="L131" s="986">
        <v>59115</v>
      </c>
      <c r="M131" s="1410"/>
      <c r="N131" s="1210"/>
      <c r="O131" s="1211">
        <v>26295</v>
      </c>
      <c r="P131" s="1210"/>
      <c r="Q131" s="1358"/>
      <c r="R131" s="1210"/>
      <c r="S131" s="1391"/>
      <c r="T131" s="1210"/>
      <c r="U131" s="1391"/>
      <c r="V131" s="1210"/>
      <c r="W131" s="1391"/>
      <c r="X131" s="1643"/>
      <c r="Y131" s="1210"/>
      <c r="Z131" s="1391"/>
      <c r="AA131" s="1503"/>
      <c r="AB131" s="1210"/>
      <c r="AC131" s="1391"/>
      <c r="AD131" s="1210"/>
      <c r="AE131" s="1224"/>
      <c r="AF131" s="1210"/>
      <c r="AG131" s="1762"/>
      <c r="AH131" s="1210"/>
      <c r="AI131" s="1706"/>
    </row>
    <row r="132" spans="1:35" s="77" customFormat="1">
      <c r="A132" s="1230">
        <f t="shared" si="42"/>
        <v>6</v>
      </c>
      <c r="B132" s="77" t="s">
        <v>263</v>
      </c>
      <c r="C132" s="77" t="s">
        <v>122</v>
      </c>
      <c r="E132" s="535">
        <v>21392</v>
      </c>
      <c r="F132" s="1210">
        <f t="shared" si="40"/>
        <v>20750.239999999998</v>
      </c>
      <c r="G132" s="535"/>
      <c r="H132" s="1211">
        <f t="shared" si="41"/>
        <v>-20750.239999999998</v>
      </c>
      <c r="I132" s="1409"/>
      <c r="J132" s="974"/>
      <c r="K132" s="974"/>
      <c r="L132" s="986">
        <v>30900</v>
      </c>
      <c r="M132" s="1410"/>
      <c r="N132" s="1210"/>
      <c r="O132" s="1211"/>
      <c r="P132" s="1210"/>
      <c r="Q132" s="1358"/>
      <c r="R132" s="1210"/>
      <c r="S132" s="1391"/>
      <c r="T132" s="1210"/>
      <c r="U132" s="1391"/>
      <c r="V132" s="1210"/>
      <c r="W132" s="1391"/>
      <c r="X132" s="1643"/>
      <c r="Y132" s="1210"/>
      <c r="Z132" s="1391"/>
      <c r="AA132" s="1503"/>
      <c r="AB132" s="1210"/>
      <c r="AC132" s="1391"/>
      <c r="AD132" s="1210"/>
      <c r="AE132" s="1224"/>
      <c r="AF132" s="1210"/>
      <c r="AG132" s="1762"/>
      <c r="AH132" s="1210"/>
      <c r="AI132" s="1706"/>
    </row>
    <row r="133" spans="1:35" s="77" customFormat="1">
      <c r="A133" s="1230">
        <f t="shared" si="42"/>
        <v>7</v>
      </c>
      <c r="B133" s="77" t="s">
        <v>472</v>
      </c>
      <c r="C133" s="77" t="s">
        <v>473</v>
      </c>
      <c r="E133" s="535">
        <v>122833.33333333333</v>
      </c>
      <c r="F133" s="1210">
        <f t="shared" si="40"/>
        <v>119148.33333333333</v>
      </c>
      <c r="G133" s="535">
        <f>VLOOKUP(B133,[1]Лист_1!$A$1:$G$65536,7,0)</f>
        <v>57800</v>
      </c>
      <c r="H133" s="1211">
        <f t="shared" si="41"/>
        <v>-61348.333333333328</v>
      </c>
      <c r="I133" s="1409"/>
      <c r="J133" s="974"/>
      <c r="K133" s="974"/>
      <c r="L133" s="986">
        <v>43500</v>
      </c>
      <c r="M133" s="1410"/>
      <c r="N133" s="1210"/>
      <c r="O133" s="1211">
        <v>84100</v>
      </c>
      <c r="P133" s="1210"/>
      <c r="Q133" s="1358">
        <v>91500</v>
      </c>
      <c r="R133" s="1210"/>
      <c r="S133" s="1396">
        <f>VLOOKUP(B133,[2]Лист_1!$A$1:$C$65536,3,0)</f>
        <v>169150</v>
      </c>
      <c r="T133" s="1210"/>
      <c r="U133" s="1391">
        <v>62300</v>
      </c>
      <c r="V133" s="1210"/>
      <c r="W133" s="1435">
        <f>VLOOKUP(B133,[3]Лист_1!$A$5:$F$54,4,0)</f>
        <v>70400</v>
      </c>
      <c r="X133" s="1639">
        <f>VLOOKUP(B133,[3]Лист_1!$A$5:$D$54,3,0)</f>
        <v>3520</v>
      </c>
      <c r="Y133" s="1210"/>
      <c r="Z133" s="1435">
        <v>83350</v>
      </c>
      <c r="AA133" s="1502"/>
      <c r="AB133" s="1210"/>
      <c r="AC133" s="1396">
        <f>VLOOKUP(B133,[7]Лист_1!$A$3:$E$56,4,0)</f>
        <v>110000</v>
      </c>
      <c r="AD133" s="1210"/>
      <c r="AE133" s="1224">
        <f>VLOOKUP(B133,[4]Лист_1!$A$5:$D$59,3,0)</f>
        <v>68450</v>
      </c>
      <c r="AF133" s="1210"/>
      <c r="AG133" s="1706">
        <f>VLOOKUP(B133,[5]Лист_1!$A$3:$C$50,3,0)</f>
        <v>36800</v>
      </c>
      <c r="AH133" s="1210"/>
      <c r="AI133" s="1706">
        <f>VLOOKUP(B133,[29]Лист_1!$A$5:$C$67,3,0)</f>
        <v>148200</v>
      </c>
    </row>
    <row r="134" spans="1:35" s="77" customFormat="1">
      <c r="A134" s="1230">
        <f t="shared" si="42"/>
        <v>8</v>
      </c>
      <c r="B134" s="77" t="s">
        <v>465</v>
      </c>
      <c r="C134" s="77" t="s">
        <v>464</v>
      </c>
      <c r="E134" s="535">
        <v>33457.5</v>
      </c>
      <c r="F134" s="1210">
        <f t="shared" si="40"/>
        <v>32453.774999999998</v>
      </c>
      <c r="G134" s="535">
        <f>VLOOKUP(B134,[1]Лист_1!$A$1:$G$65536,7,0)</f>
        <v>13070.999999999998</v>
      </c>
      <c r="H134" s="1211">
        <f t="shared" si="41"/>
        <v>-19382.775000000001</v>
      </c>
      <c r="I134" s="1409"/>
      <c r="J134" s="974"/>
      <c r="K134" s="974"/>
      <c r="L134" s="986">
        <v>25250</v>
      </c>
      <c r="M134" s="1410"/>
      <c r="N134" s="1210"/>
      <c r="O134" s="1211">
        <v>37393</v>
      </c>
      <c r="P134" s="1210"/>
      <c r="Q134" s="1358">
        <v>60800</v>
      </c>
      <c r="R134" s="1210"/>
      <c r="S134" s="1391"/>
      <c r="T134" s="1210"/>
      <c r="U134" s="1391">
        <v>157060.99999999997</v>
      </c>
      <c r="V134" s="1210"/>
      <c r="W134" s="1435">
        <f>VLOOKUP(B134,[3]Лист_1!$A$5:$F$54,4,0)</f>
        <v>49900</v>
      </c>
      <c r="X134" s="1639">
        <f>VLOOKUP(B134,[3]Лист_1!$A$5:$D$54,3,0)</f>
        <v>2495</v>
      </c>
      <c r="Y134" s="1210"/>
      <c r="Z134" s="1396"/>
      <c r="AA134" s="1502"/>
      <c r="AB134" s="1210"/>
      <c r="AC134" s="1391"/>
      <c r="AD134" s="1210"/>
      <c r="AE134" s="1224"/>
      <c r="AF134" s="1210"/>
      <c r="AG134" s="1762"/>
      <c r="AH134" s="1210"/>
      <c r="AI134" s="1706"/>
    </row>
    <row r="135" spans="1:35" s="77" customFormat="1">
      <c r="A135" s="1230">
        <f t="shared" si="42"/>
        <v>9</v>
      </c>
      <c r="B135" s="77" t="s">
        <v>479</v>
      </c>
      <c r="E135" s="535">
        <v>428984.25</v>
      </c>
      <c r="F135" s="1210">
        <f t="shared" si="40"/>
        <v>416114.72249999997</v>
      </c>
      <c r="G135" s="535"/>
      <c r="H135" s="1211">
        <f t="shared" si="41"/>
        <v>-416114.72249999997</v>
      </c>
      <c r="I135" s="1409"/>
      <c r="J135" s="974"/>
      <c r="K135" s="974"/>
      <c r="L135" s="986"/>
      <c r="M135" s="1410"/>
      <c r="N135" s="1210"/>
      <c r="O135" s="1211"/>
      <c r="P135" s="1210"/>
      <c r="Q135" s="1358"/>
      <c r="R135" s="1210"/>
      <c r="S135" s="1391"/>
      <c r="T135" s="1210"/>
      <c r="U135" s="1391"/>
      <c r="V135" s="1210"/>
      <c r="W135" s="1391"/>
      <c r="X135" s="1643"/>
      <c r="Y135" s="1210"/>
      <c r="Z135" s="1391"/>
      <c r="AA135" s="1503"/>
      <c r="AB135" s="1210"/>
      <c r="AC135" s="1391"/>
      <c r="AD135" s="1210"/>
      <c r="AE135" s="1224"/>
      <c r="AF135" s="1210"/>
      <c r="AG135" s="1762"/>
      <c r="AH135" s="1210"/>
      <c r="AI135" s="1706"/>
    </row>
    <row r="136" spans="1:35" s="77" customFormat="1">
      <c r="A136" s="1230">
        <f t="shared" si="42"/>
        <v>10</v>
      </c>
      <c r="B136" s="77" t="s">
        <v>619</v>
      </c>
      <c r="C136" s="77" t="s">
        <v>615</v>
      </c>
      <c r="E136" s="535">
        <v>71883.333333333328</v>
      </c>
      <c r="F136" s="1210">
        <f t="shared" si="40"/>
        <v>69726.833333333328</v>
      </c>
      <c r="G136" s="535">
        <f>VLOOKUP(B136,[1]Лист_1!$A$1:$G$65536,7,0)</f>
        <v>38600</v>
      </c>
      <c r="H136" s="1211">
        <f t="shared" si="41"/>
        <v>-31126.833333333328</v>
      </c>
      <c r="I136" s="1409"/>
      <c r="J136" s="974"/>
      <c r="K136" s="974"/>
      <c r="L136" s="986"/>
      <c r="M136" s="1410"/>
      <c r="N136" s="1210"/>
      <c r="O136" s="1211">
        <v>69200</v>
      </c>
      <c r="P136" s="1210"/>
      <c r="Q136" s="1358">
        <v>49200</v>
      </c>
      <c r="R136" s="1210"/>
      <c r="S136" s="1396">
        <f>VLOOKUP(B136,[2]Лист_1!$A$1:$C$65536,3,0)</f>
        <v>132800</v>
      </c>
      <c r="T136" s="1210"/>
      <c r="U136" s="1391"/>
      <c r="V136" s="1210"/>
      <c r="W136" s="1435">
        <f>VLOOKUP(B136,[3]Лист_1!$A$5:$F$54,4,0)</f>
        <v>224700</v>
      </c>
      <c r="X136" s="1639">
        <f>VLOOKUP(B136,[3]Лист_1!$A$5:$D$54,3,0)</f>
        <v>11235</v>
      </c>
      <c r="Y136" s="1210"/>
      <c r="Z136" s="1435">
        <v>102300</v>
      </c>
      <c r="AA136" s="1502"/>
      <c r="AB136" s="1210"/>
      <c r="AC136" s="1396">
        <f>VLOOKUP(B136,[7]Лист_1!$A$3:$E$56,4,0)</f>
        <v>299000</v>
      </c>
      <c r="AD136" s="1210"/>
      <c r="AE136" s="1224">
        <f>VLOOKUP(B136,[4]Лист_1!$A$5:$D$59,3,0)</f>
        <v>138560</v>
      </c>
      <c r="AF136" s="1210"/>
      <c r="AG136" s="1706">
        <f>VLOOKUP(B136,[5]Лист_1!$A$3:$C$50,3,0)</f>
        <v>138285.71428571429</v>
      </c>
      <c r="AH136" s="1210"/>
      <c r="AI136" s="1706">
        <v>600709.52</v>
      </c>
    </row>
    <row r="137" spans="1:35" s="77" customFormat="1">
      <c r="A137" s="1230">
        <f t="shared" si="42"/>
        <v>11</v>
      </c>
      <c r="B137" s="77" t="s">
        <v>298</v>
      </c>
      <c r="C137" s="77" t="s">
        <v>154</v>
      </c>
      <c r="E137" s="535"/>
      <c r="F137" s="1210"/>
      <c r="G137" s="535"/>
      <c r="H137" s="1211"/>
      <c r="I137" s="1409"/>
      <c r="J137" s="974"/>
      <c r="K137" s="974"/>
      <c r="L137" s="986">
        <v>1548571.43</v>
      </c>
      <c r="M137" s="1410"/>
      <c r="N137" s="1210"/>
      <c r="O137" s="1211"/>
      <c r="P137" s="1210"/>
      <c r="Q137" s="1358"/>
      <c r="R137" s="1210"/>
      <c r="S137" s="1391"/>
      <c r="T137" s="1210"/>
      <c r="U137" s="1391"/>
      <c r="V137" s="1210"/>
      <c r="W137" s="1391"/>
      <c r="X137" s="1639">
        <f>VLOOKUP(B137,[3]Лист_1!$A$5:$D$54,3,0)</f>
        <v>11007.700000000012</v>
      </c>
      <c r="Y137" s="1210"/>
      <c r="Z137" s="1391"/>
      <c r="AA137" s="1502"/>
      <c r="AB137" s="1210"/>
      <c r="AC137" s="1391"/>
      <c r="AD137" s="1210"/>
      <c r="AE137" s="1224"/>
      <c r="AF137" s="1210"/>
      <c r="AG137" s="1706">
        <f>VLOOKUP(B137,[5]Лист_1!$A$3:$C$50,3,0)</f>
        <v>342857.14285714284</v>
      </c>
      <c r="AH137" s="1210"/>
      <c r="AI137" s="1706"/>
    </row>
    <row r="138" spans="1:35" s="77" customFormat="1">
      <c r="A138" s="1230">
        <f t="shared" si="42"/>
        <v>12</v>
      </c>
      <c r="B138" s="77" t="s">
        <v>553</v>
      </c>
      <c r="C138" s="984" t="s">
        <v>952</v>
      </c>
      <c r="E138" s="535"/>
      <c r="F138" s="1210"/>
      <c r="G138" s="535"/>
      <c r="H138" s="1211"/>
      <c r="I138" s="1409"/>
      <c r="J138" s="974"/>
      <c r="K138" s="974"/>
      <c r="L138" s="986">
        <v>202050</v>
      </c>
      <c r="M138" s="1410"/>
      <c r="N138" s="1210"/>
      <c r="O138" s="1211">
        <v>746800</v>
      </c>
      <c r="P138" s="1210"/>
      <c r="Q138" s="1358"/>
      <c r="R138" s="1210"/>
      <c r="S138" s="1396">
        <v>743900</v>
      </c>
      <c r="T138" s="1210"/>
      <c r="U138" s="1391">
        <v>626800</v>
      </c>
      <c r="V138" s="1210"/>
      <c r="W138" s="1391">
        <v>386200</v>
      </c>
      <c r="X138" s="1643"/>
      <c r="Y138" s="1210"/>
      <c r="Z138" s="1391"/>
      <c r="AA138" s="1503"/>
      <c r="AB138" s="1210"/>
      <c r="AC138" s="1391"/>
      <c r="AD138" s="1210"/>
      <c r="AE138" s="1224">
        <f>VLOOKUP(B138,[4]Лист_1!$A$5:$D$59,3,0)</f>
        <v>675900</v>
      </c>
      <c r="AF138" s="1210"/>
      <c r="AG138" s="1706"/>
      <c r="AH138" s="1210"/>
      <c r="AI138" s="1706">
        <v>591500</v>
      </c>
    </row>
    <row r="139" spans="1:35" s="77" customFormat="1">
      <c r="A139" s="1230">
        <f t="shared" si="42"/>
        <v>13</v>
      </c>
      <c r="B139" s="77" t="s">
        <v>467</v>
      </c>
      <c r="C139" s="984"/>
      <c r="E139" s="535"/>
      <c r="F139" s="1210"/>
      <c r="G139" s="535"/>
      <c r="H139" s="1211"/>
      <c r="I139" s="1409"/>
      <c r="J139" s="974"/>
      <c r="K139" s="974"/>
      <c r="L139" s="986">
        <v>175100</v>
      </c>
      <c r="M139" s="1410"/>
      <c r="N139" s="1210"/>
      <c r="O139" s="1211"/>
      <c r="P139" s="1210"/>
      <c r="Q139" s="1358"/>
      <c r="R139" s="1210"/>
      <c r="S139" s="1391"/>
      <c r="T139" s="1210"/>
      <c r="U139" s="1391"/>
      <c r="V139" s="1210"/>
      <c r="W139" s="1391"/>
      <c r="X139" s="1643"/>
      <c r="Y139" s="1210"/>
      <c r="Z139" s="1391"/>
      <c r="AA139" s="1503"/>
      <c r="AB139" s="1210"/>
      <c r="AC139" s="1391"/>
      <c r="AD139" s="1210"/>
      <c r="AE139" s="1224"/>
      <c r="AF139" s="1210"/>
      <c r="AG139" s="1706"/>
      <c r="AH139" s="1210"/>
      <c r="AI139" s="1706"/>
    </row>
    <row r="140" spans="1:35" s="77" customFormat="1">
      <c r="A140" s="1230">
        <f t="shared" si="42"/>
        <v>14</v>
      </c>
      <c r="B140" s="984" t="s">
        <v>506</v>
      </c>
      <c r="C140" s="984"/>
      <c r="E140" s="535"/>
      <c r="F140" s="1210"/>
      <c r="G140" s="535"/>
      <c r="H140" s="1211"/>
      <c r="I140" s="1409"/>
      <c r="J140" s="974"/>
      <c r="K140" s="974"/>
      <c r="L140" s="986">
        <v>34950</v>
      </c>
      <c r="M140" s="1410"/>
      <c r="N140" s="1210"/>
      <c r="O140" s="1211"/>
      <c r="P140" s="1210"/>
      <c r="Q140" s="1358"/>
      <c r="R140" s="1210"/>
      <c r="S140" s="1391"/>
      <c r="T140" s="1210"/>
      <c r="U140" s="1391">
        <v>36000</v>
      </c>
      <c r="V140" s="1210"/>
      <c r="W140" s="1391"/>
      <c r="X140" s="1643"/>
      <c r="Y140" s="1210"/>
      <c r="Z140" s="1391"/>
      <c r="AA140" s="1503"/>
      <c r="AB140" s="1210"/>
      <c r="AC140" s="1391"/>
      <c r="AD140" s="1210"/>
      <c r="AE140" s="1224"/>
      <c r="AF140" s="1210"/>
      <c r="AG140" s="1706"/>
      <c r="AH140" s="1210"/>
      <c r="AI140" s="1706">
        <v>100650</v>
      </c>
    </row>
    <row r="141" spans="1:35" s="77" customFormat="1">
      <c r="A141" s="1230">
        <f>A139+1</f>
        <v>14</v>
      </c>
      <c r="B141" s="77" t="s">
        <v>447</v>
      </c>
      <c r="C141" s="77" t="s">
        <v>480</v>
      </c>
      <c r="E141" s="535">
        <v>180266.5</v>
      </c>
      <c r="F141" s="1210">
        <f t="shared" si="40"/>
        <v>174858.505</v>
      </c>
      <c r="G141" s="535">
        <f>VLOOKUP(B141,[1]Лист_1!$A$1:$G$65536,7,0)</f>
        <v>87027</v>
      </c>
      <c r="H141" s="1211">
        <f t="shared" si="41"/>
        <v>-87831.505000000005</v>
      </c>
      <c r="I141" s="1409"/>
      <c r="J141" s="974">
        <v>30000</v>
      </c>
      <c r="K141" s="974"/>
      <c r="L141" s="986">
        <v>97901.009523809524</v>
      </c>
      <c r="M141" s="1410"/>
      <c r="N141" s="1210"/>
      <c r="O141" s="1211">
        <v>73085.504761904755</v>
      </c>
      <c r="P141" s="1210"/>
      <c r="Q141" s="1358">
        <v>116625.30476190476</v>
      </c>
      <c r="R141" s="1210"/>
      <c r="S141" s="1396">
        <f>VLOOKUP(B141,[2]Лист_1!$A$1:$C$65536,3,0)</f>
        <v>103931.00952380952</v>
      </c>
      <c r="T141" s="1210"/>
      <c r="U141" s="1391">
        <v>72307</v>
      </c>
      <c r="V141" s="1210"/>
      <c r="Y141" s="1210"/>
      <c r="Z141" s="1396"/>
      <c r="AA141" s="1502"/>
      <c r="AB141" s="1210"/>
      <c r="AC141" s="1391"/>
      <c r="AD141" s="1210"/>
      <c r="AE141" s="1224"/>
      <c r="AF141" s="1210"/>
      <c r="AG141" s="1706"/>
      <c r="AH141" s="1210"/>
      <c r="AI141" s="1706"/>
    </row>
    <row r="142" spans="1:35" s="77" customFormat="1">
      <c r="A142" s="1230">
        <f t="shared" si="42"/>
        <v>15</v>
      </c>
      <c r="B142" s="77" t="s">
        <v>603</v>
      </c>
      <c r="E142" s="535">
        <v>44416.666666666664</v>
      </c>
      <c r="F142" s="1210">
        <f t="shared" si="40"/>
        <v>43084.166666666664</v>
      </c>
      <c r="G142" s="535">
        <f>VLOOKUP(B142,[1]Лист_1!$A$1:$G$65536,7,0)</f>
        <v>6800</v>
      </c>
      <c r="H142" s="1211">
        <f t="shared" si="41"/>
        <v>-36284.166666666664</v>
      </c>
      <c r="I142" s="1418"/>
      <c r="J142" s="979"/>
      <c r="K142" s="979"/>
      <c r="L142" s="1367"/>
      <c r="M142" s="1419"/>
      <c r="N142" s="1210"/>
      <c r="O142" s="1211">
        <v>126750</v>
      </c>
      <c r="P142" s="1210"/>
      <c r="Q142" s="1358"/>
      <c r="R142" s="1210"/>
      <c r="S142" s="1396">
        <f>VLOOKUP(B142,[2]Лист_1!$A$1:$C$65536,3,0)</f>
        <v>12950</v>
      </c>
      <c r="T142" s="1210"/>
      <c r="U142" s="1391">
        <v>7500</v>
      </c>
      <c r="V142" s="1210"/>
      <c r="W142" s="1391"/>
      <c r="X142" s="1643"/>
      <c r="Y142" s="1210"/>
      <c r="Z142" s="1391">
        <v>67825</v>
      </c>
      <c r="AA142" s="1503"/>
      <c r="AB142" s="1210"/>
      <c r="AC142" s="1396">
        <f>VLOOKUP(B142,[7]Лист_1!$A$3:$E$56,4,0)</f>
        <v>129775</v>
      </c>
      <c r="AD142" s="1210"/>
      <c r="AE142" s="1224">
        <f>VLOOKUP(B142,[4]Лист_1!$A$5:$D$59,3,0)</f>
        <v>37650</v>
      </c>
      <c r="AF142" s="1210"/>
      <c r="AG142" s="1706"/>
      <c r="AH142" s="1210"/>
      <c r="AI142" s="1706"/>
    </row>
    <row r="143" spans="1:35" s="77" customFormat="1">
      <c r="A143" s="1230">
        <f t="shared" si="42"/>
        <v>16</v>
      </c>
      <c r="B143" s="77" t="s">
        <v>1217</v>
      </c>
      <c r="E143" s="535"/>
      <c r="F143" s="1210"/>
      <c r="G143" s="535"/>
      <c r="H143" s="1211"/>
      <c r="I143" s="1420"/>
      <c r="J143" s="980"/>
      <c r="K143" s="980"/>
      <c r="L143" s="1773"/>
      <c r="M143" s="1421"/>
      <c r="N143" s="1210"/>
      <c r="O143" s="1211"/>
      <c r="P143" s="1210"/>
      <c r="Q143" s="1358"/>
      <c r="R143" s="1210"/>
      <c r="S143" s="1396"/>
      <c r="T143" s="1210"/>
      <c r="U143" s="1391"/>
      <c r="V143" s="1210"/>
      <c r="W143" s="1391"/>
      <c r="X143" s="1643"/>
      <c r="Y143" s="1210"/>
      <c r="Z143" s="1391"/>
      <c r="AA143" s="1503"/>
      <c r="AB143" s="1210"/>
      <c r="AC143" s="1396"/>
      <c r="AD143" s="1210"/>
      <c r="AE143" s="1224"/>
      <c r="AF143" s="1210"/>
      <c r="AG143" s="1706">
        <f>VLOOKUP(B143,[5]Лист_1!$A$3:$C$50,3,0)</f>
        <v>166666.66666666666</v>
      </c>
      <c r="AH143" s="1210"/>
      <c r="AI143" s="1706"/>
    </row>
    <row r="144" spans="1:35" s="77" customFormat="1">
      <c r="A144" s="1230">
        <f t="shared" si="42"/>
        <v>17</v>
      </c>
      <c r="B144" s="77" t="s">
        <v>1235</v>
      </c>
      <c r="C144" s="77" t="s">
        <v>1236</v>
      </c>
      <c r="E144" s="535"/>
      <c r="F144" s="1210"/>
      <c r="G144" s="535"/>
      <c r="H144" s="1211"/>
      <c r="I144" s="1420"/>
      <c r="J144" s="980"/>
      <c r="K144" s="980"/>
      <c r="L144" s="1773"/>
      <c r="M144" s="1421"/>
      <c r="N144" s="1210"/>
      <c r="O144" s="1211"/>
      <c r="P144" s="1210"/>
      <c r="Q144" s="1358"/>
      <c r="R144" s="1210"/>
      <c r="S144" s="1396"/>
      <c r="T144" s="1210"/>
      <c r="U144" s="1391"/>
      <c r="V144" s="1210"/>
      <c r="W144" s="1391"/>
      <c r="X144" s="1643"/>
      <c r="Y144" s="1210"/>
      <c r="Z144" s="1391"/>
      <c r="AA144" s="1503"/>
      <c r="AB144" s="1210"/>
      <c r="AC144" s="1396"/>
      <c r="AD144" s="1210"/>
      <c r="AE144" s="1224"/>
      <c r="AF144" s="1210"/>
      <c r="AG144" s="1706"/>
      <c r="AH144" s="1210"/>
      <c r="AI144" s="1706">
        <v>381800</v>
      </c>
    </row>
    <row r="145" spans="1:35" s="697" customFormat="1" ht="13.8" thickBot="1">
      <c r="A145" s="1230">
        <f t="shared" si="42"/>
        <v>18</v>
      </c>
      <c r="B145" s="984" t="s">
        <v>1178</v>
      </c>
      <c r="E145" s="1480"/>
      <c r="F145" s="1481"/>
      <c r="G145" s="1480"/>
      <c r="H145" s="1482"/>
      <c r="I145" s="1483"/>
      <c r="J145" s="1484"/>
      <c r="K145" s="1484"/>
      <c r="L145" s="1485"/>
      <c r="M145" s="1486"/>
      <c r="N145" s="1481"/>
      <c r="O145" s="1482"/>
      <c r="P145" s="1481"/>
      <c r="Q145" s="1361"/>
      <c r="R145" s="1481"/>
      <c r="S145" s="1475"/>
      <c r="T145" s="1399"/>
      <c r="U145" s="782"/>
      <c r="V145" s="1481"/>
      <c r="W145" s="1226"/>
      <c r="X145" s="1646"/>
      <c r="Y145" s="1481"/>
      <c r="Z145" s="1226"/>
      <c r="AA145" s="1506"/>
      <c r="AB145" s="1481"/>
      <c r="AC145" s="1396">
        <f>VLOOKUP(B145,[7]Лист_1!$A$3:$E$56,4,0)</f>
        <v>25450</v>
      </c>
      <c r="AD145" s="1481"/>
      <c r="AE145" s="1224"/>
      <c r="AF145" s="1481"/>
      <c r="AG145" s="1706"/>
      <c r="AH145" s="1481"/>
      <c r="AI145" s="1706"/>
    </row>
    <row r="146" spans="1:35" s="151" customFormat="1" ht="13.8" thickBot="1">
      <c r="A146" s="1218"/>
      <c r="B146" s="151" t="s">
        <v>971</v>
      </c>
      <c r="E146" s="1219">
        <f>SUM(E127:E142)</f>
        <v>1324089.9583333335</v>
      </c>
      <c r="F146" s="1220">
        <f>SUM(F127:F142)</f>
        <v>1284367.2595833333</v>
      </c>
      <c r="G146" s="1219">
        <f>SUM(G127:G142)</f>
        <v>674713.23809523811</v>
      </c>
      <c r="H146" s="1221">
        <f>SUM(H127:H142)</f>
        <v>-609654.02148809517</v>
      </c>
      <c r="I146" s="1427"/>
      <c r="J146" s="1199"/>
      <c r="K146" s="1199"/>
      <c r="L146" s="1200">
        <v>2305705.4395238091</v>
      </c>
      <c r="M146" s="1428"/>
      <c r="N146" s="1220"/>
      <c r="O146" s="1221">
        <v>1198212.0761904761</v>
      </c>
      <c r="P146" s="1220"/>
      <c r="Q146" s="1221">
        <f>SUM(Q127:Q142)</f>
        <v>583580.87476190482</v>
      </c>
      <c r="R146" s="1220"/>
      <c r="S146" s="1219">
        <f>SUM(S127:S142)</f>
        <v>1388277.2571428572</v>
      </c>
      <c r="T146" s="1220"/>
      <c r="U146" s="1219">
        <f>SUM(U126:U145)</f>
        <v>985338</v>
      </c>
      <c r="V146" s="1220"/>
      <c r="W146" s="1219">
        <f>SUM(W127:W142)</f>
        <v>912801.04761904757</v>
      </c>
      <c r="X146" s="1644"/>
      <c r="Y146" s="1220"/>
      <c r="Z146" s="1219">
        <f>SUM(Z127:Z145)</f>
        <v>253475</v>
      </c>
      <c r="AA146" s="1504"/>
      <c r="AB146" s="1220"/>
      <c r="AC146" s="1219">
        <f>SUM(AC127:AC145)</f>
        <v>1061608.71</v>
      </c>
      <c r="AD146" s="1220"/>
      <c r="AE146" s="1221">
        <f>SUM(AE127:AE145)</f>
        <v>920560</v>
      </c>
      <c r="AF146" s="1220"/>
      <c r="AG146" s="1764">
        <f>SUM(AG127:AG145)</f>
        <v>1013960.5238095238</v>
      </c>
      <c r="AH146" s="1220"/>
      <c r="AI146" s="1764">
        <f>SUM(AI127:AI145)</f>
        <v>2145361.8057142859</v>
      </c>
    </row>
    <row r="147" spans="1:35" s="1393" customFormat="1" ht="26.4">
      <c r="A147" s="1392"/>
      <c r="C147" s="1477" t="s">
        <v>320</v>
      </c>
      <c r="E147" s="1217"/>
      <c r="F147" s="1394"/>
      <c r="G147" s="1217"/>
      <c r="H147" s="1436"/>
      <c r="I147" s="1478"/>
      <c r="J147" s="1449"/>
      <c r="K147" s="1449"/>
      <c r="L147" s="1450"/>
      <c r="M147" s="1451"/>
      <c r="N147" s="1394"/>
      <c r="O147" s="1389"/>
      <c r="P147" s="1394"/>
      <c r="Q147" s="1389"/>
      <c r="R147" s="1394"/>
      <c r="S147" s="1217"/>
      <c r="T147" s="1216"/>
      <c r="U147" s="1215"/>
      <c r="V147" s="1394"/>
      <c r="W147" s="1217"/>
      <c r="X147" s="1645"/>
      <c r="Y147" s="1394"/>
      <c r="Z147" s="1217"/>
      <c r="AA147" s="1505"/>
      <c r="AB147" s="1394"/>
      <c r="AC147" s="1217"/>
      <c r="AD147" s="1394"/>
      <c r="AE147" s="1389"/>
      <c r="AF147" s="1394"/>
      <c r="AG147" s="1765"/>
      <c r="AH147" s="1394"/>
      <c r="AI147" s="1765"/>
    </row>
    <row r="148" spans="1:35" s="77" customFormat="1">
      <c r="A148" s="1230">
        <v>1</v>
      </c>
      <c r="B148" s="77" t="s">
        <v>318</v>
      </c>
      <c r="C148" s="77" t="s">
        <v>318</v>
      </c>
      <c r="E148" s="535"/>
      <c r="F148" s="1210"/>
      <c r="G148" s="535"/>
      <c r="H148" s="1400"/>
      <c r="I148" s="1409"/>
      <c r="J148" s="974"/>
      <c r="K148" s="974"/>
      <c r="L148" s="986"/>
      <c r="M148" s="1410"/>
      <c r="N148" s="1210"/>
      <c r="O148" s="1211"/>
      <c r="P148" s="1210"/>
      <c r="Q148" s="1211"/>
      <c r="R148" s="1210"/>
      <c r="S148" s="535"/>
      <c r="T148" s="1212"/>
      <c r="U148" s="1397"/>
      <c r="V148" s="1210"/>
      <c r="W148" s="535"/>
      <c r="X148" s="1643"/>
      <c r="Y148" s="1210"/>
      <c r="Z148" s="535"/>
      <c r="AA148" s="1503"/>
      <c r="AB148" s="1210"/>
      <c r="AC148" s="535"/>
      <c r="AD148" s="1210"/>
      <c r="AE148" s="1211"/>
      <c r="AF148" s="1210"/>
      <c r="AG148" s="1762"/>
      <c r="AH148" s="1210"/>
      <c r="AI148" s="1762"/>
    </row>
    <row r="149" spans="1:35" s="77" customFormat="1">
      <c r="A149" s="1230">
        <f>A148+1</f>
        <v>2</v>
      </c>
      <c r="B149" s="77" t="s">
        <v>319</v>
      </c>
      <c r="C149" s="77" t="s">
        <v>478</v>
      </c>
      <c r="E149" s="535"/>
      <c r="F149" s="1210"/>
      <c r="G149" s="535"/>
      <c r="H149" s="1400"/>
      <c r="I149" s="1409"/>
      <c r="J149" s="974"/>
      <c r="K149" s="974"/>
      <c r="L149" s="986">
        <v>6000</v>
      </c>
      <c r="M149" s="1410"/>
      <c r="N149" s="1210"/>
      <c r="O149" s="1211"/>
      <c r="P149" s="1210"/>
      <c r="Q149" s="1211"/>
      <c r="R149" s="1210"/>
      <c r="S149" s="535"/>
      <c r="T149" s="1210"/>
      <c r="U149" s="535"/>
      <c r="V149" s="1210"/>
      <c r="W149" s="535"/>
      <c r="X149" s="1643"/>
      <c r="Y149" s="1210"/>
      <c r="Z149" s="535"/>
      <c r="AA149" s="1503"/>
      <c r="AB149" s="1210"/>
      <c r="AC149" s="535"/>
      <c r="AD149" s="1210"/>
      <c r="AE149" s="1211"/>
      <c r="AF149" s="1210"/>
      <c r="AG149" s="1762"/>
      <c r="AH149" s="1210"/>
      <c r="AI149" s="1762"/>
    </row>
    <row r="150" spans="1:35" s="77" customFormat="1">
      <c r="A150" s="1230">
        <f>A149+1</f>
        <v>3</v>
      </c>
      <c r="B150" s="77" t="s">
        <v>1094</v>
      </c>
      <c r="E150" s="535"/>
      <c r="F150" s="1210"/>
      <c r="G150" s="535"/>
      <c r="H150" s="1400"/>
      <c r="I150" s="1409"/>
      <c r="J150" s="974"/>
      <c r="K150" s="974"/>
      <c r="L150" s="986"/>
      <c r="M150" s="1410"/>
      <c r="N150" s="1210"/>
      <c r="O150" s="1211"/>
      <c r="P150" s="1210"/>
      <c r="Q150" s="1211"/>
      <c r="R150" s="1210"/>
      <c r="S150" s="535"/>
      <c r="T150" s="1210"/>
      <c r="U150" s="535">
        <v>12000</v>
      </c>
      <c r="V150" s="1210"/>
      <c r="W150" s="535"/>
      <c r="X150" s="1643"/>
      <c r="Y150" s="1210"/>
      <c r="Z150" s="535"/>
      <c r="AA150" s="1503"/>
      <c r="AB150" s="1210"/>
      <c r="AC150" s="535"/>
      <c r="AD150" s="1210"/>
      <c r="AE150" s="1211"/>
      <c r="AF150" s="1210"/>
      <c r="AG150" s="1762"/>
      <c r="AH150" s="1210"/>
      <c r="AI150" s="1762"/>
    </row>
    <row r="151" spans="1:35" s="77" customFormat="1">
      <c r="A151" s="1230">
        <f>A150+1</f>
        <v>4</v>
      </c>
      <c r="B151" s="77" t="s">
        <v>1095</v>
      </c>
      <c r="E151" s="535"/>
      <c r="F151" s="1210"/>
      <c r="G151" s="535"/>
      <c r="H151" s="1400"/>
      <c r="I151" s="1409"/>
      <c r="J151" s="974"/>
      <c r="K151" s="974"/>
      <c r="L151" s="986"/>
      <c r="M151" s="1410"/>
      <c r="N151" s="1210"/>
      <c r="O151" s="1211"/>
      <c r="P151" s="1210"/>
      <c r="Q151" s="1211"/>
      <c r="R151" s="1210"/>
      <c r="S151" s="535"/>
      <c r="T151" s="1210"/>
      <c r="U151" s="535">
        <v>250000</v>
      </c>
      <c r="V151" s="1210"/>
      <c r="W151" s="535"/>
      <c r="X151" s="1643"/>
      <c r="Y151" s="1210"/>
      <c r="Z151" s="535"/>
      <c r="AA151" s="1503"/>
      <c r="AB151" s="1210"/>
      <c r="AC151" s="535"/>
      <c r="AD151" s="1210"/>
      <c r="AE151" s="1211"/>
      <c r="AF151" s="1210"/>
      <c r="AG151" s="1762"/>
      <c r="AH151" s="1210"/>
      <c r="AI151" s="1762"/>
    </row>
    <row r="152" spans="1:35" s="1488" customFormat="1" ht="13.2" customHeight="1" thickBot="1">
      <c r="A152" s="1479">
        <f>A151+1</f>
        <v>5</v>
      </c>
      <c r="B152" s="1487" t="s">
        <v>969</v>
      </c>
      <c r="E152" s="1489"/>
      <c r="F152" s="1490"/>
      <c r="G152" s="1489"/>
      <c r="H152" s="1491"/>
      <c r="I152" s="1492"/>
      <c r="J152" s="1493"/>
      <c r="K152" s="1493"/>
      <c r="L152" s="1494">
        <v>75000</v>
      </c>
      <c r="M152" s="1495"/>
      <c r="N152" s="1490"/>
      <c r="O152" s="1496"/>
      <c r="P152" s="1490"/>
      <c r="Q152" s="1496"/>
      <c r="R152" s="1490"/>
      <c r="S152" s="1489"/>
      <c r="T152" s="1490"/>
      <c r="U152" s="1489">
        <f>221800+12000+57000</f>
        <v>290800</v>
      </c>
      <c r="V152" s="1490"/>
      <c r="W152" s="1489">
        <v>25000</v>
      </c>
      <c r="X152" s="1646">
        <v>0</v>
      </c>
      <c r="Y152" s="1490"/>
      <c r="Z152" s="1489"/>
      <c r="AA152" s="1506">
        <v>0</v>
      </c>
      <c r="AB152" s="1490"/>
      <c r="AC152" s="1705">
        <v>55000</v>
      </c>
      <c r="AD152" s="1490"/>
      <c r="AE152" s="1708">
        <v>12000</v>
      </c>
      <c r="AF152" s="1490"/>
      <c r="AG152" s="1769">
        <v>22000</v>
      </c>
      <c r="AH152" s="1490"/>
      <c r="AI152" s="1769"/>
    </row>
    <row r="153" spans="1:35" s="77" customFormat="1" ht="13.8" thickBot="1">
      <c r="A153" s="1230"/>
      <c r="B153" s="1447" t="s">
        <v>970</v>
      </c>
      <c r="E153" s="535"/>
      <c r="F153" s="1210"/>
      <c r="G153" s="535"/>
      <c r="H153" s="1400"/>
      <c r="I153" s="1420"/>
      <c r="J153" s="980"/>
      <c r="K153" s="980"/>
      <c r="L153" s="1448">
        <v>81000</v>
      </c>
      <c r="M153" s="1421"/>
      <c r="N153" s="1210"/>
      <c r="O153" s="1211">
        <v>0</v>
      </c>
      <c r="P153" s="1210"/>
      <c r="Q153" s="1211">
        <f>Q148+Q149+Q152</f>
        <v>0</v>
      </c>
      <c r="R153" s="1210"/>
      <c r="S153" s="535">
        <f>S148+S149+S152</f>
        <v>0</v>
      </c>
      <c r="T153" s="1210"/>
      <c r="U153" s="535">
        <f>SUM(U147:U152)</f>
        <v>552800</v>
      </c>
      <c r="V153" s="1210"/>
      <c r="W153" s="535">
        <f>SUM(W147:W152)</f>
        <v>25000</v>
      </c>
      <c r="X153" s="1643"/>
      <c r="Y153" s="1210"/>
      <c r="Z153" s="535">
        <f>SUM(Z147:Z152)</f>
        <v>0</v>
      </c>
      <c r="AA153" s="1503"/>
      <c r="AB153" s="1210"/>
      <c r="AC153" s="535">
        <f>SUM(AC147:AC152)</f>
        <v>55000</v>
      </c>
      <c r="AD153" s="1210"/>
      <c r="AE153" s="1211">
        <f>SUM(AE147:AE152)</f>
        <v>12000</v>
      </c>
      <c r="AF153" s="1210"/>
      <c r="AG153" s="1762">
        <f>SUM(AG147:AG152)</f>
        <v>22000</v>
      </c>
      <c r="AH153" s="1210"/>
      <c r="AI153" s="1762">
        <f>SUM(AI147:AI152)</f>
        <v>0</v>
      </c>
    </row>
    <row r="154" spans="1:35" s="151" customFormat="1" ht="13.8" thickBot="1">
      <c r="A154" s="1218"/>
      <c r="B154" s="151" t="s">
        <v>927</v>
      </c>
      <c r="E154" s="1219"/>
      <c r="F154" s="1220"/>
      <c r="G154" s="1219">
        <f>307811.9+116703.67+34000</f>
        <v>458515.57</v>
      </c>
      <c r="H154" s="1439"/>
      <c r="I154" s="1427"/>
      <c r="J154" s="1199"/>
      <c r="K154" s="1199"/>
      <c r="L154" s="1200">
        <v>345203.81000000006</v>
      </c>
      <c r="M154" s="1428"/>
      <c r="N154" s="1220"/>
      <c r="O154" s="1221">
        <v>230854.75</v>
      </c>
      <c r="P154" s="1220"/>
      <c r="Q154" s="1221">
        <f>Q155+Q156+Q158</f>
        <v>458757.9</v>
      </c>
      <c r="R154" s="1220"/>
      <c r="S154" s="1219">
        <f>S155+S156+S158</f>
        <v>271646.25</v>
      </c>
      <c r="T154" s="1220"/>
      <c r="U154" s="1219">
        <f>SUM(U155:U158)</f>
        <v>182105.93</v>
      </c>
      <c r="V154" s="1220"/>
      <c r="W154" s="1219">
        <f>SUM(W155:W158)</f>
        <v>192013.40285714285</v>
      </c>
      <c r="X154" s="1644"/>
      <c r="Y154" s="1220"/>
      <c r="Z154" s="1219">
        <f>SUM(Z155:Z158)</f>
        <v>293918.65000000002</v>
      </c>
      <c r="AA154" s="1504"/>
      <c r="AB154" s="1220"/>
      <c r="AC154" s="1219">
        <f>SUM(AC155:AC158)</f>
        <v>127753.75</v>
      </c>
      <c r="AD154" s="1220"/>
      <c r="AE154" s="1221">
        <f>SUM(AE155:AE158)</f>
        <v>129349.92</v>
      </c>
      <c r="AF154" s="1220"/>
      <c r="AG154" s="1764">
        <f>SUM(AG155:AG158)</f>
        <v>105844.84</v>
      </c>
      <c r="AH154" s="1220"/>
      <c r="AI154" s="1764">
        <f>SUM(AI155:AI158)</f>
        <v>46110.13</v>
      </c>
    </row>
    <row r="155" spans="1:35" s="1393" customFormat="1">
      <c r="A155" s="1392"/>
      <c r="C155" s="1214" t="s">
        <v>966</v>
      </c>
      <c r="E155" s="1217"/>
      <c r="F155" s="1394"/>
      <c r="G155" s="1217"/>
      <c r="H155" s="1436"/>
      <c r="I155" s="1422"/>
      <c r="J155" s="1395"/>
      <c r="K155" s="1395"/>
      <c r="L155" s="1458">
        <v>72526.420000000013</v>
      </c>
      <c r="M155" s="1423"/>
      <c r="N155" s="1394"/>
      <c r="O155" s="1389">
        <v>46808</v>
      </c>
      <c r="P155" s="1394"/>
      <c r="Q155" s="1389">
        <f>46939.43+16800</f>
        <v>63739.43</v>
      </c>
      <c r="R155" s="1394"/>
      <c r="S155" s="1217">
        <v>50782</v>
      </c>
      <c r="T155" s="1394"/>
      <c r="U155" s="1241">
        <v>44117.760000000002</v>
      </c>
      <c r="V155" s="1394"/>
      <c r="W155" s="1241">
        <f>[3]Лист_1!$D$33</f>
        <v>42488.742857142854</v>
      </c>
      <c r="X155" s="1645">
        <v>2124.44</v>
      </c>
      <c r="Y155" s="1394"/>
      <c r="Z155" s="1241">
        <f>40043.59+38199.39</f>
        <v>78242.98</v>
      </c>
      <c r="AA155" s="1505"/>
      <c r="AB155" s="1394"/>
      <c r="AC155" s="1241">
        <v>39210.730000000003</v>
      </c>
      <c r="AD155" s="1394"/>
      <c r="AE155" s="1243">
        <v>39008.959999999999</v>
      </c>
      <c r="AF155" s="1394"/>
      <c r="AG155" s="1768">
        <f>39346.55+780.75</f>
        <v>40127.300000000003</v>
      </c>
      <c r="AH155" s="1394"/>
      <c r="AI155" s="1768">
        <v>39610.129999999997</v>
      </c>
    </row>
    <row r="156" spans="1:35" s="1447" customFormat="1">
      <c r="A156" s="1229"/>
      <c r="C156" s="984" t="s">
        <v>977</v>
      </c>
      <c r="E156" s="1397"/>
      <c r="F156" s="1212"/>
      <c r="G156" s="1397"/>
      <c r="H156" s="1437"/>
      <c r="I156" s="1429"/>
      <c r="J156" s="989"/>
      <c r="K156" s="989"/>
      <c r="L156" s="990">
        <v>115539.29</v>
      </c>
      <c r="M156" s="1430"/>
      <c r="N156" s="1212"/>
      <c r="O156" s="1213">
        <v>65488.75</v>
      </c>
      <c r="P156" s="1212"/>
      <c r="Q156" s="1213">
        <v>152461.32999999999</v>
      </c>
      <c r="R156" s="1212"/>
      <c r="S156" s="1397">
        <v>110889.25</v>
      </c>
      <c r="T156" s="1212"/>
      <c r="U156" s="1391">
        <v>40220.17</v>
      </c>
      <c r="V156" s="1212"/>
      <c r="W156" s="1391">
        <v>23224.66</v>
      </c>
      <c r="X156" s="1643"/>
      <c r="Y156" s="1212"/>
      <c r="Z156" s="1391">
        <v>22150.68</v>
      </c>
      <c r="AA156" s="1503"/>
      <c r="AB156" s="1212"/>
      <c r="AC156" s="1391">
        <v>20043.02</v>
      </c>
      <c r="AD156" s="1212"/>
      <c r="AE156" s="1224">
        <v>16340.96</v>
      </c>
      <c r="AF156" s="1212"/>
      <c r="AG156" s="1762">
        <v>54717.54</v>
      </c>
      <c r="AH156" s="1212"/>
      <c r="AI156" s="1762"/>
    </row>
    <row r="157" spans="1:35" s="1447" customFormat="1">
      <c r="A157" s="1229"/>
      <c r="C157" s="984" t="s">
        <v>1157</v>
      </c>
      <c r="E157" s="1397"/>
      <c r="F157" s="1212"/>
      <c r="G157" s="1397"/>
      <c r="H157" s="1437"/>
      <c r="I157" s="1429"/>
      <c r="J157" s="989"/>
      <c r="K157" s="989"/>
      <c r="L157" s="990"/>
      <c r="M157" s="1430"/>
      <c r="N157" s="1212"/>
      <c r="O157" s="1213"/>
      <c r="P157" s="1212"/>
      <c r="Q157" s="1213"/>
      <c r="R157" s="1212"/>
      <c r="S157" s="1397"/>
      <c r="T157" s="1212"/>
      <c r="U157" s="1391"/>
      <c r="V157" s="1212"/>
      <c r="W157" s="1391"/>
      <c r="X157" s="1643"/>
      <c r="Y157" s="1212"/>
      <c r="Z157" s="1391">
        <v>85500</v>
      </c>
      <c r="AA157" s="1503"/>
      <c r="AB157" s="1212"/>
      <c r="AC157" s="1391"/>
      <c r="AD157" s="1212"/>
      <c r="AE157" s="1224"/>
      <c r="AF157" s="1212"/>
      <c r="AG157" s="1762"/>
      <c r="AH157" s="1212"/>
      <c r="AI157" s="1762"/>
    </row>
    <row r="158" spans="1:35" s="1453" customFormat="1" ht="13.8" thickBot="1">
      <c r="A158" s="1452"/>
      <c r="C158" s="1225" t="s">
        <v>967</v>
      </c>
      <c r="E158" s="782"/>
      <c r="F158" s="1399"/>
      <c r="G158" s="782"/>
      <c r="H158" s="1459"/>
      <c r="I158" s="1460"/>
      <c r="J158" s="1461"/>
      <c r="K158" s="1461"/>
      <c r="L158" s="1462">
        <v>157138.1</v>
      </c>
      <c r="M158" s="1463"/>
      <c r="N158" s="1399"/>
      <c r="O158" s="1390">
        <v>118558</v>
      </c>
      <c r="P158" s="1399"/>
      <c r="Q158" s="1390">
        <v>242557.14</v>
      </c>
      <c r="R158" s="1399"/>
      <c r="S158" s="782">
        <f>93175+16800</f>
        <v>109975</v>
      </c>
      <c r="T158" s="1399"/>
      <c r="U158" s="1226">
        <v>97768</v>
      </c>
      <c r="V158" s="1399"/>
      <c r="W158" s="1226">
        <f>[3]Лист_1!$H$59-[3]Лист_1!$H$33+16800</f>
        <v>126300</v>
      </c>
      <c r="X158" s="1646">
        <f>[3]Лист_1!$C$8+[3]Лист_1!$C$13+[3]Лист_1!$C$16+[3]Лист_1!$C$26+[3]Лист_1!$C$42+2002.19</f>
        <v>7477.1900000000005</v>
      </c>
      <c r="Y158" s="1399"/>
      <c r="Z158" s="1226">
        <f>92799.99+15225</f>
        <v>108024.99</v>
      </c>
      <c r="AA158" s="1506"/>
      <c r="AB158" s="1399"/>
      <c r="AC158" s="1226">
        <v>68500</v>
      </c>
      <c r="AD158" s="1399"/>
      <c r="AE158" s="1228">
        <v>74000</v>
      </c>
      <c r="AF158" s="1399"/>
      <c r="AG158" s="1770">
        <v>11000</v>
      </c>
      <c r="AH158" s="1399"/>
      <c r="AI158" s="1770">
        <v>6500</v>
      </c>
    </row>
    <row r="159" spans="1:35" s="176" customFormat="1" ht="13.8" thickBot="1">
      <c r="A159" s="1440"/>
      <c r="B159" s="1464"/>
      <c r="E159" s="1441"/>
      <c r="F159" s="1442"/>
      <c r="G159" s="1441"/>
      <c r="H159" s="1457"/>
      <c r="I159" s="1444"/>
      <c r="J159" s="1445"/>
      <c r="K159" s="1445"/>
      <c r="L159" s="1465"/>
      <c r="M159" s="1446"/>
      <c r="N159" s="1442"/>
      <c r="O159" s="1443"/>
      <c r="P159" s="1442"/>
      <c r="Q159" s="1443"/>
      <c r="R159" s="1442"/>
      <c r="S159" s="1441"/>
      <c r="T159" s="1442"/>
      <c r="U159" s="1441"/>
      <c r="V159" s="1442"/>
      <c r="W159" s="1441"/>
      <c r="X159" s="1644"/>
      <c r="Y159" s="1442"/>
      <c r="Z159" s="1441"/>
      <c r="AA159" s="1504"/>
      <c r="AB159" s="1442"/>
      <c r="AC159" s="1441"/>
      <c r="AD159" s="1442"/>
      <c r="AE159" s="1443"/>
      <c r="AF159" s="1442"/>
      <c r="AG159" s="1767"/>
      <c r="AH159" s="1442"/>
      <c r="AI159" s="1767"/>
    </row>
    <row r="160" spans="1:35" s="151" customFormat="1" ht="13.8" thickBot="1">
      <c r="A160" s="1218"/>
      <c r="B160" s="151" t="s">
        <v>945</v>
      </c>
      <c r="E160" s="1219">
        <f>E78+E146+E152</f>
        <v>11803621.411666669</v>
      </c>
      <c r="F160" s="1220">
        <f>F78+F146+F152</f>
        <v>11449512.769316664</v>
      </c>
      <c r="G160" s="1219">
        <f>G78+G146+G152+G154+G125</f>
        <v>9633951.5414285716</v>
      </c>
      <c r="H160" s="1439"/>
      <c r="I160" s="1427"/>
      <c r="J160" s="1199"/>
      <c r="K160" s="1199"/>
      <c r="L160" s="1200">
        <v>11492656.585238094</v>
      </c>
      <c r="M160" s="1428"/>
      <c r="N160" s="1220"/>
      <c r="O160" s="1221">
        <v>10796966.14047619</v>
      </c>
      <c r="P160" s="1220"/>
      <c r="Q160" s="1221">
        <f>Q78+Q146+Q153+Q154+Q83</f>
        <v>11542362.165238094</v>
      </c>
      <c r="R160" s="1220"/>
      <c r="S160" s="1219">
        <f>S78+S146+S153+S154+S83</f>
        <v>11958626.39047619</v>
      </c>
      <c r="T160" s="1220"/>
      <c r="U160" s="1219">
        <f>U78+U146+U153+U154+U83</f>
        <v>10475511.893333331</v>
      </c>
      <c r="V160" s="1220"/>
      <c r="W160" s="1219">
        <f>W78+W146+W153+W154+W83</f>
        <v>11150834.894285714</v>
      </c>
      <c r="X160" s="1648">
        <f>SUM(X4:X159)</f>
        <v>507614.61095238122</v>
      </c>
      <c r="Y160" s="1220"/>
      <c r="Z160" s="1649">
        <f>Z78+Z146+Z153+Z154+Z83</f>
        <v>10378837.422380952</v>
      </c>
      <c r="AA160" s="1508">
        <f>SUM(AA4:AA159)</f>
        <v>0</v>
      </c>
      <c r="AB160" s="1220"/>
      <c r="AC160" s="1649">
        <f>AC78+AC146+AC153+AC154+AC83</f>
        <v>11449789.821428573</v>
      </c>
      <c r="AD160" s="1220"/>
      <c r="AE160" s="1709">
        <f>AE78+AE146+AE153+AE154+AE83</f>
        <v>11893013.415714286</v>
      </c>
      <c r="AF160" s="1220"/>
      <c r="AG160" s="1764">
        <f>AG78+AG146+AG153+AG154+AG83</f>
        <v>11597715.047142858</v>
      </c>
      <c r="AH160" s="1220"/>
      <c r="AI160" s="1764">
        <f>AI78+AI146+AI153+AI154+AI83</f>
        <v>16410913.581428573</v>
      </c>
    </row>
    <row r="161" spans="1:35" s="176" customFormat="1" ht="13.8" thickBot="1">
      <c r="A161" s="1218"/>
      <c r="B161" s="151" t="s">
        <v>1123</v>
      </c>
      <c r="C161" s="151"/>
      <c r="E161" s="1441"/>
      <c r="F161" s="1442"/>
      <c r="G161" s="1441"/>
      <c r="H161" s="1457"/>
      <c r="I161" s="1444"/>
      <c r="J161" s="1445"/>
      <c r="K161" s="1445"/>
      <c r="L161" s="1465"/>
      <c r="M161" s="1446"/>
      <c r="N161" s="1442"/>
      <c r="O161" s="1497"/>
      <c r="P161" s="1442"/>
      <c r="Q161" s="1497"/>
      <c r="R161" s="1442"/>
      <c r="S161" s="1498"/>
      <c r="T161" s="1220"/>
      <c r="U161" s="1219"/>
      <c r="V161" s="1442"/>
      <c r="W161" s="1219">
        <f>W160+X160</f>
        <v>11658449.505238095</v>
      </c>
      <c r="X161" s="1644"/>
      <c r="Y161" s="1442"/>
      <c r="Z161" s="1219">
        <f>Z160+AA160</f>
        <v>10378837.422380952</v>
      </c>
      <c r="AA161" s="1504"/>
      <c r="AB161" s="1442"/>
      <c r="AC161" s="1219">
        <f>AC160+AD160</f>
        <v>11449789.821428573</v>
      </c>
      <c r="AD161" s="1442"/>
      <c r="AE161" s="1221">
        <f>AE160+AF160</f>
        <v>11893013.415714286</v>
      </c>
      <c r="AF161" s="1442"/>
      <c r="AG161" s="1764">
        <f>AG160+AH160</f>
        <v>11597715.047142858</v>
      </c>
      <c r="AH161" s="1442"/>
      <c r="AI161" s="1764">
        <f>AI160+AJ160</f>
        <v>16410913.581428573</v>
      </c>
    </row>
    <row r="162" spans="1:35" s="1781" customFormat="1">
      <c r="B162" s="1781" t="s">
        <v>1227</v>
      </c>
      <c r="E162" s="1782">
        <f>E6+E14+E16+E17+E18+E20+E21+E26+E36+E42+E43+E45+E46+E48+E49+E51+E53+E54+E55+E59+E65+E67+E69</f>
        <v>4034077.9833333339</v>
      </c>
      <c r="F162" s="1783"/>
      <c r="G162" s="1782"/>
      <c r="H162" s="1784"/>
      <c r="I162" s="1785"/>
      <c r="J162" s="1236"/>
      <c r="K162" s="1236"/>
      <c r="L162" s="1786"/>
      <c r="M162" s="1787"/>
      <c r="N162" s="1783"/>
      <c r="O162" s="1788"/>
      <c r="P162" s="1783"/>
      <c r="Q162" s="1788"/>
      <c r="R162" s="1783"/>
      <c r="S162" s="1789"/>
      <c r="T162" s="1790"/>
      <c r="U162" s="1789"/>
      <c r="V162" s="1783"/>
      <c r="W162" s="1789"/>
      <c r="X162" s="1791"/>
      <c r="Y162" s="1783"/>
      <c r="Z162" s="1789"/>
      <c r="AA162" s="1792"/>
      <c r="AB162" s="1783"/>
      <c r="AC162" s="1789"/>
      <c r="AD162" s="1783"/>
      <c r="AE162" s="1788"/>
      <c r="AF162" s="1783"/>
      <c r="AG162" s="1788"/>
      <c r="AH162" s="1783"/>
      <c r="AI162" s="1788"/>
    </row>
    <row r="163" spans="1:35" s="77" customFormat="1">
      <c r="E163" s="535"/>
      <c r="F163" s="1210"/>
      <c r="G163" s="535"/>
      <c r="H163" s="1400"/>
      <c r="I163" s="1431"/>
      <c r="J163" s="976"/>
      <c r="K163" s="976"/>
      <c r="L163" s="988"/>
      <c r="M163" s="1410"/>
      <c r="N163" s="1230"/>
      <c r="O163" s="1231"/>
      <c r="P163" s="1230"/>
      <c r="Q163" s="1231"/>
      <c r="R163" s="1230"/>
      <c r="S163" s="1111"/>
      <c r="T163" s="1230"/>
      <c r="U163" s="1111"/>
      <c r="V163" s="1230"/>
      <c r="W163" s="1111"/>
      <c r="X163" s="1643"/>
      <c r="Y163" s="1230"/>
      <c r="Z163" s="1111"/>
      <c r="AA163" s="1503"/>
      <c r="AB163" s="1230"/>
      <c r="AC163" s="1111"/>
      <c r="AD163" s="1230"/>
      <c r="AE163" s="1231"/>
      <c r="AF163" s="1230"/>
      <c r="AG163" s="1771"/>
      <c r="AH163" s="1230"/>
      <c r="AI163" s="1771"/>
    </row>
    <row r="164" spans="1:35" s="77" customFormat="1">
      <c r="E164" s="535"/>
      <c r="F164" s="1210"/>
      <c r="G164" s="535"/>
      <c r="H164" s="1400"/>
      <c r="I164" s="1431"/>
      <c r="J164" s="976"/>
      <c r="K164" s="976"/>
      <c r="L164" s="988"/>
      <c r="M164" s="1410"/>
      <c r="N164" s="1230"/>
      <c r="O164" s="1231"/>
      <c r="P164" s="1230"/>
      <c r="Q164" s="1231"/>
      <c r="R164" s="1230"/>
      <c r="S164" s="1111"/>
      <c r="T164" s="94"/>
      <c r="U164" s="69"/>
      <c r="V164" s="1230"/>
      <c r="W164" s="1111"/>
      <c r="X164" s="1643"/>
      <c r="Y164" s="1230"/>
      <c r="Z164" s="1111"/>
      <c r="AA164" s="1503"/>
      <c r="AB164" s="1230"/>
      <c r="AC164" s="1111"/>
      <c r="AD164" s="1230"/>
      <c r="AE164" s="1231"/>
      <c r="AF164" s="1230"/>
      <c r="AG164" s="1771"/>
      <c r="AH164" s="1230"/>
      <c r="AI164" s="1771"/>
    </row>
    <row r="165" spans="1:35">
      <c r="E165" s="33"/>
      <c r="F165" s="861"/>
    </row>
  </sheetData>
  <autoFilter ref="A3:G3" xr:uid="{85D2A62A-F51C-4AE8-A636-DC6F35EBCC81}">
    <filterColumn colId="5" showButton="0"/>
    <sortState xmlns:xlrd2="http://schemas.microsoft.com/office/spreadsheetml/2017/richdata2" ref="A4:G57">
      <sortCondition ref="B3"/>
    </sortState>
  </autoFilter>
  <mergeCells count="29">
    <mergeCell ref="AH1:AI1"/>
    <mergeCell ref="AH3:AI3"/>
    <mergeCell ref="AF1:AG1"/>
    <mergeCell ref="AF3:AG3"/>
    <mergeCell ref="AD1:AE1"/>
    <mergeCell ref="AD3:AE3"/>
    <mergeCell ref="AB1:AC1"/>
    <mergeCell ref="AB3:AC3"/>
    <mergeCell ref="M60:M63"/>
    <mergeCell ref="N3:O3"/>
    <mergeCell ref="T1:U1"/>
    <mergeCell ref="T3:U3"/>
    <mergeCell ref="Q60:Q63"/>
    <mergeCell ref="Y1:Z1"/>
    <mergeCell ref="Y3:Z3"/>
    <mergeCell ref="V1:W1"/>
    <mergeCell ref="V3:W3"/>
    <mergeCell ref="I37:I40"/>
    <mergeCell ref="N1:O1"/>
    <mergeCell ref="R1:S1"/>
    <mergeCell ref="R3:S3"/>
    <mergeCell ref="P1:Q1"/>
    <mergeCell ref="P3:Q3"/>
    <mergeCell ref="J60:J63"/>
    <mergeCell ref="D60:D63"/>
    <mergeCell ref="F3:G3"/>
    <mergeCell ref="I3:J3"/>
    <mergeCell ref="F1:G1"/>
    <mergeCell ref="I1:J1"/>
  </mergeCells>
  <pageMargins left="0.7" right="0.7" top="0.75" bottom="0.75" header="0.3" footer="0.3"/>
  <pageSetup paperSize="9" scale="77" fitToHeight="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62994-FD34-4510-82C2-291C015C3EFD}">
  <sheetPr codeName="Лист10"/>
  <dimension ref="A1:CF1028"/>
  <sheetViews>
    <sheetView tabSelected="1" topLeftCell="A3" workbookViewId="0">
      <pane xSplit="4" ySplit="1" topLeftCell="AB28" activePane="bottomRight" state="frozen"/>
      <selection activeCell="A3" sqref="A3"/>
      <selection pane="topRight" activeCell="E3" sqref="E3"/>
      <selection pane="bottomLeft" activeCell="A4" sqref="A4"/>
      <selection pane="bottomRight" activeCell="AH3" sqref="AH1:AH1048576"/>
    </sheetView>
  </sheetViews>
  <sheetFormatPr defaultRowHeight="13.2"/>
  <cols>
    <col min="1" max="1" width="24.44140625" style="597" customWidth="1"/>
    <col min="2" max="2" width="33.88671875" style="611" customWidth="1"/>
    <col min="3" max="3" width="17.6640625" customWidth="1"/>
    <col min="4" max="4" width="27.6640625" style="612" customWidth="1"/>
    <col min="5" max="5" width="23.44140625" customWidth="1"/>
    <col min="6" max="6" width="17.44140625" customWidth="1"/>
    <col min="7" max="7" width="18.33203125" customWidth="1"/>
    <col min="8" max="10" width="12.6640625"/>
    <col min="11" max="11" width="10.109375" style="993" bestFit="1" customWidth="1"/>
    <col min="12" max="12" width="10.88671875" style="999" customWidth="1"/>
    <col min="13" max="13" width="11.6640625" style="1000" customWidth="1"/>
    <col min="14" max="14" width="10.88671875" style="1024" customWidth="1"/>
    <col min="15" max="15" width="11.6640625" style="335" customWidth="1"/>
    <col min="16" max="16" width="10.88671875" style="1205" customWidth="1"/>
    <col min="17" max="17" width="11.6640625" style="1334" customWidth="1"/>
    <col min="18" max="18" width="10.88671875" style="1205" customWidth="1"/>
    <col min="19" max="19" width="11.6640625" style="1334" customWidth="1"/>
    <col min="20" max="20" width="10.88671875" style="1205" customWidth="1"/>
    <col min="21" max="21" width="11.6640625" style="1334" customWidth="1"/>
    <col min="22" max="22" width="10.88671875" style="1205" customWidth="1"/>
    <col min="23" max="23" width="11.6640625" style="1334" customWidth="1"/>
    <col min="24" max="24" width="10.88671875" style="1205" customWidth="1"/>
    <col min="25" max="25" width="11.6640625" style="1334" customWidth="1"/>
    <col min="26" max="26" width="10.88671875" style="1205" customWidth="1"/>
    <col min="27" max="27" width="11.6640625" style="1334" customWidth="1"/>
    <col min="28" max="28" width="10.88671875" style="1205" customWidth="1"/>
    <col min="29" max="29" width="11.6640625" style="1334" customWidth="1"/>
    <col min="30" max="30" width="10.88671875" style="1205" customWidth="1"/>
    <col min="31" max="31" width="11.6640625" style="1334" customWidth="1"/>
    <col min="32" max="32" width="10.88671875" style="1205" customWidth="1"/>
    <col min="33" max="33" width="11.6640625" style="1334" customWidth="1"/>
    <col min="34" max="34" width="10.88671875" style="1205" customWidth="1"/>
    <col min="35" max="35" width="11.6640625" style="1334" customWidth="1"/>
  </cols>
  <sheetData>
    <row r="1" spans="1:84" ht="13.5" hidden="1" customHeight="1" thickBot="1">
      <c r="A1" s="591"/>
      <c r="B1" s="598"/>
      <c r="C1" s="576"/>
      <c r="D1" s="599"/>
      <c r="E1" s="567"/>
      <c r="F1" s="567"/>
      <c r="G1" s="568"/>
      <c r="H1" s="15"/>
      <c r="I1" s="1826" t="s">
        <v>341</v>
      </c>
      <c r="J1" s="1827"/>
      <c r="K1" s="992"/>
      <c r="L1" s="997"/>
      <c r="M1" s="998"/>
      <c r="P1" s="1204"/>
      <c r="Q1" s="1333"/>
      <c r="R1" s="1204"/>
      <c r="S1" s="1333"/>
      <c r="T1" s="1204"/>
      <c r="U1" s="1333"/>
      <c r="V1" s="1204"/>
      <c r="W1" s="1333"/>
      <c r="X1" s="1204"/>
      <c r="Y1" s="1333"/>
      <c r="Z1" s="1204"/>
      <c r="AA1" s="1333"/>
      <c r="AB1" s="1204"/>
      <c r="AC1" s="1333"/>
      <c r="AD1" s="1204"/>
      <c r="AE1" s="1333"/>
      <c r="AF1" s="1204"/>
      <c r="AG1" s="1333"/>
      <c r="AH1" s="1204"/>
      <c r="AI1" s="1333"/>
    </row>
    <row r="2" spans="1:84" ht="13.5" hidden="1" customHeight="1" thickBot="1">
      <c r="A2" s="592"/>
      <c r="B2" s="600"/>
      <c r="C2" s="68"/>
      <c r="D2" s="601"/>
      <c r="E2" s="567"/>
      <c r="F2" s="567"/>
      <c r="G2" s="569">
        <v>1</v>
      </c>
      <c r="H2" s="570">
        <v>101</v>
      </c>
      <c r="I2" s="570">
        <v>104</v>
      </c>
      <c r="J2" s="570">
        <v>35.61</v>
      </c>
    </row>
    <row r="3" spans="1:84" s="590" customFormat="1" ht="40.200000000000003" thickBot="1">
      <c r="A3" s="593" t="s">
        <v>342</v>
      </c>
      <c r="B3" s="602" t="s">
        <v>343</v>
      </c>
      <c r="C3" s="573" t="s">
        <v>344</v>
      </c>
      <c r="D3" s="603" t="s">
        <v>345</v>
      </c>
      <c r="E3" s="574" t="s">
        <v>346</v>
      </c>
      <c r="F3" s="574" t="s">
        <v>347</v>
      </c>
      <c r="G3" s="575" t="s">
        <v>348</v>
      </c>
      <c r="H3" s="573" t="s">
        <v>349</v>
      </c>
      <c r="I3" s="573" t="s">
        <v>350</v>
      </c>
      <c r="J3" s="573" t="s">
        <v>351</v>
      </c>
      <c r="K3" s="994" t="s">
        <v>221</v>
      </c>
      <c r="L3" s="1001" t="s">
        <v>558</v>
      </c>
      <c r="M3" s="1002" t="s">
        <v>932</v>
      </c>
      <c r="N3" s="1201" t="s">
        <v>560</v>
      </c>
      <c r="O3" s="962" t="s">
        <v>972</v>
      </c>
      <c r="P3" s="1206" t="s">
        <v>568</v>
      </c>
      <c r="Q3" s="1335" t="s">
        <v>1046</v>
      </c>
      <c r="R3" s="1206" t="s">
        <v>571</v>
      </c>
      <c r="S3" s="1335" t="s">
        <v>1071</v>
      </c>
      <c r="T3" s="1206" t="s">
        <v>1072</v>
      </c>
      <c r="U3" s="1335" t="s">
        <v>1073</v>
      </c>
      <c r="V3" s="1206" t="s">
        <v>592</v>
      </c>
      <c r="W3" s="1335" t="s">
        <v>1117</v>
      </c>
      <c r="X3" s="1206" t="s">
        <v>1114</v>
      </c>
      <c r="Y3" s="1335" t="s">
        <v>1118</v>
      </c>
      <c r="Z3" s="1206" t="s">
        <v>1144</v>
      </c>
      <c r="AA3" s="1335" t="s">
        <v>1169</v>
      </c>
      <c r="AB3" s="1206" t="s">
        <v>1170</v>
      </c>
      <c r="AC3" s="1335" t="s">
        <v>1171</v>
      </c>
      <c r="AD3" s="1206" t="s">
        <v>1195</v>
      </c>
      <c r="AE3" s="1335" t="s">
        <v>1196</v>
      </c>
      <c r="AF3" s="1206" t="s">
        <v>1214</v>
      </c>
      <c r="AG3" s="1335" t="s">
        <v>1228</v>
      </c>
      <c r="AH3" s="1206" t="s">
        <v>1229</v>
      </c>
      <c r="AI3" s="1335" t="s">
        <v>1252</v>
      </c>
      <c r="AJ3" s="589"/>
      <c r="AK3" s="589"/>
      <c r="AL3" s="589"/>
      <c r="AM3" s="589"/>
      <c r="AN3" s="589"/>
      <c r="AO3" s="589"/>
      <c r="AP3" s="589"/>
      <c r="AQ3" s="589"/>
      <c r="AR3" s="589"/>
      <c r="AS3" s="589"/>
      <c r="AT3" s="589"/>
      <c r="AU3" s="589"/>
      <c r="AV3" s="589"/>
      <c r="AW3" s="589"/>
      <c r="AX3" s="589"/>
      <c r="AY3" s="589"/>
      <c r="AZ3" s="589"/>
      <c r="BA3" s="589"/>
      <c r="BB3" s="589"/>
      <c r="BC3" s="589"/>
      <c r="BD3" s="589"/>
      <c r="BE3" s="589"/>
      <c r="BF3" s="589"/>
      <c r="BG3" s="589"/>
      <c r="BH3" s="589"/>
      <c r="BI3" s="589"/>
      <c r="BJ3" s="589"/>
      <c r="BK3" s="589"/>
      <c r="BL3" s="589"/>
      <c r="BM3" s="589"/>
      <c r="BN3" s="589"/>
      <c r="BO3" s="589"/>
      <c r="BP3" s="589"/>
      <c r="BQ3" s="589"/>
      <c r="BR3" s="589"/>
      <c r="BS3" s="589"/>
      <c r="BT3" s="589"/>
      <c r="BU3" s="589"/>
      <c r="BV3" s="589"/>
      <c r="BW3" s="589"/>
      <c r="BX3" s="589"/>
      <c r="BY3" s="589"/>
      <c r="BZ3" s="589"/>
      <c r="CA3" s="589"/>
      <c r="CB3" s="589"/>
      <c r="CC3" s="589"/>
      <c r="CD3" s="589"/>
      <c r="CE3" s="589"/>
      <c r="CF3" s="589"/>
    </row>
    <row r="4" spans="1:84" s="579" customFormat="1" ht="27" customHeight="1">
      <c r="A4" s="1822" t="s">
        <v>174</v>
      </c>
      <c r="B4" s="598" t="s">
        <v>725</v>
      </c>
      <c r="C4" s="576" t="s">
        <v>126</v>
      </c>
      <c r="D4" s="599" t="s">
        <v>726</v>
      </c>
      <c r="E4" s="577">
        <f>G4</f>
        <v>25000</v>
      </c>
      <c r="F4" s="577">
        <f>E4*12</f>
        <v>300000</v>
      </c>
      <c r="G4" s="578">
        <v>25000</v>
      </c>
      <c r="H4" s="578"/>
      <c r="I4" s="576"/>
      <c r="J4" s="576"/>
      <c r="K4" s="995">
        <f>SUM(G4:G24)</f>
        <v>240568.94666666668</v>
      </c>
      <c r="L4" s="1003">
        <v>23817.61</v>
      </c>
      <c r="M4" s="1004">
        <f>SUM(L4:L24)</f>
        <v>197214.94999999998</v>
      </c>
      <c r="N4" s="1202">
        <f>23232.97+2.69</f>
        <v>23235.66</v>
      </c>
      <c r="O4" s="964">
        <f>SUM(N4:N24)</f>
        <v>281809.81</v>
      </c>
      <c r="P4" s="1209">
        <f>24017.93+2.98</f>
        <v>24020.91</v>
      </c>
      <c r="Q4" s="1336">
        <f>SUM(P4:P24)</f>
        <v>299050.63999999996</v>
      </c>
      <c r="R4" s="1209">
        <f>24421.09+2.88</f>
        <v>24423.97</v>
      </c>
      <c r="S4" s="1336">
        <f>SUM(R4:R24)</f>
        <v>264785.71999999997</v>
      </c>
      <c r="T4" s="1369">
        <v>42226.23</v>
      </c>
      <c r="U4" s="1336">
        <f>SUM(T4:T24)</f>
        <v>157722.30000000002</v>
      </c>
      <c r="V4" s="1369">
        <f>40671.51+3.11</f>
        <v>40674.620000000003</v>
      </c>
      <c r="W4" s="1336">
        <f>SUM(V4:V24)</f>
        <v>70543.939999999988</v>
      </c>
      <c r="X4" s="1369">
        <v>41336</v>
      </c>
      <c r="Y4" s="1336">
        <f>SUM(X4:X24)</f>
        <v>61345.819999999992</v>
      </c>
      <c r="Z4" s="1369">
        <f>42768+3.21</f>
        <v>42771.21</v>
      </c>
      <c r="AA4" s="1336">
        <f>SUM(Z4:Z24)</f>
        <v>142293.32999999996</v>
      </c>
      <c r="AB4" s="1369">
        <v>38978</v>
      </c>
      <c r="AC4" s="1336">
        <f>SUM(AB4:AB24)</f>
        <v>148400.12</v>
      </c>
      <c r="AD4" s="1369">
        <v>40469.300000000003</v>
      </c>
      <c r="AE4" s="1336">
        <f>SUM(AD4:AD24)</f>
        <v>109991.42000000001</v>
      </c>
      <c r="AF4" s="1369">
        <f>39665+3.11</f>
        <v>39668.11</v>
      </c>
      <c r="AG4" s="1336">
        <f>SUM(AF4:AF24)</f>
        <v>383672.56</v>
      </c>
      <c r="AH4" s="1655">
        <v>39346.76</v>
      </c>
      <c r="AI4" s="1336">
        <f>SUM(AH4:AH24)</f>
        <v>228482.63999999998</v>
      </c>
    </row>
    <row r="5" spans="1:84">
      <c r="A5" s="1823"/>
      <c r="B5" s="600" t="s">
        <v>725</v>
      </c>
      <c r="C5" s="68" t="s">
        <v>352</v>
      </c>
      <c r="D5" s="601" t="s">
        <v>353</v>
      </c>
      <c r="E5" s="567">
        <v>80000</v>
      </c>
      <c r="F5" s="567">
        <f>E5*12</f>
        <v>960000</v>
      </c>
      <c r="G5" s="568">
        <v>80000</v>
      </c>
      <c r="H5" s="568"/>
      <c r="I5" s="68"/>
      <c r="J5" s="68"/>
      <c r="L5" s="999">
        <v>75720</v>
      </c>
      <c r="M5" s="1005"/>
      <c r="N5" s="1024">
        <v>75720</v>
      </c>
      <c r="O5" s="965"/>
      <c r="P5" s="1205">
        <v>75720</v>
      </c>
      <c r="Q5" s="1337"/>
      <c r="R5" s="1205">
        <v>75720</v>
      </c>
      <c r="S5" s="1337"/>
      <c r="T5" s="1205">
        <v>75720</v>
      </c>
      <c r="U5" s="1337"/>
      <c r="V5" s="1205">
        <v>9268.7999999999993</v>
      </c>
      <c r="W5" s="1337"/>
      <c r="X5" s="1207"/>
      <c r="Y5" s="1337"/>
      <c r="AA5" s="1337"/>
      <c r="AC5" s="1337"/>
      <c r="AE5" s="1337"/>
      <c r="AG5" s="1337"/>
      <c r="AI5" s="1337"/>
    </row>
    <row r="6" spans="1:84">
      <c r="A6" s="1823"/>
      <c r="B6" s="600" t="s">
        <v>725</v>
      </c>
      <c r="C6" s="68"/>
      <c r="D6" s="601" t="s">
        <v>1119</v>
      </c>
      <c r="E6" s="567"/>
      <c r="F6" s="567"/>
      <c r="G6" s="568"/>
      <c r="H6" s="568"/>
      <c r="I6" s="68"/>
      <c r="J6" s="68"/>
      <c r="M6" s="1005"/>
      <c r="O6" s="965"/>
      <c r="Q6" s="1337"/>
      <c r="S6" s="1337"/>
      <c r="U6" s="1337"/>
      <c r="W6" s="1337"/>
      <c r="X6" s="1205">
        <v>5000</v>
      </c>
      <c r="Y6" s="1337"/>
      <c r="Z6" s="1205">
        <v>80000</v>
      </c>
      <c r="AA6" s="1337"/>
      <c r="AB6" s="1205">
        <v>50000</v>
      </c>
      <c r="AC6" s="1337"/>
      <c r="AD6" s="1205">
        <v>50000</v>
      </c>
      <c r="AE6" s="1337"/>
      <c r="AF6" s="1205">
        <v>53894.44</v>
      </c>
      <c r="AG6" s="1337"/>
      <c r="AH6" s="1207">
        <v>78582.929999999993</v>
      </c>
      <c r="AI6" s="1337"/>
    </row>
    <row r="7" spans="1:84">
      <c r="A7" s="1823"/>
      <c r="B7" s="600" t="s">
        <v>725</v>
      </c>
      <c r="C7" s="68" t="s">
        <v>354</v>
      </c>
      <c r="D7" s="601" t="s">
        <v>354</v>
      </c>
      <c r="E7" s="567">
        <f>G7</f>
        <v>1008.99</v>
      </c>
      <c r="F7" s="567">
        <f>E7*12</f>
        <v>12107.880000000001</v>
      </c>
      <c r="G7" s="568">
        <f>H7*H2</f>
        <v>1008.99</v>
      </c>
      <c r="H7" s="568">
        <v>9.99</v>
      </c>
      <c r="I7" s="68"/>
      <c r="J7" s="68"/>
      <c r="L7" s="999">
        <v>0</v>
      </c>
      <c r="M7" s="1005"/>
      <c r="N7" s="1024">
        <v>968.13</v>
      </c>
      <c r="O7" s="965"/>
      <c r="P7" s="1205">
        <v>890.51</v>
      </c>
      <c r="Q7" s="1337"/>
      <c r="R7" s="1205">
        <v>0</v>
      </c>
      <c r="S7" s="1337"/>
      <c r="T7" s="1205">
        <v>0</v>
      </c>
      <c r="U7" s="1337"/>
      <c r="V7" s="1205">
        <v>0</v>
      </c>
      <c r="W7" s="1337"/>
      <c r="X7" s="1205">
        <v>0</v>
      </c>
      <c r="Y7" s="1337"/>
      <c r="Z7" s="1205">
        <v>0</v>
      </c>
      <c r="AA7" s="1337"/>
      <c r="AB7" s="1205">
        <v>0</v>
      </c>
      <c r="AC7" s="1337"/>
      <c r="AD7" s="1205">
        <v>0</v>
      </c>
      <c r="AE7" s="1337"/>
      <c r="AF7" s="1205">
        <v>0</v>
      </c>
      <c r="AG7" s="1337"/>
      <c r="AH7" s="1205">
        <v>0</v>
      </c>
      <c r="AI7" s="1337"/>
    </row>
    <row r="8" spans="1:84">
      <c r="A8" s="1823"/>
      <c r="B8" s="600" t="s">
        <v>725</v>
      </c>
      <c r="C8" s="68" t="s">
        <v>1221</v>
      </c>
      <c r="D8" s="601" t="s">
        <v>1222</v>
      </c>
      <c r="E8" s="567"/>
      <c r="F8" s="567"/>
      <c r="G8" s="568"/>
      <c r="H8" s="568"/>
      <c r="I8" s="68"/>
      <c r="J8" s="68"/>
      <c r="M8" s="1005"/>
      <c r="O8" s="965"/>
      <c r="Q8" s="1337"/>
      <c r="S8" s="1337"/>
      <c r="U8" s="1337"/>
      <c r="W8" s="1337"/>
      <c r="Y8" s="1337"/>
      <c r="AA8" s="1337"/>
      <c r="AC8" s="1337"/>
      <c r="AE8" s="1337"/>
      <c r="AF8" s="1205">
        <v>125000</v>
      </c>
      <c r="AG8" s="1337"/>
      <c r="AH8" s="1205">
        <v>0</v>
      </c>
      <c r="AI8" s="1337"/>
    </row>
    <row r="9" spans="1:84">
      <c r="A9" s="1823"/>
      <c r="B9" s="600" t="s">
        <v>725</v>
      </c>
      <c r="C9" s="68" t="s">
        <v>727</v>
      </c>
      <c r="D9" s="601" t="s">
        <v>728</v>
      </c>
      <c r="E9" s="567">
        <f>F9/12</f>
        <v>6800</v>
      </c>
      <c r="F9" s="567">
        <v>81600</v>
      </c>
      <c r="G9" s="568">
        <f>E9</f>
        <v>6800</v>
      </c>
      <c r="H9" s="568"/>
      <c r="I9" s="68"/>
      <c r="J9" s="68"/>
      <c r="L9" s="999">
        <v>6800</v>
      </c>
      <c r="M9" s="1005"/>
      <c r="N9" s="1024">
        <v>6800</v>
      </c>
      <c r="O9" s="965"/>
      <c r="P9" s="1205">
        <v>6800</v>
      </c>
      <c r="Q9" s="1337"/>
      <c r="R9" s="1205">
        <v>6800</v>
      </c>
      <c r="S9" s="1337"/>
      <c r="T9" s="1205">
        <v>20400</v>
      </c>
      <c r="U9" s="1337"/>
      <c r="V9" s="1205">
        <v>0</v>
      </c>
      <c r="W9" s="1337"/>
      <c r="X9" s="1207">
        <v>0</v>
      </c>
      <c r="Y9" s="1337"/>
      <c r="Z9" s="1205">
        <v>6800</v>
      </c>
      <c r="AA9" s="1337"/>
      <c r="AB9" s="1205">
        <v>6800</v>
      </c>
      <c r="AC9" s="1337"/>
      <c r="AD9" s="1205">
        <v>6800</v>
      </c>
      <c r="AE9" s="1337"/>
      <c r="AF9" s="1205">
        <v>6800</v>
      </c>
      <c r="AG9" s="1337"/>
      <c r="AH9" s="1207">
        <v>6800</v>
      </c>
      <c r="AI9" s="1337"/>
    </row>
    <row r="10" spans="1:84">
      <c r="A10" s="1823"/>
      <c r="B10" s="600" t="s">
        <v>729</v>
      </c>
      <c r="C10" s="68" t="s">
        <v>355</v>
      </c>
      <c r="D10" s="601" t="s">
        <v>355</v>
      </c>
      <c r="E10" s="567">
        <f t="shared" ref="E10:E15" si="0">G10</f>
        <v>3030</v>
      </c>
      <c r="F10" s="567">
        <f t="shared" ref="F10:F15" si="1">E10*12</f>
        <v>36360</v>
      </c>
      <c r="G10" s="568">
        <f>H10*H2</f>
        <v>3030</v>
      </c>
      <c r="H10" s="568">
        <v>30</v>
      </c>
      <c r="I10" s="68"/>
      <c r="J10" s="68"/>
      <c r="L10" s="999">
        <v>1942.6</v>
      </c>
      <c r="M10" s="1005"/>
      <c r="N10" s="1024">
        <v>3131.45</v>
      </c>
      <c r="O10" s="965"/>
      <c r="P10" s="1205">
        <v>906.73</v>
      </c>
      <c r="Q10" s="1337"/>
      <c r="S10" s="1337"/>
      <c r="T10" s="1205">
        <v>1594.2</v>
      </c>
      <c r="U10" s="1337"/>
      <c r="V10" s="1205">
        <v>1.2</v>
      </c>
      <c r="W10" s="1337"/>
      <c r="X10" s="1205">
        <v>1594.2</v>
      </c>
      <c r="Y10" s="1337"/>
      <c r="Z10" s="1205">
        <v>5617.8</v>
      </c>
      <c r="AA10" s="1337"/>
      <c r="AB10" s="1205">
        <v>5617.8</v>
      </c>
      <c r="AC10" s="1337"/>
      <c r="AD10" s="1205">
        <v>5617.8</v>
      </c>
      <c r="AE10" s="1337"/>
      <c r="AF10" s="1205">
        <v>4117.6000000000004</v>
      </c>
      <c r="AG10" s="1337"/>
      <c r="AH10" s="1207">
        <v>1639.8</v>
      </c>
      <c r="AI10" s="1337"/>
    </row>
    <row r="11" spans="1:84">
      <c r="A11" s="1823"/>
      <c r="B11" s="600" t="s">
        <v>356</v>
      </c>
      <c r="C11" s="68" t="s">
        <v>357</v>
      </c>
      <c r="D11" s="601" t="s">
        <v>357</v>
      </c>
      <c r="E11" s="567">
        <f t="shared" si="0"/>
        <v>2020</v>
      </c>
      <c r="F11" s="567">
        <f t="shared" si="1"/>
        <v>24240</v>
      </c>
      <c r="G11" s="568">
        <f>H11*H2</f>
        <v>2020</v>
      </c>
      <c r="H11" s="568">
        <v>20</v>
      </c>
      <c r="I11" s="68"/>
      <c r="J11" s="68"/>
      <c r="L11" s="999">
        <v>1956.2</v>
      </c>
      <c r="M11" s="1005"/>
      <c r="N11" s="1024">
        <v>1728.8</v>
      </c>
      <c r="O11" s="965"/>
      <c r="P11" s="1205">
        <f>1782.8+1644.83+1710</f>
        <v>5137.63</v>
      </c>
      <c r="Q11" s="1337"/>
      <c r="R11" s="1205">
        <f>1558.38</f>
        <v>1558.38</v>
      </c>
      <c r="S11" s="1337"/>
      <c r="T11" s="1205">
        <f>1536.34</f>
        <v>1536.34</v>
      </c>
      <c r="U11" s="1337"/>
      <c r="V11" s="1205">
        <f>1646.82+1646.82</f>
        <v>3293.64</v>
      </c>
      <c r="W11" s="1337"/>
      <c r="X11" s="1205">
        <v>3282.09</v>
      </c>
      <c r="Y11" s="1337"/>
      <c r="Z11" s="1205">
        <v>3630.27</v>
      </c>
      <c r="AA11" s="1337"/>
      <c r="AB11" s="1205">
        <v>3630.27</v>
      </c>
      <c r="AC11" s="1337"/>
      <c r="AD11" s="1205">
        <v>3630.27</v>
      </c>
      <c r="AE11" s="1337"/>
      <c r="AF11" s="1205">
        <v>5414.44</v>
      </c>
      <c r="AG11" s="1337"/>
      <c r="AH11" s="1207">
        <v>5359.69</v>
      </c>
      <c r="AI11" s="1337"/>
    </row>
    <row r="12" spans="1:84">
      <c r="A12" s="1823"/>
      <c r="B12" s="600" t="s">
        <v>358</v>
      </c>
      <c r="C12" s="68" t="s">
        <v>359</v>
      </c>
      <c r="D12" s="601" t="s">
        <v>359</v>
      </c>
      <c r="E12" s="567">
        <f t="shared" si="0"/>
        <v>2424</v>
      </c>
      <c r="F12" s="567">
        <f t="shared" si="1"/>
        <v>29088</v>
      </c>
      <c r="G12" s="568">
        <f>H12*H2</f>
        <v>2424</v>
      </c>
      <c r="H12" s="568">
        <v>24</v>
      </c>
      <c r="I12" s="68"/>
      <c r="J12" s="68"/>
      <c r="L12" s="999">
        <v>0</v>
      </c>
      <c r="M12" s="1005"/>
      <c r="N12" s="1024">
        <v>0</v>
      </c>
      <c r="O12" s="965"/>
      <c r="P12" s="1205">
        <v>0</v>
      </c>
      <c r="Q12" s="1337"/>
      <c r="R12" s="1205">
        <v>0</v>
      </c>
      <c r="S12" s="1337"/>
      <c r="T12" s="1205">
        <v>0</v>
      </c>
      <c r="U12" s="1337"/>
      <c r="V12" s="1205">
        <v>1882.08</v>
      </c>
      <c r="W12" s="1337"/>
      <c r="X12" s="1205">
        <v>1882.08</v>
      </c>
      <c r="Y12" s="1337"/>
      <c r="Z12" s="1205">
        <v>1882.08</v>
      </c>
      <c r="AA12" s="1337"/>
      <c r="AB12" s="1205">
        <v>1882.08</v>
      </c>
      <c r="AC12" s="1337"/>
      <c r="AD12" s="1205">
        <v>1882.08</v>
      </c>
      <c r="AE12" s="1337"/>
      <c r="AF12" s="1205">
        <v>1882.08</v>
      </c>
      <c r="AG12" s="1337"/>
      <c r="AH12" s="1207">
        <v>1882.08</v>
      </c>
      <c r="AI12" s="1337"/>
    </row>
    <row r="13" spans="1:84" ht="26.4">
      <c r="A13" s="1823"/>
      <c r="B13" s="600" t="s">
        <v>730</v>
      </c>
      <c r="C13" s="68" t="s">
        <v>731</v>
      </c>
      <c r="D13" s="601" t="s">
        <v>732</v>
      </c>
      <c r="E13" s="567">
        <f t="shared" si="0"/>
        <v>1786.69</v>
      </c>
      <c r="F13" s="567">
        <f t="shared" si="1"/>
        <v>21440.28</v>
      </c>
      <c r="G13" s="568">
        <f>H13*H2</f>
        <v>1786.69</v>
      </c>
      <c r="H13" s="568">
        <v>17.690000000000001</v>
      </c>
      <c r="I13" s="68"/>
      <c r="J13" s="68"/>
      <c r="L13" s="999">
        <v>0</v>
      </c>
      <c r="M13" s="1005"/>
      <c r="N13" s="1024">
        <v>0</v>
      </c>
      <c r="O13" s="965"/>
      <c r="P13" s="1205">
        <v>0</v>
      </c>
      <c r="Q13" s="1337"/>
      <c r="R13" s="1205">
        <v>0</v>
      </c>
      <c r="S13" s="1337"/>
      <c r="T13" s="1205">
        <v>0</v>
      </c>
      <c r="U13" s="1337"/>
      <c r="V13" s="1205">
        <v>1572.32</v>
      </c>
      <c r="W13" s="1337"/>
      <c r="X13" s="1207">
        <v>0</v>
      </c>
      <c r="Y13" s="1337"/>
      <c r="Z13" s="1205">
        <v>1590.77</v>
      </c>
      <c r="AA13" s="1337"/>
      <c r="AB13" s="1205">
        <v>1590.77</v>
      </c>
      <c r="AC13" s="1337"/>
      <c r="AD13" s="1205">
        <v>1590.77</v>
      </c>
      <c r="AE13" s="1337"/>
      <c r="AF13" s="1205">
        <f>1682.2+926.49</f>
        <v>2608.69</v>
      </c>
      <c r="AG13" s="1337"/>
      <c r="AH13" s="1207">
        <v>1671.78</v>
      </c>
      <c r="AI13" s="1337"/>
    </row>
    <row r="14" spans="1:84">
      <c r="A14" s="1823"/>
      <c r="B14" s="600" t="s">
        <v>733</v>
      </c>
      <c r="C14" s="68" t="s">
        <v>734</v>
      </c>
      <c r="D14" s="604" t="s">
        <v>412</v>
      </c>
      <c r="E14" s="567">
        <f t="shared" si="0"/>
        <v>1273.6099999999999</v>
      </c>
      <c r="F14" s="567">
        <f t="shared" si="1"/>
        <v>15283.32</v>
      </c>
      <c r="G14" s="568">
        <f>H14*H2</f>
        <v>1273.6099999999999</v>
      </c>
      <c r="H14" s="568">
        <v>12.61</v>
      </c>
      <c r="I14" s="68"/>
      <c r="J14" s="68"/>
      <c r="L14" s="999">
        <v>0</v>
      </c>
      <c r="M14" s="1005"/>
      <c r="N14" s="1024">
        <v>0</v>
      </c>
      <c r="O14" s="965"/>
      <c r="P14" s="1205">
        <v>0</v>
      </c>
      <c r="Q14" s="1337"/>
      <c r="R14" s="1205">
        <v>0</v>
      </c>
      <c r="S14" s="1337"/>
      <c r="T14" s="1205">
        <v>0</v>
      </c>
      <c r="U14" s="1337"/>
      <c r="V14" s="1205">
        <v>0</v>
      </c>
      <c r="W14" s="1337"/>
      <c r="X14" s="1205">
        <v>0</v>
      </c>
      <c r="Y14" s="1337"/>
      <c r="Z14" s="1205">
        <v>0</v>
      </c>
      <c r="AA14" s="1337"/>
      <c r="AB14" s="1205">
        <v>0</v>
      </c>
      <c r="AC14" s="1337"/>
      <c r="AD14" s="1205">
        <v>0</v>
      </c>
      <c r="AE14" s="1337"/>
      <c r="AF14" s="1205">
        <v>0</v>
      </c>
      <c r="AG14" s="1337"/>
      <c r="AH14" s="1205">
        <v>0</v>
      </c>
      <c r="AI14" s="1337"/>
    </row>
    <row r="15" spans="1:84">
      <c r="A15" s="1823"/>
      <c r="B15" s="600" t="s">
        <v>725</v>
      </c>
      <c r="C15" s="68" t="s">
        <v>423</v>
      </c>
      <c r="D15" s="601" t="s">
        <v>423</v>
      </c>
      <c r="E15" s="567">
        <f t="shared" si="0"/>
        <v>1008.99</v>
      </c>
      <c r="F15" s="567">
        <f t="shared" si="1"/>
        <v>12107.880000000001</v>
      </c>
      <c r="G15" s="568">
        <f>H15*H2</f>
        <v>1008.99</v>
      </c>
      <c r="H15" s="568">
        <v>9.99</v>
      </c>
      <c r="I15" s="68"/>
      <c r="J15" s="68"/>
      <c r="L15" s="999">
        <f>1023.11+970.33</f>
        <v>1993.44</v>
      </c>
      <c r="M15" s="1005"/>
      <c r="N15" s="1024">
        <v>880.82</v>
      </c>
      <c r="O15" s="965"/>
      <c r="P15" s="1205">
        <v>841.06</v>
      </c>
      <c r="Q15" s="1337"/>
      <c r="R15" s="1205">
        <v>0</v>
      </c>
      <c r="S15" s="1337"/>
      <c r="T15" s="1205">
        <v>796.3</v>
      </c>
      <c r="U15" s="1337"/>
      <c r="V15" s="1205">
        <v>783.42</v>
      </c>
      <c r="W15" s="1337"/>
      <c r="X15" s="1205">
        <v>782.52</v>
      </c>
      <c r="Y15" s="1337"/>
      <c r="Z15" s="1205">
        <v>0</v>
      </c>
      <c r="AA15" s="1337"/>
      <c r="AB15" s="1205">
        <v>0</v>
      </c>
      <c r="AC15" s="1337"/>
      <c r="AD15" s="1205">
        <v>0</v>
      </c>
      <c r="AE15" s="1337"/>
      <c r="AF15" s="1205">
        <v>812.49</v>
      </c>
      <c r="AG15" s="1337"/>
      <c r="AH15" s="1207">
        <v>798.5</v>
      </c>
      <c r="AI15" s="1337"/>
    </row>
    <row r="16" spans="1:84">
      <c r="A16" s="1823"/>
      <c r="B16" s="600" t="s">
        <v>735</v>
      </c>
      <c r="C16" s="68" t="s">
        <v>610</v>
      </c>
      <c r="D16" s="601" t="s">
        <v>611</v>
      </c>
      <c r="E16" s="567">
        <f>F16/12</f>
        <v>3216.6666666666665</v>
      </c>
      <c r="F16" s="567">
        <v>38600</v>
      </c>
      <c r="G16" s="568">
        <f>E16</f>
        <v>3216.6666666666665</v>
      </c>
      <c r="H16" s="568"/>
      <c r="I16" s="68"/>
      <c r="J16" s="68"/>
      <c r="M16" s="1005"/>
      <c r="O16" s="965"/>
      <c r="Q16" s="1337"/>
      <c r="S16" s="1337"/>
      <c r="U16" s="1337"/>
      <c r="W16" s="1337"/>
      <c r="Y16" s="1337"/>
      <c r="AA16" s="1337"/>
      <c r="AC16" s="1337"/>
      <c r="AE16" s="1337"/>
      <c r="AG16" s="1337"/>
      <c r="AI16" s="1337"/>
    </row>
    <row r="17" spans="1:84">
      <c r="A17" s="1823"/>
      <c r="B17" s="600"/>
      <c r="C17" s="68" t="s">
        <v>940</v>
      </c>
      <c r="D17" s="601"/>
      <c r="E17" s="567"/>
      <c r="F17" s="567"/>
      <c r="G17" s="568"/>
      <c r="H17" s="568"/>
      <c r="I17" s="68"/>
      <c r="J17" s="68"/>
      <c r="L17" s="999">
        <v>1.2</v>
      </c>
      <c r="M17" s="1005"/>
      <c r="N17" s="1024">
        <v>1.2</v>
      </c>
      <c r="O17" s="965"/>
      <c r="P17" s="1205">
        <v>1.2</v>
      </c>
      <c r="Q17" s="1337"/>
      <c r="R17" s="1205">
        <v>1.2</v>
      </c>
      <c r="S17" s="1337"/>
      <c r="T17" s="1205">
        <f>1.2+500</f>
        <v>501.2</v>
      </c>
      <c r="U17" s="1337"/>
      <c r="V17" s="1205">
        <v>1.2</v>
      </c>
      <c r="W17" s="1337"/>
      <c r="X17" s="1205">
        <v>1.2</v>
      </c>
      <c r="Y17" s="1337"/>
      <c r="Z17" s="1205">
        <v>1.2</v>
      </c>
      <c r="AA17" s="1337"/>
      <c r="AB17" s="1205">
        <v>1.2</v>
      </c>
      <c r="AC17" s="1337"/>
      <c r="AD17" s="1205">
        <v>1.2</v>
      </c>
      <c r="AE17" s="1337"/>
      <c r="AF17" s="1205">
        <v>1.2</v>
      </c>
      <c r="AG17" s="1337"/>
      <c r="AH17" s="1207">
        <v>1.2</v>
      </c>
      <c r="AI17" s="1337"/>
    </row>
    <row r="18" spans="1:84">
      <c r="A18" s="1823"/>
      <c r="B18" s="600" t="s">
        <v>974</v>
      </c>
      <c r="C18" s="68" t="s">
        <v>975</v>
      </c>
      <c r="D18" s="68" t="s">
        <v>975</v>
      </c>
      <c r="E18" s="567"/>
      <c r="F18" s="567"/>
      <c r="G18" s="568"/>
      <c r="H18" s="568"/>
      <c r="I18" s="68"/>
      <c r="J18" s="68"/>
      <c r="M18" s="1005"/>
      <c r="N18" s="1024">
        <f>43128/12</f>
        <v>3594</v>
      </c>
      <c r="O18" s="965"/>
      <c r="P18" s="1205">
        <v>0</v>
      </c>
      <c r="Q18" s="1337"/>
      <c r="R18" s="1205">
        <v>0</v>
      </c>
      <c r="S18" s="1337"/>
      <c r="T18" s="1205">
        <v>0</v>
      </c>
      <c r="U18" s="1337"/>
      <c r="V18" s="1205">
        <v>0</v>
      </c>
      <c r="W18" s="1337"/>
      <c r="X18" s="1205">
        <v>0</v>
      </c>
      <c r="Y18" s="1337"/>
      <c r="Z18" s="1205">
        <v>0</v>
      </c>
      <c r="AA18" s="1337"/>
      <c r="AB18" s="1205">
        <v>39900</v>
      </c>
      <c r="AC18" s="1337"/>
      <c r="AD18" s="1205">
        <v>0</v>
      </c>
      <c r="AE18" s="1337"/>
      <c r="AF18" s="1205">
        <v>134000</v>
      </c>
      <c r="AG18" s="1337"/>
      <c r="AH18" s="1207">
        <v>91580</v>
      </c>
      <c r="AI18" s="1337"/>
    </row>
    <row r="19" spans="1:84">
      <c r="A19" s="1823"/>
      <c r="B19" s="600" t="s">
        <v>1087</v>
      </c>
      <c r="C19" s="68"/>
      <c r="D19" s="68" t="s">
        <v>1086</v>
      </c>
      <c r="E19" s="567"/>
      <c r="F19" s="567"/>
      <c r="G19" s="568"/>
      <c r="H19" s="568"/>
      <c r="I19" s="68"/>
      <c r="J19" s="68"/>
      <c r="M19" s="1005"/>
      <c r="O19" s="965"/>
      <c r="Q19" s="1337"/>
      <c r="S19" s="1337"/>
      <c r="T19" s="1205">
        <v>948.03</v>
      </c>
      <c r="U19" s="1337"/>
      <c r="V19" s="1205">
        <v>0</v>
      </c>
      <c r="W19" s="1337"/>
      <c r="X19" s="1205">
        <v>0</v>
      </c>
      <c r="Y19" s="1337"/>
      <c r="Z19" s="1205">
        <v>0</v>
      </c>
      <c r="AA19" s="1337"/>
      <c r="AB19" s="1205">
        <v>0</v>
      </c>
      <c r="AC19" s="1337"/>
      <c r="AD19" s="1205">
        <v>0</v>
      </c>
      <c r="AE19" s="1337"/>
      <c r="AF19" s="1205">
        <v>0</v>
      </c>
      <c r="AG19" s="1337"/>
      <c r="AH19" s="1205">
        <v>0</v>
      </c>
      <c r="AI19" s="1337"/>
    </row>
    <row r="20" spans="1:84">
      <c r="A20" s="1823"/>
      <c r="B20" s="600"/>
      <c r="C20" s="68" t="s">
        <v>811</v>
      </c>
      <c r="D20" s="601"/>
      <c r="E20" s="567"/>
      <c r="F20" s="567"/>
      <c r="G20" s="568">
        <v>100000</v>
      </c>
      <c r="H20" s="568"/>
      <c r="I20" s="68"/>
      <c r="J20" s="68"/>
      <c r="L20" s="999">
        <v>75000</v>
      </c>
      <c r="M20" s="1005"/>
      <c r="N20" s="1024">
        <v>150459.75</v>
      </c>
      <c r="O20" s="965"/>
      <c r="P20" s="1205">
        <v>169740</v>
      </c>
      <c r="Q20" s="1337"/>
      <c r="R20" s="1205">
        <v>128965.5</v>
      </c>
      <c r="S20" s="1337"/>
      <c r="U20" s="1337"/>
      <c r="W20" s="1337"/>
      <c r="Y20" s="1337"/>
      <c r="AA20" s="1337"/>
      <c r="AC20" s="1337"/>
      <c r="AE20" s="1337"/>
      <c r="AG20" s="1337"/>
      <c r="AI20" s="1337"/>
    </row>
    <row r="21" spans="1:84">
      <c r="A21" s="1823"/>
      <c r="B21" s="600"/>
      <c r="C21" s="68"/>
      <c r="D21" s="601" t="s">
        <v>1056</v>
      </c>
      <c r="E21" s="567"/>
      <c r="F21" s="567"/>
      <c r="G21" s="568"/>
      <c r="H21" s="568"/>
      <c r="I21" s="68"/>
      <c r="J21" s="68"/>
      <c r="M21" s="1005"/>
      <c r="O21" s="965"/>
      <c r="Q21" s="1337"/>
      <c r="R21" s="1205">
        <v>14000</v>
      </c>
      <c r="S21" s="1337"/>
      <c r="U21" s="1337"/>
      <c r="W21" s="1337"/>
      <c r="Y21" s="1337"/>
      <c r="AA21" s="1337"/>
      <c r="AC21" s="1337"/>
      <c r="AE21" s="1337"/>
      <c r="AG21" s="1337"/>
      <c r="AI21" s="1337"/>
    </row>
    <row r="22" spans="1:84">
      <c r="A22" s="1823"/>
      <c r="B22" s="600"/>
      <c r="C22" s="68" t="s">
        <v>1226</v>
      </c>
      <c r="D22" s="601"/>
      <c r="E22" s="567"/>
      <c r="F22" s="567"/>
      <c r="G22" s="568"/>
      <c r="H22" s="568"/>
      <c r="I22" s="68"/>
      <c r="J22" s="68"/>
      <c r="M22" s="1005"/>
      <c r="O22" s="965"/>
      <c r="Q22" s="1337"/>
      <c r="S22" s="1337"/>
      <c r="U22" s="1337"/>
      <c r="W22" s="1337"/>
      <c r="Y22" s="1337"/>
      <c r="AA22" s="1337"/>
      <c r="AC22" s="1337"/>
      <c r="AE22" s="1337"/>
      <c r="AF22" s="1205">
        <v>9473.51</v>
      </c>
      <c r="AG22" s="1337"/>
      <c r="AH22" s="1207">
        <v>819.9</v>
      </c>
      <c r="AI22" s="1337"/>
    </row>
    <row r="23" spans="1:84">
      <c r="A23" s="1823"/>
      <c r="B23" s="600" t="s">
        <v>976</v>
      </c>
      <c r="C23" s="68"/>
      <c r="D23" s="601" t="s">
        <v>394</v>
      </c>
      <c r="E23" s="567"/>
      <c r="F23" s="567"/>
      <c r="G23" s="568"/>
      <c r="H23" s="568"/>
      <c r="I23" s="68"/>
      <c r="J23" s="68"/>
      <c r="M23" s="1005"/>
      <c r="N23" s="1024">
        <v>1290</v>
      </c>
      <c r="O23" s="965"/>
      <c r="P23" s="1205">
        <v>992.6</v>
      </c>
      <c r="Q23" s="1337"/>
      <c r="R23" s="1205">
        <v>0</v>
      </c>
      <c r="S23" s="1337"/>
      <c r="T23" s="1205">
        <v>0</v>
      </c>
      <c r="U23" s="1337"/>
      <c r="V23" s="1205">
        <v>0</v>
      </c>
      <c r="W23" s="1337"/>
      <c r="X23" s="1205">
        <v>0</v>
      </c>
      <c r="Y23" s="1337"/>
      <c r="Z23" s="1205">
        <v>0</v>
      </c>
      <c r="AA23" s="1337"/>
      <c r="AB23" s="1205">
        <v>0</v>
      </c>
      <c r="AC23" s="1337"/>
      <c r="AD23" s="1205">
        <v>0</v>
      </c>
      <c r="AE23" s="1337"/>
      <c r="AF23" s="1205">
        <v>0</v>
      </c>
      <c r="AG23" s="1337"/>
      <c r="AH23" s="1205">
        <v>0</v>
      </c>
      <c r="AI23" s="1337"/>
    </row>
    <row r="24" spans="1:84" s="584" customFormat="1" ht="13.8" thickBot="1">
      <c r="A24" s="1824"/>
      <c r="B24" s="605" t="s">
        <v>736</v>
      </c>
      <c r="C24" s="580" t="s">
        <v>360</v>
      </c>
      <c r="D24" s="606" t="s">
        <v>737</v>
      </c>
      <c r="E24" s="581">
        <f t="shared" ref="E24:E31" si="2">G24</f>
        <v>13000</v>
      </c>
      <c r="F24" s="581">
        <f>E24*12</f>
        <v>156000</v>
      </c>
      <c r="G24" s="582">
        <v>13000</v>
      </c>
      <c r="H24" s="582"/>
      <c r="I24" s="580"/>
      <c r="J24" s="580"/>
      <c r="K24" s="996"/>
      <c r="L24" s="1006">
        <v>9983.9</v>
      </c>
      <c r="M24" s="1007"/>
      <c r="N24" s="1203">
        <v>14000</v>
      </c>
      <c r="O24" s="966"/>
      <c r="P24" s="1208">
        <v>14000</v>
      </c>
      <c r="Q24" s="1338"/>
      <c r="R24" s="1208">
        <v>13316.67</v>
      </c>
      <c r="S24" s="1338"/>
      <c r="T24" s="1208">
        <v>14000</v>
      </c>
      <c r="U24" s="1338"/>
      <c r="V24" s="1208">
        <v>13066.66</v>
      </c>
      <c r="W24" s="1338"/>
      <c r="X24" s="1208">
        <v>7467.73</v>
      </c>
      <c r="Y24" s="1338"/>
      <c r="Z24" s="1208">
        <v>0</v>
      </c>
      <c r="AA24" s="1338"/>
      <c r="AB24" s="1208">
        <v>0</v>
      </c>
      <c r="AC24" s="1338"/>
      <c r="AD24" s="1208">
        <v>0</v>
      </c>
      <c r="AE24" s="1338"/>
      <c r="AF24" s="1208">
        <v>0</v>
      </c>
      <c r="AG24" s="1338"/>
      <c r="AH24" s="1208">
        <v>0</v>
      </c>
      <c r="AI24" s="1338"/>
    </row>
    <row r="25" spans="1:84" s="579" customFormat="1">
      <c r="A25" s="1822" t="s">
        <v>176</v>
      </c>
      <c r="B25" s="598" t="s">
        <v>361</v>
      </c>
      <c r="C25" s="576" t="s">
        <v>362</v>
      </c>
      <c r="D25" s="599" t="s">
        <v>363</v>
      </c>
      <c r="E25" s="577">
        <f t="shared" si="2"/>
        <v>20000</v>
      </c>
      <c r="F25" s="577">
        <f>E25*12</f>
        <v>240000</v>
      </c>
      <c r="G25" s="578">
        <v>20000</v>
      </c>
      <c r="H25" s="576"/>
      <c r="I25" s="576"/>
      <c r="J25" s="576"/>
      <c r="K25" s="995">
        <f>SUM(G25:G32)</f>
        <v>73313.983333333337</v>
      </c>
      <c r="L25" s="1003">
        <f>7198.52+1585</f>
        <v>8783.52</v>
      </c>
      <c r="M25" s="1004">
        <f>SUM(L25:L32)</f>
        <v>53182.73</v>
      </c>
      <c r="N25" s="1202">
        <v>9796</v>
      </c>
      <c r="O25" s="964">
        <f>SUM(N25:N32)</f>
        <v>53987.95</v>
      </c>
      <c r="P25" s="1209">
        <v>10314</v>
      </c>
      <c r="Q25" s="1336">
        <f>SUM(P25:P32)</f>
        <v>54369.34</v>
      </c>
      <c r="R25" s="1209">
        <v>44490</v>
      </c>
      <c r="S25" s="1336">
        <f>SUM(R25:R32)</f>
        <v>86956.67</v>
      </c>
      <c r="T25" s="1209">
        <f>1585+5273+6912</f>
        <v>13770</v>
      </c>
      <c r="U25" s="1336">
        <f>SUM(T25:T32)</f>
        <v>56236.67</v>
      </c>
      <c r="V25" s="1209">
        <v>11033</v>
      </c>
      <c r="W25" s="1336">
        <f>SUM(V25:V32)</f>
        <v>53499.67</v>
      </c>
      <c r="X25" s="1209">
        <v>27086</v>
      </c>
      <c r="Y25" s="1336">
        <f>SUM(X25:X32)</f>
        <v>52852.67</v>
      </c>
      <c r="Z25" s="1209">
        <v>21092</v>
      </c>
      <c r="AA25" s="1336">
        <f>SUM(Z25:Z32)</f>
        <v>275349.44</v>
      </c>
      <c r="AB25" s="1209">
        <v>29176</v>
      </c>
      <c r="AC25" s="1336">
        <f>SUM(AB25:AB32)</f>
        <v>308433.44</v>
      </c>
      <c r="AD25" s="1209">
        <v>22147</v>
      </c>
      <c r="AE25" s="1336">
        <f>SUM(AD25:AD32)</f>
        <v>51404.439999999995</v>
      </c>
      <c r="AF25" s="1209">
        <v>25712</v>
      </c>
      <c r="AG25" s="1336">
        <f>SUM(AF25:AF32)</f>
        <v>55089.39</v>
      </c>
      <c r="AH25" s="1656">
        <v>13056</v>
      </c>
      <c r="AI25" s="1336">
        <f>SUM(AH25:AH32)</f>
        <v>42366.57</v>
      </c>
    </row>
    <row r="26" spans="1:84">
      <c r="A26" s="1823"/>
      <c r="B26" s="600" t="s">
        <v>738</v>
      </c>
      <c r="C26" s="68" t="s">
        <v>739</v>
      </c>
      <c r="D26" s="601" t="s">
        <v>740</v>
      </c>
      <c r="E26" s="567">
        <f t="shared" si="2"/>
        <v>1000</v>
      </c>
      <c r="F26" s="567">
        <f>G26*12</f>
        <v>12000</v>
      </c>
      <c r="G26" s="568">
        <v>1000</v>
      </c>
      <c r="H26" s="68"/>
      <c r="I26" s="68"/>
      <c r="J26" s="68"/>
      <c r="L26" s="999">
        <v>0</v>
      </c>
      <c r="M26" s="1005"/>
      <c r="N26" s="1024">
        <v>0</v>
      </c>
      <c r="O26" s="965"/>
      <c r="P26" s="1205">
        <v>0</v>
      </c>
      <c r="Q26" s="1337"/>
      <c r="R26" s="1205">
        <v>0</v>
      </c>
      <c r="S26" s="1337"/>
      <c r="T26" s="1205">
        <v>0</v>
      </c>
      <c r="U26" s="1337"/>
      <c r="V26" s="1205">
        <v>0</v>
      </c>
      <c r="W26" s="1337"/>
      <c r="X26" s="1205">
        <v>0</v>
      </c>
      <c r="Y26" s="1337"/>
      <c r="Z26" s="1205">
        <v>0</v>
      </c>
      <c r="AA26" s="1337"/>
      <c r="AB26" s="1205">
        <v>0</v>
      </c>
      <c r="AC26" s="1337"/>
      <c r="AD26" s="1205">
        <v>0</v>
      </c>
      <c r="AE26" s="1337"/>
      <c r="AF26" s="1205">
        <v>0</v>
      </c>
      <c r="AG26" s="1337"/>
      <c r="AH26" s="1205">
        <v>0</v>
      </c>
      <c r="AI26" s="1337"/>
    </row>
    <row r="27" spans="1:84">
      <c r="A27" s="1823"/>
      <c r="B27" s="600" t="s">
        <v>364</v>
      </c>
      <c r="C27" s="68" t="s">
        <v>365</v>
      </c>
      <c r="D27" s="601" t="s">
        <v>741</v>
      </c>
      <c r="E27" s="567">
        <f t="shared" si="2"/>
        <v>16666.66</v>
      </c>
      <c r="F27" s="567">
        <f>E27*12</f>
        <v>199999.91999999998</v>
      </c>
      <c r="G27" s="568">
        <v>16666.66</v>
      </c>
      <c r="H27" s="68"/>
      <c r="I27" s="68"/>
      <c r="J27" s="68"/>
      <c r="L27" s="999">
        <v>16666.66</v>
      </c>
      <c r="M27" s="1005"/>
      <c r="N27" s="1024">
        <v>16666.669999999998</v>
      </c>
      <c r="O27" s="965"/>
      <c r="P27" s="1205">
        <v>16666.669999999998</v>
      </c>
      <c r="Q27" s="1337"/>
      <c r="R27" s="1205">
        <v>16666.669999999998</v>
      </c>
      <c r="S27" s="1337"/>
      <c r="T27" s="1205">
        <v>16666.669999999998</v>
      </c>
      <c r="U27" s="1337"/>
      <c r="V27" s="1205">
        <v>16666.669999999998</v>
      </c>
      <c r="W27" s="1337"/>
      <c r="X27" s="1205">
        <v>16666.669999999998</v>
      </c>
      <c r="Y27" s="1337"/>
      <c r="Z27" s="1205">
        <v>16666.669999999998</v>
      </c>
      <c r="AA27" s="1337"/>
      <c r="AB27" s="1205">
        <v>16666.669999999998</v>
      </c>
      <c r="AC27" s="1337"/>
      <c r="AD27" s="1205">
        <v>16666.669999999998</v>
      </c>
      <c r="AE27" s="1337"/>
      <c r="AF27" s="1205">
        <v>16666.669999999998</v>
      </c>
      <c r="AG27" s="1337"/>
      <c r="AH27" s="1207">
        <v>16666.669999999998</v>
      </c>
      <c r="AI27" s="1337"/>
    </row>
    <row r="28" spans="1:84">
      <c r="A28" s="1823"/>
      <c r="B28" s="600" t="s">
        <v>742</v>
      </c>
      <c r="C28" s="68" t="s">
        <v>366</v>
      </c>
      <c r="D28" s="601" t="s">
        <v>743</v>
      </c>
      <c r="E28" s="567">
        <f t="shared" si="2"/>
        <v>9100</v>
      </c>
      <c r="F28" s="567">
        <f>E28*12</f>
        <v>109200</v>
      </c>
      <c r="G28" s="568">
        <v>9100</v>
      </c>
      <c r="H28" s="68"/>
      <c r="I28" s="68"/>
      <c r="J28" s="68"/>
      <c r="L28" s="999">
        <v>9100</v>
      </c>
      <c r="M28" s="1005"/>
      <c r="N28" s="1024">
        <v>9100</v>
      </c>
      <c r="O28" s="965"/>
      <c r="P28" s="1205">
        <v>9100</v>
      </c>
      <c r="Q28" s="1337"/>
      <c r="R28" s="1205">
        <v>9100</v>
      </c>
      <c r="S28" s="1337"/>
      <c r="T28" s="1205">
        <v>9100</v>
      </c>
      <c r="U28" s="1337"/>
      <c r="V28" s="1205">
        <v>9100</v>
      </c>
      <c r="W28" s="1337"/>
      <c r="X28" s="1205">
        <v>9100</v>
      </c>
      <c r="Y28" s="1337"/>
      <c r="Z28" s="1205">
        <v>11000</v>
      </c>
      <c r="AA28" s="1337"/>
      <c r="AB28" s="1205">
        <v>11000</v>
      </c>
      <c r="AC28" s="1337"/>
      <c r="AD28" s="1205">
        <v>11000</v>
      </c>
      <c r="AE28" s="1337"/>
      <c r="AF28" s="1205">
        <v>11000</v>
      </c>
      <c r="AG28" s="1337"/>
      <c r="AH28" s="1207">
        <v>11000</v>
      </c>
      <c r="AI28" s="1337"/>
    </row>
    <row r="29" spans="1:84">
      <c r="A29" s="1823"/>
      <c r="B29" s="600" t="s">
        <v>744</v>
      </c>
      <c r="C29" s="68" t="s">
        <v>745</v>
      </c>
      <c r="D29" s="601" t="s">
        <v>601</v>
      </c>
      <c r="E29" s="567">
        <f t="shared" si="2"/>
        <v>16700</v>
      </c>
      <c r="F29" s="567">
        <f>E29*12</f>
        <v>200400</v>
      </c>
      <c r="G29" s="568">
        <v>16700</v>
      </c>
      <c r="H29" s="68"/>
      <c r="I29" s="68"/>
      <c r="J29" s="68"/>
      <c r="L29" s="999">
        <v>16700</v>
      </c>
      <c r="M29" s="1005"/>
      <c r="N29" s="1024">
        <v>16700</v>
      </c>
      <c r="O29" s="965"/>
      <c r="P29" s="1205">
        <v>16700</v>
      </c>
      <c r="Q29" s="1337"/>
      <c r="R29" s="1205">
        <v>16700</v>
      </c>
      <c r="S29" s="1337"/>
      <c r="T29" s="1205">
        <v>16700</v>
      </c>
      <c r="U29" s="1337"/>
      <c r="V29" s="1205">
        <v>16700</v>
      </c>
      <c r="W29" s="1337"/>
      <c r="X29" s="1207"/>
      <c r="Y29" s="1337"/>
      <c r="AA29" s="1337"/>
      <c r="AC29" s="1337"/>
      <c r="AE29" s="1337"/>
      <c r="AG29" s="1337"/>
      <c r="AI29" s="1337"/>
    </row>
    <row r="30" spans="1:84">
      <c r="A30" s="1823"/>
      <c r="B30" s="600" t="s">
        <v>1159</v>
      </c>
      <c r="C30" s="68"/>
      <c r="D30" s="601" t="s">
        <v>1160</v>
      </c>
      <c r="E30" s="567"/>
      <c r="F30" s="567"/>
      <c r="G30" s="568"/>
      <c r="H30" s="68"/>
      <c r="I30" s="68"/>
      <c r="J30" s="68"/>
      <c r="M30" s="1005"/>
      <c r="O30" s="965"/>
      <c r="Q30" s="1337"/>
      <c r="S30" s="1337"/>
      <c r="U30" s="1337"/>
      <c r="W30" s="1337"/>
      <c r="X30" s="1207"/>
      <c r="Y30" s="1337"/>
      <c r="Z30" s="1205">
        <v>225000</v>
      </c>
      <c r="AA30" s="1337"/>
      <c r="AB30" s="1205">
        <v>250000</v>
      </c>
      <c r="AC30" s="1337"/>
      <c r="AD30" s="1205">
        <v>0</v>
      </c>
      <c r="AE30" s="1337"/>
      <c r="AF30" s="1205">
        <v>0</v>
      </c>
      <c r="AG30" s="1337"/>
      <c r="AH30" s="1205">
        <v>0</v>
      </c>
      <c r="AI30" s="1337"/>
    </row>
    <row r="31" spans="1:84" ht="27" thickBot="1">
      <c r="A31" s="1823"/>
      <c r="B31" s="600" t="s">
        <v>746</v>
      </c>
      <c r="C31" s="585" t="s">
        <v>606</v>
      </c>
      <c r="D31" s="607" t="s">
        <v>605</v>
      </c>
      <c r="E31" s="586">
        <f t="shared" si="2"/>
        <v>8333.3333333333339</v>
      </c>
      <c r="F31" s="586">
        <v>100000</v>
      </c>
      <c r="G31" s="587">
        <f>F31/12</f>
        <v>8333.3333333333339</v>
      </c>
      <c r="H31" s="68"/>
      <c r="I31" s="68"/>
      <c r="J31" s="68"/>
      <c r="L31" s="999">
        <v>0</v>
      </c>
      <c r="M31" s="1005"/>
      <c r="N31" s="1024">
        <v>0</v>
      </c>
      <c r="O31" s="965"/>
      <c r="P31" s="1205">
        <v>0</v>
      </c>
      <c r="Q31" s="1337"/>
      <c r="R31" s="1205">
        <v>0</v>
      </c>
      <c r="S31" s="1337"/>
      <c r="T31" s="1205">
        <v>0</v>
      </c>
      <c r="U31" s="1337"/>
      <c r="V31" s="1205">
        <v>0</v>
      </c>
      <c r="W31" s="1337"/>
      <c r="X31" s="1205">
        <v>0</v>
      </c>
      <c r="Y31" s="1337"/>
      <c r="Z31" s="1205">
        <v>0</v>
      </c>
      <c r="AA31" s="1337"/>
      <c r="AB31" s="1205">
        <v>0</v>
      </c>
      <c r="AC31" s="1337"/>
      <c r="AD31" s="1205">
        <v>0</v>
      </c>
      <c r="AE31" s="1337"/>
      <c r="AF31" s="1205">
        <v>0</v>
      </c>
      <c r="AG31" s="1337"/>
      <c r="AH31" s="1205">
        <v>0</v>
      </c>
      <c r="AI31" s="1337"/>
    </row>
    <row r="32" spans="1:84" s="588" customFormat="1" ht="13.95" customHeight="1" thickBot="1">
      <c r="A32" s="1824"/>
      <c r="B32" s="605" t="s">
        <v>367</v>
      </c>
      <c r="C32" s="580" t="s">
        <v>368</v>
      </c>
      <c r="D32" s="606" t="s">
        <v>368</v>
      </c>
      <c r="E32" s="581">
        <f>H32*H2</f>
        <v>1513.99</v>
      </c>
      <c r="F32" s="581">
        <f>E32*12</f>
        <v>18167.88</v>
      </c>
      <c r="G32" s="582">
        <f>E32</f>
        <v>1513.99</v>
      </c>
      <c r="H32" s="580">
        <v>14.99</v>
      </c>
      <c r="I32" s="580"/>
      <c r="J32" s="580"/>
      <c r="K32" s="996"/>
      <c r="L32" s="1006">
        <v>1932.55</v>
      </c>
      <c r="M32" s="1007"/>
      <c r="N32" s="1203">
        <v>1725.28</v>
      </c>
      <c r="O32" s="966"/>
      <c r="P32" s="1208">
        <v>1588.67</v>
      </c>
      <c r="Q32" s="1338"/>
      <c r="R32" s="1208">
        <v>0</v>
      </c>
      <c r="S32" s="1338"/>
      <c r="T32" s="1208">
        <v>0</v>
      </c>
      <c r="U32" s="1338"/>
      <c r="V32" s="1208">
        <v>0</v>
      </c>
      <c r="W32" s="1338"/>
      <c r="X32" s="1208">
        <v>0</v>
      </c>
      <c r="Y32" s="1338"/>
      <c r="Z32" s="1208">
        <v>1590.77</v>
      </c>
      <c r="AA32" s="1338"/>
      <c r="AB32" s="1208">
        <v>1590.77</v>
      </c>
      <c r="AC32" s="1338"/>
      <c r="AD32" s="1208">
        <v>1590.77</v>
      </c>
      <c r="AE32" s="1338"/>
      <c r="AF32" s="1208">
        <v>1710.72</v>
      </c>
      <c r="AG32" s="1338"/>
      <c r="AH32" s="1654">
        <v>1643.9</v>
      </c>
      <c r="AI32" s="1338"/>
      <c r="AJ32" s="584"/>
      <c r="AK32" s="584"/>
      <c r="AL32" s="584"/>
      <c r="AM32" s="584"/>
      <c r="AN32" s="584"/>
      <c r="AO32" s="584"/>
      <c r="AP32" s="584"/>
      <c r="AQ32" s="584"/>
      <c r="AR32" s="584"/>
      <c r="AS32" s="584"/>
      <c r="AT32" s="584"/>
      <c r="AU32" s="584"/>
      <c r="AV32" s="584"/>
      <c r="AW32" s="584"/>
      <c r="AX32" s="584"/>
      <c r="AY32" s="584"/>
      <c r="AZ32" s="584"/>
      <c r="BA32" s="584"/>
      <c r="BB32" s="584"/>
      <c r="BC32" s="584"/>
      <c r="BD32" s="584"/>
      <c r="BE32" s="584"/>
      <c r="BF32" s="584"/>
      <c r="BG32" s="584"/>
      <c r="BH32" s="584"/>
      <c r="BI32" s="584"/>
      <c r="BJ32" s="584"/>
      <c r="BK32" s="584"/>
      <c r="BL32" s="584"/>
      <c r="BM32" s="584"/>
      <c r="BN32" s="584"/>
      <c r="BO32" s="584"/>
      <c r="BP32" s="584"/>
      <c r="BQ32" s="584"/>
      <c r="BR32" s="584"/>
      <c r="BS32" s="584"/>
      <c r="BT32" s="584"/>
      <c r="BU32" s="584"/>
      <c r="BV32" s="584"/>
      <c r="BW32" s="584"/>
      <c r="BX32" s="584"/>
      <c r="BY32" s="584"/>
      <c r="BZ32" s="584"/>
      <c r="CA32" s="584"/>
      <c r="CB32" s="584"/>
      <c r="CC32" s="584"/>
      <c r="CD32" s="584"/>
      <c r="CE32" s="584"/>
      <c r="CF32" s="584"/>
    </row>
    <row r="33" spans="1:35" s="579" customFormat="1" ht="26.4">
      <c r="A33" s="1825" t="s">
        <v>369</v>
      </c>
      <c r="B33" s="598" t="s">
        <v>370</v>
      </c>
      <c r="C33" s="576" t="s">
        <v>371</v>
      </c>
      <c r="D33" s="599" t="s">
        <v>747</v>
      </c>
      <c r="E33" s="577">
        <f t="shared" ref="E33:E38" si="3">G33</f>
        <v>7303.66</v>
      </c>
      <c r="F33" s="577">
        <f>E33*12</f>
        <v>87643.92</v>
      </c>
      <c r="G33" s="578">
        <v>7303.66</v>
      </c>
      <c r="H33" s="576"/>
      <c r="I33" s="576"/>
      <c r="J33" s="576"/>
      <c r="K33" s="995">
        <f>SUM(G33:G41)</f>
        <v>39437.683333333334</v>
      </c>
      <c r="L33" s="1003">
        <v>7303.66</v>
      </c>
      <c r="M33" s="1004">
        <f>SUM(L33:L41)</f>
        <v>12061.66</v>
      </c>
      <c r="N33" s="1202">
        <v>7303.66</v>
      </c>
      <c r="O33" s="964">
        <f>SUM(N33:N41)</f>
        <v>11288.94</v>
      </c>
      <c r="P33" s="1209">
        <v>5994</v>
      </c>
      <c r="Q33" s="1336">
        <f>SUM(P33:P41)</f>
        <v>13414.97</v>
      </c>
      <c r="R33" s="1209">
        <v>5994</v>
      </c>
      <c r="S33" s="1336">
        <f>SUM(R33:R41)</f>
        <v>13389.71</v>
      </c>
      <c r="T33" s="1209">
        <v>5994</v>
      </c>
      <c r="U33" s="1336">
        <f>SUM(T33:T41)</f>
        <v>20127.48</v>
      </c>
      <c r="V33" s="1209">
        <v>5994</v>
      </c>
      <c r="W33" s="1336">
        <f>SUM(V33:V41)</f>
        <v>48356.26</v>
      </c>
      <c r="X33" s="1209">
        <v>5994</v>
      </c>
      <c r="Y33" s="1336">
        <f>SUM(X33:X41)</f>
        <v>10401.33</v>
      </c>
      <c r="Z33" s="1209">
        <v>5994</v>
      </c>
      <c r="AA33" s="1336">
        <f>SUM(Z33:Z41)</f>
        <v>23299.640000000003</v>
      </c>
      <c r="AB33" s="1209">
        <v>5994</v>
      </c>
      <c r="AC33" s="1336">
        <f>SUM(AB33:AB41)</f>
        <v>10468.210000000001</v>
      </c>
      <c r="AD33" s="1209">
        <v>5994</v>
      </c>
      <c r="AE33" s="1336">
        <f>SUM(AD33:AD41)</f>
        <v>11370.08</v>
      </c>
      <c r="AF33" s="1995">
        <f>20388/7</f>
        <v>2912.5714285714284</v>
      </c>
      <c r="AG33" s="1336">
        <f>SUM(AF33:AF41)</f>
        <v>7579.0614285714291</v>
      </c>
      <c r="AH33" s="1780">
        <f>20388/7</f>
        <v>2912.5714285714284</v>
      </c>
      <c r="AI33" s="1336">
        <f>SUM(AH33:AH41)</f>
        <v>7249.011428571429</v>
      </c>
    </row>
    <row r="34" spans="1:35">
      <c r="A34" s="1823"/>
      <c r="B34" s="600" t="s">
        <v>372</v>
      </c>
      <c r="C34" s="68" t="s">
        <v>373</v>
      </c>
      <c r="D34" s="601" t="s">
        <v>748</v>
      </c>
      <c r="E34" s="567">
        <f t="shared" si="3"/>
        <v>1794</v>
      </c>
      <c r="F34" s="567">
        <v>21528</v>
      </c>
      <c r="G34" s="568">
        <f>F34/12</f>
        <v>1794</v>
      </c>
      <c r="H34" s="68"/>
      <c r="I34" s="68"/>
      <c r="J34" s="68"/>
      <c r="L34" s="999">
        <v>0</v>
      </c>
      <c r="M34" s="1005"/>
      <c r="N34" s="1024">
        <v>0</v>
      </c>
      <c r="O34" s="965"/>
      <c r="P34" s="1205">
        <v>0</v>
      </c>
      <c r="Q34" s="1337"/>
      <c r="R34" s="1205">
        <v>0</v>
      </c>
      <c r="S34" s="1337"/>
      <c r="T34" s="1205">
        <v>0</v>
      </c>
      <c r="U34" s="1337"/>
      <c r="V34" s="1205">
        <v>0</v>
      </c>
      <c r="W34" s="1337"/>
      <c r="X34" s="1205">
        <v>0</v>
      </c>
      <c r="Y34" s="1337"/>
      <c r="Z34" s="1205">
        <v>0</v>
      </c>
      <c r="AA34" s="1337"/>
      <c r="AB34" s="1205">
        <v>0</v>
      </c>
      <c r="AC34" s="1337"/>
      <c r="AD34" s="1205">
        <v>0</v>
      </c>
      <c r="AE34" s="1337"/>
      <c r="AF34" s="1205">
        <v>0</v>
      </c>
      <c r="AG34" s="1337"/>
      <c r="AH34" s="1205">
        <v>0</v>
      </c>
      <c r="AI34" s="1337"/>
    </row>
    <row r="35" spans="1:35">
      <c r="A35" s="1823"/>
      <c r="B35" s="600" t="s">
        <v>374</v>
      </c>
      <c r="C35" s="68" t="s">
        <v>749</v>
      </c>
      <c r="D35" s="601" t="s">
        <v>750</v>
      </c>
      <c r="E35" s="567">
        <f t="shared" si="3"/>
        <v>953.33333333333337</v>
      </c>
      <c r="F35" s="567">
        <v>11440</v>
      </c>
      <c r="G35" s="568">
        <f>F35/12</f>
        <v>953.33333333333337</v>
      </c>
      <c r="H35" s="68"/>
      <c r="I35" s="68"/>
      <c r="J35" s="68"/>
      <c r="L35" s="999">
        <v>0</v>
      </c>
      <c r="M35" s="1005"/>
      <c r="N35" s="1024">
        <v>0</v>
      </c>
      <c r="O35" s="965"/>
      <c r="P35" s="1205">
        <v>0</v>
      </c>
      <c r="Q35" s="1337"/>
      <c r="R35" s="1205">
        <v>0</v>
      </c>
      <c r="S35" s="1337"/>
      <c r="T35" s="1205">
        <v>0</v>
      </c>
      <c r="U35" s="1337"/>
      <c r="V35" s="1205">
        <v>0</v>
      </c>
      <c r="W35" s="1337"/>
      <c r="X35" s="1205">
        <v>0</v>
      </c>
      <c r="Y35" s="1337"/>
      <c r="Z35" s="1205">
        <v>0</v>
      </c>
      <c r="AA35" s="1337"/>
      <c r="AB35" s="1205">
        <v>0</v>
      </c>
      <c r="AC35" s="1337"/>
      <c r="AD35" s="1205">
        <v>900</v>
      </c>
      <c r="AE35" s="1337"/>
      <c r="AG35" s="1337"/>
      <c r="AI35" s="1337"/>
    </row>
    <row r="36" spans="1:35">
      <c r="A36" s="1823"/>
      <c r="B36" s="600" t="s">
        <v>374</v>
      </c>
      <c r="C36" s="68" t="s">
        <v>375</v>
      </c>
      <c r="D36" s="601" t="s">
        <v>751</v>
      </c>
      <c r="E36" s="567">
        <f t="shared" si="3"/>
        <v>1400</v>
      </c>
      <c r="F36" s="567">
        <f>E36*12</f>
        <v>16800</v>
      </c>
      <c r="G36" s="568">
        <v>1400</v>
      </c>
      <c r="H36" s="68"/>
      <c r="I36" s="68"/>
      <c r="J36" s="68"/>
      <c r="L36" s="999">
        <v>1565.45</v>
      </c>
      <c r="M36" s="1005"/>
      <c r="N36" s="1024">
        <v>1000</v>
      </c>
      <c r="O36" s="965"/>
      <c r="P36" s="1205">
        <v>1582.3</v>
      </c>
      <c r="Q36" s="1337"/>
      <c r="R36" s="1205">
        <f>587.99</f>
        <v>587.99</v>
      </c>
      <c r="S36" s="1337"/>
      <c r="T36" s="1205">
        <f>642.26+1000+510+3.88+1200</f>
        <v>3356.1400000000003</v>
      </c>
      <c r="U36" s="1337"/>
      <c r="V36" s="1205">
        <v>1529.94</v>
      </c>
      <c r="W36" s="1337"/>
      <c r="X36" s="1205">
        <v>1576.81</v>
      </c>
      <c r="Y36" s="1337"/>
      <c r="Z36" s="1205">
        <f>1599.27</f>
        <v>1599.27</v>
      </c>
      <c r="AA36" s="1337"/>
      <c r="AB36" s="1205">
        <v>1623.44</v>
      </c>
      <c r="AC36" s="1337"/>
      <c r="AD36" s="1205">
        <v>1625.31</v>
      </c>
      <c r="AE36" s="1337"/>
      <c r="AF36" s="1205">
        <v>1798.81</v>
      </c>
      <c r="AG36" s="1337"/>
      <c r="AH36" s="1207">
        <v>1683.43</v>
      </c>
      <c r="AI36" s="1337"/>
    </row>
    <row r="37" spans="1:35">
      <c r="A37" s="1823"/>
      <c r="B37" s="600" t="s">
        <v>376</v>
      </c>
      <c r="C37" s="68" t="s">
        <v>377</v>
      </c>
      <c r="D37" s="601" t="s">
        <v>377</v>
      </c>
      <c r="E37" s="567">
        <f t="shared" si="3"/>
        <v>1200</v>
      </c>
      <c r="F37" s="567">
        <f>E37*12</f>
        <v>14400</v>
      </c>
      <c r="G37" s="568">
        <v>1200</v>
      </c>
      <c r="H37" s="68"/>
      <c r="I37" s="68"/>
      <c r="J37" s="68"/>
      <c r="L37" s="999">
        <v>1260</v>
      </c>
      <c r="M37" s="1005"/>
      <c r="N37" s="1024">
        <v>1260</v>
      </c>
      <c r="O37" s="965"/>
      <c r="P37" s="1205">
        <v>1260</v>
      </c>
      <c r="Q37" s="1337"/>
      <c r="R37" s="1205">
        <v>1260</v>
      </c>
      <c r="S37" s="1337"/>
      <c r="T37" s="1205">
        <v>1260</v>
      </c>
      <c r="U37" s="1337"/>
      <c r="V37" s="1205">
        <v>1260</v>
      </c>
      <c r="W37" s="1337"/>
      <c r="X37" s="1205">
        <v>1260</v>
      </c>
      <c r="Y37" s="1337"/>
      <c r="Z37" s="1205">
        <v>1260</v>
      </c>
      <c r="AA37" s="1337"/>
      <c r="AB37" s="1205">
        <v>1260</v>
      </c>
      <c r="AC37" s="1337"/>
      <c r="AD37" s="1205">
        <v>1260</v>
      </c>
      <c r="AE37" s="1337"/>
      <c r="AF37" s="1205">
        <v>1260</v>
      </c>
      <c r="AG37" s="1337"/>
      <c r="AH37" s="1207">
        <v>1260</v>
      </c>
      <c r="AI37" s="1337"/>
    </row>
    <row r="38" spans="1:35">
      <c r="A38" s="1823"/>
      <c r="B38" s="600" t="s">
        <v>450</v>
      </c>
      <c r="C38" s="68" t="s">
        <v>752</v>
      </c>
      <c r="D38" s="601" t="s">
        <v>450</v>
      </c>
      <c r="E38" s="567">
        <f t="shared" si="3"/>
        <v>25000</v>
      </c>
      <c r="F38" s="567">
        <f>E38*12</f>
        <v>300000</v>
      </c>
      <c r="G38" s="568">
        <v>25000</v>
      </c>
      <c r="H38" s="68"/>
      <c r="I38" s="68"/>
      <c r="J38" s="68"/>
      <c r="L38" s="999">
        <v>0</v>
      </c>
      <c r="M38" s="1005"/>
      <c r="N38" s="1024">
        <v>0</v>
      </c>
      <c r="O38" s="965"/>
      <c r="P38" s="1205">
        <v>2990</v>
      </c>
      <c r="Q38" s="1337"/>
      <c r="R38" s="1205">
        <v>0</v>
      </c>
      <c r="S38" s="1337"/>
      <c r="T38" s="1205">
        <v>0</v>
      </c>
      <c r="U38" s="1337"/>
      <c r="V38" s="1205">
        <v>0</v>
      </c>
      <c r="W38" s="1337"/>
      <c r="X38" s="1205">
        <v>0</v>
      </c>
      <c r="Y38" s="1337"/>
      <c r="Z38" s="1205">
        <v>12855.6</v>
      </c>
      <c r="AA38" s="1337"/>
      <c r="AB38" s="1205">
        <v>0</v>
      </c>
      <c r="AC38" s="1337"/>
      <c r="AD38" s="1205">
        <v>0</v>
      </c>
      <c r="AE38" s="1337"/>
      <c r="AF38" s="1205">
        <v>0</v>
      </c>
      <c r="AG38" s="1337"/>
      <c r="AH38" s="1205">
        <v>0</v>
      </c>
      <c r="AI38" s="1337"/>
    </row>
    <row r="39" spans="1:35">
      <c r="A39" s="1823"/>
      <c r="B39" s="600"/>
      <c r="C39" s="68"/>
      <c r="D39" s="601" t="s">
        <v>1054</v>
      </c>
      <c r="E39" s="567"/>
      <c r="F39" s="567"/>
      <c r="G39" s="568"/>
      <c r="H39" s="68"/>
      <c r="I39" s="68"/>
      <c r="J39" s="68"/>
      <c r="M39" s="1005"/>
      <c r="O39" s="965"/>
      <c r="Q39" s="1337"/>
      <c r="R39" s="1205">
        <v>4000</v>
      </c>
      <c r="S39" s="1337"/>
      <c r="T39" s="1205">
        <v>8000</v>
      </c>
      <c r="U39" s="1337"/>
      <c r="V39" s="1205">
        <v>8000</v>
      </c>
      <c r="W39" s="1337"/>
      <c r="X39" s="1205">
        <v>0</v>
      </c>
      <c r="Y39" s="1337"/>
      <c r="Z39" s="1205">
        <v>0</v>
      </c>
      <c r="AA39" s="1337"/>
      <c r="AB39" s="1205">
        <v>0</v>
      </c>
      <c r="AC39" s="1337"/>
      <c r="AD39" s="1205">
        <v>0</v>
      </c>
      <c r="AE39" s="1337"/>
      <c r="AF39" s="1205">
        <v>0</v>
      </c>
      <c r="AG39" s="1337"/>
      <c r="AH39" s="1205">
        <v>0</v>
      </c>
      <c r="AI39" s="1337"/>
    </row>
    <row r="40" spans="1:35">
      <c r="A40" s="1823"/>
      <c r="B40" s="600" t="s">
        <v>1108</v>
      </c>
      <c r="C40" s="68"/>
      <c r="D40" s="601" t="s">
        <v>1107</v>
      </c>
      <c r="E40" s="567"/>
      <c r="F40" s="567"/>
      <c r="G40" s="568"/>
      <c r="H40" s="68"/>
      <c r="I40" s="68"/>
      <c r="J40" s="68"/>
      <c r="M40" s="1005"/>
      <c r="O40" s="965"/>
      <c r="Q40" s="1337"/>
      <c r="S40" s="1337"/>
      <c r="U40" s="1337"/>
      <c r="V40" s="1205">
        <v>30000</v>
      </c>
      <c r="W40" s="1337"/>
      <c r="X40" s="1205">
        <v>0</v>
      </c>
      <c r="Y40" s="1337"/>
      <c r="Z40" s="1205">
        <v>0</v>
      </c>
      <c r="AA40" s="1337"/>
      <c r="AB40" s="1205">
        <v>0</v>
      </c>
      <c r="AC40" s="1337"/>
      <c r="AD40" s="1205">
        <v>0</v>
      </c>
      <c r="AE40" s="1337"/>
      <c r="AF40" s="1205">
        <v>0</v>
      </c>
      <c r="AG40" s="1337"/>
      <c r="AH40" s="1205">
        <v>0</v>
      </c>
      <c r="AI40" s="1337"/>
    </row>
    <row r="41" spans="1:35" s="584" customFormat="1" ht="13.8" thickBot="1">
      <c r="A41" s="1824"/>
      <c r="B41" s="605" t="s">
        <v>367</v>
      </c>
      <c r="C41" s="580" t="s">
        <v>378</v>
      </c>
      <c r="D41" s="606" t="s">
        <v>378</v>
      </c>
      <c r="E41" s="581">
        <f>H41*H2</f>
        <v>1786.69</v>
      </c>
      <c r="F41" s="581">
        <f>E41*12</f>
        <v>21440.28</v>
      </c>
      <c r="G41" s="582">
        <f>E41</f>
        <v>1786.69</v>
      </c>
      <c r="H41" s="580">
        <v>17.690000000000001</v>
      </c>
      <c r="I41" s="580"/>
      <c r="J41" s="580"/>
      <c r="K41" s="996"/>
      <c r="L41" s="1006">
        <v>1932.55</v>
      </c>
      <c r="M41" s="1007"/>
      <c r="N41" s="1203">
        <v>1725.28</v>
      </c>
      <c r="O41" s="966"/>
      <c r="P41" s="1208">
        <v>1588.67</v>
      </c>
      <c r="Q41" s="1338"/>
      <c r="R41" s="1208">
        <v>1547.72</v>
      </c>
      <c r="S41" s="1338"/>
      <c r="T41" s="1208">
        <v>1517.34</v>
      </c>
      <c r="U41" s="1338"/>
      <c r="V41" s="1208">
        <v>1572.32</v>
      </c>
      <c r="W41" s="1338"/>
      <c r="X41" s="1208">
        <v>1570.52</v>
      </c>
      <c r="Y41" s="1338"/>
      <c r="Z41" s="1208">
        <v>1590.77</v>
      </c>
      <c r="AA41" s="1338"/>
      <c r="AB41" s="1208">
        <v>1590.77</v>
      </c>
      <c r="AC41" s="1338"/>
      <c r="AD41" s="1208">
        <v>1590.77</v>
      </c>
      <c r="AE41" s="1338"/>
      <c r="AF41" s="1208">
        <v>1607.68</v>
      </c>
      <c r="AG41" s="1338"/>
      <c r="AH41" s="1654">
        <v>1393.01</v>
      </c>
      <c r="AI41" s="1338"/>
    </row>
    <row r="42" spans="1:35" s="579" customFormat="1">
      <c r="A42" s="1825" t="s">
        <v>379</v>
      </c>
      <c r="B42" s="598" t="s">
        <v>753</v>
      </c>
      <c r="C42" s="576" t="s">
        <v>380</v>
      </c>
      <c r="D42" s="599" t="s">
        <v>182</v>
      </c>
      <c r="E42" s="577">
        <f t="shared" ref="E42:E56" si="4">G42</f>
        <v>5757</v>
      </c>
      <c r="F42" s="577">
        <f>E42*12</f>
        <v>69084</v>
      </c>
      <c r="G42" s="578">
        <f>H42*H2</f>
        <v>5757</v>
      </c>
      <c r="H42" s="576">
        <v>57</v>
      </c>
      <c r="I42" s="576"/>
      <c r="J42" s="576"/>
      <c r="K42" s="995">
        <f>SUM(G42:G50)</f>
        <v>50034.5</v>
      </c>
      <c r="L42" s="1003">
        <v>5696.01</v>
      </c>
      <c r="M42" s="1004">
        <f>SUM(L42:L50)</f>
        <v>97982.420000000013</v>
      </c>
      <c r="N42" s="1202">
        <v>2468.7600000000002</v>
      </c>
      <c r="O42" s="964">
        <f>SUM(N42:N50)</f>
        <v>97507.4</v>
      </c>
      <c r="P42" s="1209">
        <f>2585.06+4798.83</f>
        <v>7383.8899999999994</v>
      </c>
      <c r="Q42" s="1336">
        <f>SUM(P42:P50)</f>
        <v>184149.33</v>
      </c>
      <c r="R42" s="1209">
        <v>4624.9799999999996</v>
      </c>
      <c r="S42" s="1336">
        <f>SUM(R42:R50)</f>
        <v>125505.84999999999</v>
      </c>
      <c r="T42" s="1209">
        <v>4543.47</v>
      </c>
      <c r="U42" s="1336">
        <f>SUM(T42:T50)</f>
        <v>106595.61000000002</v>
      </c>
      <c r="V42" s="1209">
        <v>0</v>
      </c>
      <c r="W42" s="1336">
        <f>SUM(V42:V50)</f>
        <v>112481.96</v>
      </c>
      <c r="X42" s="1209">
        <v>4464.8100000000004</v>
      </c>
      <c r="Y42" s="1336">
        <f>SUM(X42:X50)</f>
        <v>167727.54</v>
      </c>
      <c r="Z42" s="1209">
        <v>0</v>
      </c>
      <c r="AA42" s="1336">
        <f>SUM(Z42:Z50)</f>
        <v>227290.68</v>
      </c>
      <c r="AB42" s="1209">
        <v>0</v>
      </c>
      <c r="AC42" s="1336">
        <f>SUM(AB42:AB50)</f>
        <v>103265.17</v>
      </c>
      <c r="AD42" s="1209">
        <v>0</v>
      </c>
      <c r="AE42" s="1336">
        <f>SUM(AD42:AD50)</f>
        <v>103132.98999999999</v>
      </c>
      <c r="AF42" s="1209">
        <v>0</v>
      </c>
      <c r="AG42" s="1336">
        <f>SUM(AF42:AF50)</f>
        <v>116417.95</v>
      </c>
      <c r="AH42" s="1209">
        <v>0</v>
      </c>
      <c r="AI42" s="1336">
        <f>SUM(AH42:AH50)</f>
        <v>83019.31</v>
      </c>
    </row>
    <row r="43" spans="1:35">
      <c r="A43" s="1823"/>
      <c r="B43" s="600" t="s">
        <v>754</v>
      </c>
      <c r="C43" s="68" t="s">
        <v>452</v>
      </c>
      <c r="D43" s="601"/>
      <c r="E43" s="567">
        <f t="shared" si="4"/>
        <v>14277.5</v>
      </c>
      <c r="F43" s="567">
        <v>171330</v>
      </c>
      <c r="G43" s="568">
        <f>F43/12</f>
        <v>14277.5</v>
      </c>
      <c r="H43" s="68"/>
      <c r="I43" s="68"/>
      <c r="J43" s="68"/>
      <c r="L43" s="999">
        <v>0</v>
      </c>
      <c r="M43" s="1005"/>
      <c r="N43" s="1024">
        <v>0</v>
      </c>
      <c r="O43" s="965"/>
      <c r="P43" s="1205">
        <v>0</v>
      </c>
      <c r="Q43" s="1337"/>
      <c r="R43" s="1205">
        <v>0</v>
      </c>
      <c r="S43" s="1337"/>
      <c r="T43" s="1205">
        <v>0</v>
      </c>
      <c r="U43" s="1337"/>
      <c r="V43" s="1205">
        <v>0</v>
      </c>
      <c r="W43" s="1337"/>
      <c r="X43" s="1205">
        <v>0</v>
      </c>
      <c r="Y43" s="1337"/>
      <c r="Z43" s="1205">
        <v>0</v>
      </c>
      <c r="AA43" s="1337"/>
      <c r="AB43" s="1205">
        <v>0</v>
      </c>
      <c r="AC43" s="1337"/>
      <c r="AD43" s="1205">
        <v>0</v>
      </c>
      <c r="AE43" s="1337"/>
      <c r="AF43" s="1205">
        <v>0</v>
      </c>
      <c r="AG43" s="1337"/>
      <c r="AH43" s="1205">
        <v>0</v>
      </c>
      <c r="AI43" s="1337"/>
    </row>
    <row r="44" spans="1:35">
      <c r="A44" s="1823"/>
      <c r="B44" s="600" t="s">
        <v>755</v>
      </c>
      <c r="C44" s="68"/>
      <c r="D44" s="601" t="s">
        <v>451</v>
      </c>
      <c r="E44" s="567">
        <f t="shared" si="4"/>
        <v>30000</v>
      </c>
      <c r="F44" s="567">
        <f>E44*12</f>
        <v>360000</v>
      </c>
      <c r="G44" s="568">
        <v>30000</v>
      </c>
      <c r="H44" s="68"/>
      <c r="I44" s="68"/>
      <c r="J44" s="68"/>
      <c r="L44" s="999">
        <v>30000</v>
      </c>
      <c r="M44" s="1005"/>
      <c r="N44" s="1024">
        <v>33000</v>
      </c>
      <c r="O44" s="965"/>
      <c r="P44" s="1205">
        <v>33000</v>
      </c>
      <c r="Q44" s="1337"/>
      <c r="R44" s="1205">
        <v>49150</v>
      </c>
      <c r="S44" s="1337"/>
      <c r="T44" s="1205">
        <v>33000</v>
      </c>
      <c r="U44" s="1337"/>
      <c r="V44" s="1205">
        <v>33000</v>
      </c>
      <c r="W44" s="1337"/>
      <c r="X44" s="1205">
        <v>33000</v>
      </c>
      <c r="Y44" s="1337"/>
      <c r="Z44" s="1205">
        <v>33000</v>
      </c>
      <c r="AA44" s="1337"/>
      <c r="AB44" s="1205">
        <v>33000</v>
      </c>
      <c r="AC44" s="1337"/>
      <c r="AD44" s="1205">
        <v>33000</v>
      </c>
      <c r="AE44" s="1337"/>
      <c r="AF44" s="1205">
        <v>33000</v>
      </c>
      <c r="AG44" s="1337"/>
      <c r="AH44" s="1207">
        <v>33000</v>
      </c>
      <c r="AI44" s="1337"/>
    </row>
    <row r="45" spans="1:35">
      <c r="A45" s="1823"/>
      <c r="B45" s="600"/>
      <c r="C45" s="68"/>
      <c r="D45" s="601" t="s">
        <v>394</v>
      </c>
      <c r="E45" s="567"/>
      <c r="F45" s="567"/>
      <c r="G45" s="568"/>
      <c r="H45" s="68"/>
      <c r="I45" s="68"/>
      <c r="J45" s="68"/>
      <c r="M45" s="1005"/>
      <c r="N45" s="1024">
        <v>3400</v>
      </c>
      <c r="O45" s="965"/>
      <c r="P45" s="1205">
        <v>0</v>
      </c>
      <c r="Q45" s="1337"/>
      <c r="R45" s="1205">
        <v>0</v>
      </c>
      <c r="S45" s="1337"/>
      <c r="T45" s="1205">
        <v>0</v>
      </c>
      <c r="U45" s="1337"/>
      <c r="V45" s="1205">
        <v>0</v>
      </c>
      <c r="W45" s="1337"/>
      <c r="X45" s="1205">
        <v>0</v>
      </c>
      <c r="Y45" s="1337"/>
      <c r="Z45" s="1205">
        <v>0</v>
      </c>
      <c r="AA45" s="1337"/>
      <c r="AB45" s="1205">
        <v>0</v>
      </c>
      <c r="AC45" s="1337"/>
      <c r="AD45" s="1205">
        <v>0</v>
      </c>
      <c r="AE45" s="1337"/>
      <c r="AF45" s="1205">
        <v>0</v>
      </c>
      <c r="AG45" s="1337"/>
      <c r="AH45" s="1205">
        <v>0</v>
      </c>
      <c r="AI45" s="1337"/>
    </row>
    <row r="46" spans="1:35">
      <c r="A46" s="1823"/>
      <c r="B46" s="600"/>
      <c r="C46" s="68"/>
      <c r="D46" s="601" t="s">
        <v>1156</v>
      </c>
      <c r="E46" s="567"/>
      <c r="F46" s="567"/>
      <c r="G46" s="568"/>
      <c r="H46" s="68"/>
      <c r="I46" s="68"/>
      <c r="J46" s="68"/>
      <c r="M46" s="1005"/>
      <c r="O46" s="965"/>
      <c r="Q46" s="1337"/>
      <c r="S46" s="1337"/>
      <c r="U46" s="1337"/>
      <c r="W46" s="1337"/>
      <c r="Y46" s="1337"/>
      <c r="Z46" s="1205">
        <v>25920</v>
      </c>
      <c r="AA46" s="1337"/>
      <c r="AB46" s="1205">
        <v>0</v>
      </c>
      <c r="AC46" s="1337"/>
      <c r="AD46" s="1205">
        <v>0</v>
      </c>
      <c r="AE46" s="1337"/>
      <c r="AF46" s="1205">
        <v>0</v>
      </c>
      <c r="AG46" s="1337"/>
      <c r="AH46" s="1205">
        <v>0</v>
      </c>
      <c r="AI46" s="1337"/>
    </row>
    <row r="47" spans="1:35">
      <c r="A47" s="1823"/>
      <c r="B47" s="600" t="s">
        <v>1185</v>
      </c>
      <c r="C47" s="68"/>
      <c r="D47" s="601" t="s">
        <v>1186</v>
      </c>
      <c r="E47" s="567"/>
      <c r="F47" s="567"/>
      <c r="G47" s="568"/>
      <c r="H47" s="68"/>
      <c r="I47" s="68"/>
      <c r="J47" s="68"/>
      <c r="M47" s="1005"/>
      <c r="O47" s="965"/>
      <c r="Q47" s="1337"/>
      <c r="S47" s="1337"/>
      <c r="U47" s="1337"/>
      <c r="W47" s="1337"/>
      <c r="Y47" s="1337"/>
      <c r="AA47" s="1337"/>
      <c r="AB47" s="1205">
        <v>20025</v>
      </c>
      <c r="AC47" s="1337"/>
      <c r="AD47" s="1205">
        <v>20025</v>
      </c>
      <c r="AE47" s="1337"/>
      <c r="AF47" s="1205">
        <v>0</v>
      </c>
      <c r="AG47" s="1337"/>
      <c r="AH47" s="1205">
        <v>0</v>
      </c>
      <c r="AI47" s="1337"/>
    </row>
    <row r="48" spans="1:35">
      <c r="A48" s="1823"/>
      <c r="B48" s="600" t="s">
        <v>1158</v>
      </c>
      <c r="C48" s="68"/>
      <c r="D48" s="601"/>
      <c r="E48" s="567"/>
      <c r="F48" s="567"/>
      <c r="G48" s="568"/>
      <c r="H48" s="68"/>
      <c r="I48" s="68"/>
      <c r="J48" s="68"/>
      <c r="M48" s="1005"/>
      <c r="O48" s="965"/>
      <c r="Q48" s="1337"/>
      <c r="S48" s="1337"/>
      <c r="U48" s="1337"/>
      <c r="W48" s="1337"/>
      <c r="Y48" s="1337"/>
      <c r="Z48" s="1205">
        <v>68059.600000000006</v>
      </c>
      <c r="AA48" s="1337"/>
      <c r="AB48" s="1205">
        <v>0</v>
      </c>
      <c r="AC48" s="1337"/>
      <c r="AD48" s="1205">
        <v>0</v>
      </c>
      <c r="AE48" s="1337"/>
      <c r="AF48" s="1205">
        <v>0</v>
      </c>
      <c r="AG48" s="1337"/>
      <c r="AH48" s="1205">
        <v>0</v>
      </c>
      <c r="AI48" s="1337"/>
    </row>
    <row r="49" spans="1:84" ht="13.8" thickBot="1">
      <c r="A49" s="1823"/>
      <c r="B49" s="600"/>
      <c r="C49" s="68"/>
      <c r="D49" s="601" t="s">
        <v>933</v>
      </c>
      <c r="E49" s="567"/>
      <c r="F49" s="567"/>
      <c r="G49" s="568"/>
      <c r="H49" s="68"/>
      <c r="I49" s="68"/>
      <c r="J49" s="68"/>
      <c r="L49" s="999">
        <v>18891.98</v>
      </c>
      <c r="M49" s="1005"/>
      <c r="N49" s="1024">
        <v>0</v>
      </c>
      <c r="O49" s="965"/>
      <c r="P49" s="1205">
        <v>4448.6400000000003</v>
      </c>
      <c r="Q49" s="1337"/>
      <c r="R49" s="1205">
        <v>0</v>
      </c>
      <c r="S49" s="1337"/>
      <c r="T49" s="1205">
        <v>317.64999999999998</v>
      </c>
      <c r="U49" s="1337"/>
      <c r="V49" s="1205">
        <v>342.8</v>
      </c>
      <c r="W49" s="1337"/>
      <c r="X49" s="1205">
        <v>262.73</v>
      </c>
      <c r="Y49" s="1337"/>
      <c r="Z49" s="1205">
        <v>311.08</v>
      </c>
      <c r="AA49" s="1337"/>
      <c r="AB49" s="1205">
        <v>240.17</v>
      </c>
      <c r="AC49" s="1337"/>
      <c r="AD49" s="1205">
        <v>107.99</v>
      </c>
      <c r="AE49" s="1337"/>
      <c r="AF49" s="1205">
        <v>98.2</v>
      </c>
      <c r="AG49" s="1337"/>
      <c r="AH49" s="1207">
        <v>19.309999999999999</v>
      </c>
      <c r="AI49" s="1337"/>
    </row>
    <row r="50" spans="1:84" s="588" customFormat="1" ht="13.95" customHeight="1" thickBot="1">
      <c r="A50" s="1824"/>
      <c r="B50" s="605"/>
      <c r="C50" s="580" t="s">
        <v>126</v>
      </c>
      <c r="D50" s="606" t="s">
        <v>726</v>
      </c>
      <c r="E50" s="581">
        <f t="shared" si="4"/>
        <v>0</v>
      </c>
      <c r="F50" s="581">
        <f>E50*12</f>
        <v>0</v>
      </c>
      <c r="G50" s="582">
        <v>0</v>
      </c>
      <c r="H50" s="580"/>
      <c r="I50" s="580"/>
      <c r="J50" s="580"/>
      <c r="K50" s="996"/>
      <c r="L50" s="1006">
        <v>43394.43</v>
      </c>
      <c r="M50" s="1007"/>
      <c r="N50" s="1203">
        <v>58638.64</v>
      </c>
      <c r="O50" s="966"/>
      <c r="P50" s="1208">
        <v>139316.79999999999</v>
      </c>
      <c r="Q50" s="1338"/>
      <c r="R50" s="1208">
        <v>71730.87</v>
      </c>
      <c r="S50" s="1338"/>
      <c r="T50" s="1208">
        <f>18734.49+50000</f>
        <v>68734.490000000005</v>
      </c>
      <c r="U50" s="1338"/>
      <c r="V50" s="1208">
        <v>79139.16</v>
      </c>
      <c r="W50" s="1338"/>
      <c r="X50" s="1208">
        <v>130000</v>
      </c>
      <c r="Y50" s="1338"/>
      <c r="Z50" s="1208">
        <v>100000</v>
      </c>
      <c r="AA50" s="1338"/>
      <c r="AB50" s="1208">
        <v>50000</v>
      </c>
      <c r="AC50" s="1338"/>
      <c r="AD50" s="1208">
        <v>50000</v>
      </c>
      <c r="AE50" s="1338"/>
      <c r="AF50" s="1208">
        <f>50000+33319.75</f>
        <v>83319.75</v>
      </c>
      <c r="AG50" s="1338"/>
      <c r="AH50" s="1654">
        <v>50000</v>
      </c>
      <c r="AI50" s="1338"/>
      <c r="AJ50" s="584"/>
      <c r="AK50" s="584"/>
      <c r="AL50" s="584"/>
      <c r="AM50" s="584"/>
      <c r="AN50" s="584"/>
      <c r="AO50" s="584"/>
      <c r="AP50" s="584"/>
      <c r="AQ50" s="584"/>
      <c r="AR50" s="584"/>
      <c r="AS50" s="584"/>
      <c r="AT50" s="584"/>
      <c r="AU50" s="584"/>
      <c r="AV50" s="584"/>
      <c r="AW50" s="584"/>
      <c r="AX50" s="584"/>
      <c r="AY50" s="584"/>
      <c r="AZ50" s="584"/>
      <c r="BA50" s="584"/>
      <c r="BB50" s="584"/>
      <c r="BC50" s="584"/>
      <c r="BD50" s="584"/>
      <c r="BE50" s="584"/>
      <c r="BF50" s="584"/>
      <c r="BG50" s="584"/>
      <c r="BH50" s="584"/>
      <c r="BI50" s="584"/>
      <c r="BJ50" s="584"/>
      <c r="BK50" s="584"/>
      <c r="BL50" s="584"/>
      <c r="BM50" s="584"/>
      <c r="BN50" s="584"/>
      <c r="BO50" s="584"/>
      <c r="BP50" s="584"/>
      <c r="BQ50" s="584"/>
      <c r="BR50" s="584"/>
      <c r="BS50" s="584"/>
      <c r="BT50" s="584"/>
      <c r="BU50" s="584"/>
      <c r="BV50" s="584"/>
      <c r="BW50" s="584"/>
      <c r="BX50" s="584"/>
      <c r="BY50" s="584"/>
      <c r="BZ50" s="584"/>
      <c r="CA50" s="584"/>
      <c r="CB50" s="584"/>
      <c r="CC50" s="584"/>
      <c r="CD50" s="584"/>
      <c r="CE50" s="584"/>
      <c r="CF50" s="584"/>
    </row>
    <row r="51" spans="1:84" s="579" customFormat="1" ht="27" customHeight="1">
      <c r="A51" s="1825" t="s">
        <v>8</v>
      </c>
      <c r="B51" s="598" t="s">
        <v>381</v>
      </c>
      <c r="C51" s="576"/>
      <c r="D51" s="599" t="s">
        <v>382</v>
      </c>
      <c r="E51" s="577">
        <f t="shared" si="4"/>
        <v>411008</v>
      </c>
      <c r="F51" s="577">
        <f>E51*12</f>
        <v>4932096</v>
      </c>
      <c r="G51" s="578">
        <v>411008</v>
      </c>
      <c r="H51" s="576"/>
      <c r="I51" s="576"/>
      <c r="J51" s="576"/>
      <c r="K51" s="995">
        <f>SUM(G51:G64)</f>
        <v>643649</v>
      </c>
      <c r="L51" s="1003">
        <v>411008</v>
      </c>
      <c r="M51" s="1004">
        <f>SUM(L51:L64)</f>
        <v>566158.86</v>
      </c>
      <c r="N51" s="1202">
        <v>411008</v>
      </c>
      <c r="O51" s="964">
        <f>SUM(N51:N64)</f>
        <v>622366.05999999994</v>
      </c>
      <c r="P51" s="1209">
        <v>411008</v>
      </c>
      <c r="Q51" s="1336">
        <f>SUM(P51:P64)</f>
        <v>638092.39999999991</v>
      </c>
      <c r="R51" s="1209">
        <v>411008</v>
      </c>
      <c r="S51" s="1336">
        <f>SUM(R51:R64)</f>
        <v>621885.38000000012</v>
      </c>
      <c r="T51" s="1209">
        <v>411008</v>
      </c>
      <c r="U51" s="1336">
        <f>SUM(T51:T64)</f>
        <v>513195.26000000007</v>
      </c>
      <c r="V51" s="1209">
        <v>411008</v>
      </c>
      <c r="W51" s="1336">
        <f>SUM(V51:V64)</f>
        <v>547861.20000000007</v>
      </c>
      <c r="X51" s="1209">
        <v>411008</v>
      </c>
      <c r="Y51" s="1336">
        <f>SUM(X51:X64)</f>
        <v>567140.7300000001</v>
      </c>
      <c r="Z51" s="1209">
        <v>411008</v>
      </c>
      <c r="AA51" s="1336">
        <f>SUM(Z51:Z64)</f>
        <v>564510.12000000011</v>
      </c>
      <c r="AB51" s="1209">
        <v>411008</v>
      </c>
      <c r="AC51" s="1336">
        <f>SUM(AB51:AB64)</f>
        <v>537482.37000000011</v>
      </c>
      <c r="AD51" s="1209">
        <v>411008</v>
      </c>
      <c r="AE51" s="1336">
        <f>SUM(AD51:AD64)</f>
        <v>573186.34000000008</v>
      </c>
      <c r="AF51" s="1209">
        <v>411008</v>
      </c>
      <c r="AG51" s="1336">
        <f>SUM(AF51:AF64)</f>
        <v>522320.27</v>
      </c>
      <c r="AH51" s="1656">
        <v>411008</v>
      </c>
      <c r="AI51" s="1336">
        <f>SUM(AH51:AH64)</f>
        <v>608810.71000000008</v>
      </c>
    </row>
    <row r="52" spans="1:84" ht="27" customHeight="1">
      <c r="A52" s="1830"/>
      <c r="B52" s="600" t="s">
        <v>1078</v>
      </c>
      <c r="C52" s="68"/>
      <c r="D52" s="601" t="s">
        <v>728</v>
      </c>
      <c r="E52" s="567"/>
      <c r="F52" s="567"/>
      <c r="G52" s="568"/>
      <c r="H52" s="68"/>
      <c r="I52" s="68"/>
      <c r="J52" s="68"/>
      <c r="K52" s="1355"/>
      <c r="M52" s="1005"/>
      <c r="O52" s="965"/>
      <c r="Q52" s="1337"/>
      <c r="S52" s="1337"/>
      <c r="T52" s="1205">
        <v>-40043.589999999997</v>
      </c>
      <c r="U52" s="1337"/>
      <c r="V52" s="1205">
        <v>-40043.589999999997</v>
      </c>
      <c r="W52" s="1337"/>
      <c r="X52" s="1205">
        <v>-40043.589999999997</v>
      </c>
      <c r="Y52" s="1337"/>
      <c r="Z52" s="1205">
        <v>-40043.589999999997</v>
      </c>
      <c r="AA52" s="1337"/>
      <c r="AB52" s="1205">
        <v>-40043.589999999997</v>
      </c>
      <c r="AC52" s="1337"/>
      <c r="AD52" s="1205">
        <v>-40043.589999999997</v>
      </c>
      <c r="AE52" s="1337"/>
      <c r="AF52" s="1205">
        <v>-40043.589999999997</v>
      </c>
      <c r="AG52" s="1337"/>
      <c r="AH52" s="1207">
        <v>-40043.589999999997</v>
      </c>
      <c r="AI52" s="1337"/>
    </row>
    <row r="53" spans="1:84">
      <c r="A53" s="1823"/>
      <c r="B53" s="600" t="s">
        <v>383</v>
      </c>
      <c r="C53" s="68"/>
      <c r="D53" s="601" t="s">
        <v>382</v>
      </c>
      <c r="E53" s="567">
        <f t="shared" si="4"/>
        <v>80000</v>
      </c>
      <c r="F53" s="567">
        <f>E53*12</f>
        <v>960000</v>
      </c>
      <c r="G53" s="568">
        <v>80000</v>
      </c>
      <c r="H53" s="68"/>
      <c r="I53" s="68"/>
      <c r="J53" s="68"/>
      <c r="L53" s="999">
        <f>11262.48+58037.48</f>
        <v>69299.960000000006</v>
      </c>
      <c r="M53" s="1005"/>
      <c r="N53" s="1024">
        <f>16509.29+63423.3</f>
        <v>79932.59</v>
      </c>
      <c r="O53" s="965"/>
      <c r="P53" s="1205">
        <f>65227.29+23313.77</f>
        <v>88541.06</v>
      </c>
      <c r="Q53" s="1337"/>
      <c r="R53" s="1205">
        <f>13504.85+60460.08</f>
        <v>73964.930000000008</v>
      </c>
      <c r="S53" s="1337"/>
      <c r="T53" s="1205">
        <f>16438.44</f>
        <v>16438.439999999999</v>
      </c>
      <c r="U53" s="1337"/>
      <c r="V53" s="1205">
        <v>57597.86</v>
      </c>
      <c r="W53" s="1337"/>
      <c r="X53" s="1205">
        <v>58737.66</v>
      </c>
      <c r="Y53" s="1337"/>
      <c r="Z53" s="1205">
        <f>11270.6+49031</f>
        <v>60301.599999999999</v>
      </c>
      <c r="AA53" s="1337"/>
      <c r="AB53" s="1205">
        <v>57112.31</v>
      </c>
      <c r="AC53" s="1337"/>
      <c r="AD53" s="1205">
        <v>60326.080000000002</v>
      </c>
      <c r="AE53" s="1337"/>
      <c r="AF53" s="1205">
        <f>21257.66</f>
        <v>21257.66</v>
      </c>
      <c r="AG53" s="1337"/>
      <c r="AH53" s="1207">
        <v>142769.26</v>
      </c>
      <c r="AI53" s="1337"/>
    </row>
    <row r="54" spans="1:84">
      <c r="A54" s="1823"/>
      <c r="B54" s="600" t="s">
        <v>384</v>
      </c>
      <c r="C54" s="68"/>
      <c r="D54" s="601" t="s">
        <v>385</v>
      </c>
      <c r="E54" s="567">
        <f t="shared" si="4"/>
        <v>18315</v>
      </c>
      <c r="F54" s="567">
        <f>G54*12</f>
        <v>219780</v>
      </c>
      <c r="G54" s="568">
        <v>18315</v>
      </c>
      <c r="H54" s="68"/>
      <c r="I54" s="68"/>
      <c r="J54" s="68"/>
      <c r="L54" s="999">
        <v>18315</v>
      </c>
      <c r="M54" s="1005"/>
      <c r="N54" s="1024">
        <v>18315</v>
      </c>
      <c r="O54" s="965"/>
      <c r="P54" s="1205">
        <v>18315</v>
      </c>
      <c r="Q54" s="1337"/>
      <c r="R54" s="1205">
        <v>22161.15</v>
      </c>
      <c r="S54" s="1337"/>
      <c r="T54" s="1205">
        <v>22161.15</v>
      </c>
      <c r="U54" s="1337"/>
      <c r="V54" s="1205">
        <v>22161.15</v>
      </c>
      <c r="W54" s="1337"/>
      <c r="X54" s="1205">
        <v>22161.15</v>
      </c>
      <c r="Y54" s="1337"/>
      <c r="Z54" s="1205">
        <v>22161.15</v>
      </c>
      <c r="AA54" s="1337"/>
      <c r="AB54" s="1205">
        <v>22161.15</v>
      </c>
      <c r="AC54" s="1337"/>
      <c r="AD54" s="1205">
        <v>22161.15</v>
      </c>
      <c r="AE54" s="1337"/>
      <c r="AF54" s="1205">
        <v>22161.15</v>
      </c>
      <c r="AG54" s="1337"/>
      <c r="AH54" s="1207">
        <v>22161.15</v>
      </c>
      <c r="AI54" s="1337"/>
    </row>
    <row r="55" spans="1:84">
      <c r="A55" s="1823"/>
      <c r="B55" s="600" t="s">
        <v>386</v>
      </c>
      <c r="C55" s="68"/>
      <c r="D55" s="601" t="s">
        <v>756</v>
      </c>
      <c r="E55" s="567">
        <f t="shared" si="4"/>
        <v>4326</v>
      </c>
      <c r="F55" s="567">
        <f t="shared" ref="F55:F63" si="5">E55*12</f>
        <v>51912</v>
      </c>
      <c r="G55" s="568">
        <v>4326</v>
      </c>
      <c r="H55" s="68"/>
      <c r="I55" s="68"/>
      <c r="J55" s="68"/>
      <c r="L55" s="999">
        <v>4328</v>
      </c>
      <c r="M55" s="1005"/>
      <c r="N55" s="1024">
        <v>4328</v>
      </c>
      <c r="O55" s="965"/>
      <c r="P55" s="1205">
        <v>4328</v>
      </c>
      <c r="Q55" s="1337"/>
      <c r="R55" s="1205">
        <v>4328</v>
      </c>
      <c r="S55" s="1337"/>
      <c r="T55" s="1205">
        <v>4326</v>
      </c>
      <c r="U55" s="1337"/>
      <c r="V55" s="1205">
        <f>4326+1877</f>
        <v>6203</v>
      </c>
      <c r="W55" s="1337"/>
      <c r="X55" s="1205">
        <v>4326</v>
      </c>
      <c r="Y55" s="1337"/>
      <c r="Z55" s="1205">
        <v>4326</v>
      </c>
      <c r="AA55" s="1337"/>
      <c r="AB55" s="1205">
        <v>4326</v>
      </c>
      <c r="AC55" s="1337"/>
      <c r="AD55" s="1205">
        <v>4326</v>
      </c>
      <c r="AE55" s="1337"/>
      <c r="AF55" s="1205">
        <v>4326</v>
      </c>
      <c r="AG55" s="1337"/>
      <c r="AH55" s="1207">
        <v>4326</v>
      </c>
      <c r="AI55" s="1337"/>
    </row>
    <row r="56" spans="1:84">
      <c r="A56" s="1823"/>
      <c r="B56" s="600" t="s">
        <v>387</v>
      </c>
      <c r="C56" s="68"/>
      <c r="D56" s="601" t="s">
        <v>388</v>
      </c>
      <c r="E56" s="567">
        <f t="shared" si="4"/>
        <v>20000</v>
      </c>
      <c r="F56" s="567">
        <f t="shared" si="5"/>
        <v>240000</v>
      </c>
      <c r="G56" s="568">
        <v>20000</v>
      </c>
      <c r="H56" s="68"/>
      <c r="I56" s="68"/>
      <c r="J56" s="68"/>
      <c r="L56" s="999">
        <f>16754.81+595</f>
        <v>17349.810000000001</v>
      </c>
      <c r="M56" s="1005"/>
      <c r="N56" s="1024">
        <f>595+84.02</f>
        <v>679.02</v>
      </c>
      <c r="O56" s="965"/>
      <c r="P56" s="1205">
        <f>595+18796.48+369.9+2449</f>
        <v>22210.38</v>
      </c>
      <c r="Q56" s="1337"/>
      <c r="R56" s="1205">
        <f>18639.35+595+7842.9</f>
        <v>27077.25</v>
      </c>
      <c r="S56" s="1337"/>
      <c r="T56" s="1205">
        <f>369.9+18943.37+4762</f>
        <v>24075.27</v>
      </c>
      <c r="U56" s="1337"/>
      <c r="V56" s="1205">
        <f>18667.77+595</f>
        <v>19262.77</v>
      </c>
      <c r="W56" s="1337"/>
      <c r="X56" s="1205">
        <f>18728.26+369.9+595</f>
        <v>19693.16</v>
      </c>
      <c r="Y56" s="1337"/>
      <c r="Z56" s="1205">
        <f>595+18882.66+264.21</f>
        <v>19741.87</v>
      </c>
      <c r="AA56" s="1337"/>
      <c r="AB56" s="1205">
        <v>18862.36</v>
      </c>
      <c r="AC56" s="1337"/>
      <c r="AD56" s="1205">
        <f>19208.15+115.16+5796</f>
        <v>25119.31</v>
      </c>
      <c r="AE56" s="1337"/>
      <c r="AF56" s="1205">
        <f>18757.23</f>
        <v>18757.23</v>
      </c>
      <c r="AG56" s="1337"/>
      <c r="AH56" s="1207">
        <f>18715.89+119</f>
        <v>18834.89</v>
      </c>
      <c r="AI56" s="1337"/>
    </row>
    <row r="57" spans="1:84">
      <c r="A57" s="1823"/>
      <c r="B57" s="600" t="s">
        <v>389</v>
      </c>
      <c r="C57" s="68"/>
      <c r="D57" s="601" t="s">
        <v>390</v>
      </c>
      <c r="E57" s="567">
        <v>30000</v>
      </c>
      <c r="F57" s="567">
        <f t="shared" si="5"/>
        <v>360000</v>
      </c>
      <c r="G57" s="568">
        <v>30000</v>
      </c>
      <c r="H57" s="68"/>
      <c r="I57" s="68"/>
      <c r="J57" s="68"/>
      <c r="L57" s="999">
        <v>12282.6</v>
      </c>
      <c r="M57" s="1005"/>
      <c r="N57" s="1024">
        <f>12939.3+7032.3</f>
        <v>19971.599999999999</v>
      </c>
      <c r="O57" s="965"/>
      <c r="P57" s="1205">
        <f>9563.4+12742.95</f>
        <v>22306.35</v>
      </c>
      <c r="Q57" s="1337"/>
      <c r="R57" s="1205">
        <f>6873.9+3516.15</f>
        <v>10390.049999999999</v>
      </c>
      <c r="S57" s="1337"/>
      <c r="T57" s="1205">
        <f>4313.1+3984.75</f>
        <v>8297.85</v>
      </c>
      <c r="U57" s="1337"/>
      <c r="W57" s="1337"/>
      <c r="Y57" s="1337"/>
      <c r="AA57" s="1337"/>
      <c r="AC57" s="1337"/>
      <c r="AE57" s="1337"/>
      <c r="AG57" s="1337"/>
      <c r="AI57" s="1337"/>
    </row>
    <row r="58" spans="1:84">
      <c r="A58" s="1823"/>
      <c r="B58" s="600" t="s">
        <v>389</v>
      </c>
      <c r="C58" s="68"/>
      <c r="D58" s="601" t="s">
        <v>1102</v>
      </c>
      <c r="E58" s="567"/>
      <c r="F58" s="567"/>
      <c r="G58" s="568"/>
      <c r="H58" s="68"/>
      <c r="I58" s="68"/>
      <c r="J58" s="68"/>
      <c r="M58" s="1005"/>
      <c r="O58" s="965"/>
      <c r="Q58" s="1337"/>
      <c r="S58" s="1337"/>
      <c r="U58" s="1337"/>
      <c r="V58" s="1205">
        <v>16915</v>
      </c>
      <c r="W58" s="1337"/>
      <c r="X58" s="1205">
        <v>24139.63</v>
      </c>
      <c r="Y58" s="1337"/>
      <c r="Z58" s="1205">
        <f>20970+620</f>
        <v>21590</v>
      </c>
      <c r="AA58" s="1337"/>
      <c r="AB58" s="1205">
        <v>15090</v>
      </c>
      <c r="AC58" s="1337"/>
      <c r="AD58" s="1205">
        <v>21270</v>
      </c>
      <c r="AE58" s="1337"/>
      <c r="AF58" s="1205">
        <v>11680</v>
      </c>
      <c r="AG58" s="1337"/>
      <c r="AH58" s="1207">
        <v>18625</v>
      </c>
      <c r="AI58" s="1337"/>
    </row>
    <row r="59" spans="1:84" ht="13.8" thickBot="1">
      <c r="A59" s="1823"/>
      <c r="B59" s="600" t="s">
        <v>374</v>
      </c>
      <c r="C59" s="68"/>
      <c r="D59" s="601"/>
      <c r="E59" s="567">
        <f>G59</f>
        <v>6000</v>
      </c>
      <c r="F59" s="567">
        <f t="shared" si="5"/>
        <v>72000</v>
      </c>
      <c r="G59" s="568">
        <v>6000</v>
      </c>
      <c r="H59" s="68"/>
      <c r="I59" s="68"/>
      <c r="J59" s="68"/>
      <c r="L59" s="1008">
        <f>2000+778</f>
        <v>2778</v>
      </c>
      <c r="M59" s="1005"/>
      <c r="N59" s="1024">
        <f>1580+778</f>
        <v>2358</v>
      </c>
      <c r="O59" s="965"/>
      <c r="P59" s="1205">
        <f>1580+778</f>
        <v>2358</v>
      </c>
      <c r="Q59" s="1337"/>
      <c r="R59" s="1205">
        <f>778+650+1730</f>
        <v>3158</v>
      </c>
      <c r="S59" s="1337"/>
      <c r="T59" s="1205">
        <f>1892+650</f>
        <v>2542</v>
      </c>
      <c r="U59" s="1337"/>
      <c r="V59" s="1205">
        <f>1730+650</f>
        <v>2380</v>
      </c>
      <c r="W59" s="1337"/>
      <c r="X59" s="1205">
        <f>661.4</f>
        <v>661.4</v>
      </c>
      <c r="Y59" s="1337"/>
      <c r="Z59" s="1205">
        <f>11.4+662.25</f>
        <v>673.65</v>
      </c>
      <c r="AA59" s="1337"/>
      <c r="AB59" s="1205">
        <f>1550+11.4+657</f>
        <v>2218.4</v>
      </c>
      <c r="AC59" s="1337"/>
      <c r="AD59" s="1205">
        <f>1550+11.4+680</f>
        <v>2241.4</v>
      </c>
      <c r="AE59" s="1337"/>
      <c r="AF59" s="1205">
        <f>1100</f>
        <v>1100</v>
      </c>
      <c r="AG59" s="1337"/>
      <c r="AH59" s="1207">
        <v>1125</v>
      </c>
      <c r="AI59" s="1337"/>
    </row>
    <row r="60" spans="1:84" s="87" customFormat="1" ht="13.95" customHeight="1">
      <c r="A60" s="1823"/>
      <c r="B60" s="600" t="s">
        <v>391</v>
      </c>
      <c r="C60" s="68"/>
      <c r="D60" s="601" t="s">
        <v>392</v>
      </c>
      <c r="E60" s="567">
        <f>G60</f>
        <v>5000</v>
      </c>
      <c r="F60" s="567">
        <f t="shared" si="5"/>
        <v>60000</v>
      </c>
      <c r="G60" s="568">
        <v>5000</v>
      </c>
      <c r="H60" s="68"/>
      <c r="I60" s="68"/>
      <c r="J60" s="68"/>
      <c r="K60" s="993"/>
      <c r="L60" s="999">
        <v>5000</v>
      </c>
      <c r="M60" s="1005"/>
      <c r="N60" s="1024">
        <v>5000</v>
      </c>
      <c r="O60" s="965"/>
      <c r="P60" s="1205">
        <v>3000</v>
      </c>
      <c r="Q60" s="1337"/>
      <c r="R60" s="1205">
        <v>6000</v>
      </c>
      <c r="S60" s="1337"/>
      <c r="T60" s="1205">
        <f>2500+3000</f>
        <v>5500</v>
      </c>
      <c r="U60" s="1337"/>
      <c r="V60" s="1205">
        <v>3000</v>
      </c>
      <c r="W60" s="1337"/>
      <c r="X60" s="1205">
        <v>3000</v>
      </c>
      <c r="Y60" s="1337"/>
      <c r="Z60" s="1205">
        <v>2500</v>
      </c>
      <c r="AA60" s="1337"/>
      <c r="AB60" s="1205">
        <v>6000</v>
      </c>
      <c r="AC60" s="1337"/>
      <c r="AD60" s="1205">
        <v>3500</v>
      </c>
      <c r="AE60" s="1337"/>
      <c r="AF60" s="1205">
        <v>3000</v>
      </c>
      <c r="AG60" s="1337"/>
      <c r="AH60" s="1207">
        <v>3000</v>
      </c>
      <c r="AI60" s="1337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</row>
    <row r="61" spans="1:84">
      <c r="A61" s="1823"/>
      <c r="B61" s="600"/>
      <c r="C61" s="68"/>
      <c r="D61" s="601"/>
      <c r="E61" s="567">
        <f>G61</f>
        <v>36000</v>
      </c>
      <c r="F61" s="567">
        <f t="shared" si="5"/>
        <v>432000</v>
      </c>
      <c r="G61" s="568">
        <v>36000</v>
      </c>
      <c r="H61" s="68"/>
      <c r="I61" s="68"/>
      <c r="J61" s="68"/>
      <c r="L61" s="999">
        <v>0</v>
      </c>
      <c r="M61" s="1005"/>
      <c r="N61" s="1024">
        <v>0</v>
      </c>
      <c r="O61" s="965"/>
      <c r="P61" s="1205">
        <v>0</v>
      </c>
      <c r="Q61" s="1337"/>
      <c r="R61" s="1205">
        <v>0</v>
      </c>
      <c r="S61" s="1337"/>
      <c r="T61" s="1205">
        <v>0</v>
      </c>
      <c r="U61" s="1337"/>
      <c r="V61" s="1205">
        <v>0</v>
      </c>
      <c r="W61" s="1337"/>
      <c r="X61" s="1205">
        <v>0</v>
      </c>
      <c r="Y61" s="1337"/>
      <c r="Z61" s="1205">
        <v>0</v>
      </c>
      <c r="AA61" s="1337"/>
      <c r="AB61" s="1205">
        <v>0</v>
      </c>
      <c r="AC61" s="1337"/>
      <c r="AD61" s="1205">
        <v>0</v>
      </c>
      <c r="AE61" s="1337"/>
      <c r="AF61" s="1205">
        <v>0</v>
      </c>
      <c r="AG61" s="1337"/>
      <c r="AH61" s="1205">
        <v>0</v>
      </c>
      <c r="AI61" s="1337"/>
    </row>
    <row r="62" spans="1:84">
      <c r="A62" s="1823"/>
      <c r="B62" s="600" t="s">
        <v>424</v>
      </c>
      <c r="C62" s="68"/>
      <c r="D62" s="601" t="s">
        <v>393</v>
      </c>
      <c r="E62" s="567">
        <f>G62</f>
        <v>3000</v>
      </c>
      <c r="F62" s="567">
        <f t="shared" si="5"/>
        <v>36000</v>
      </c>
      <c r="G62" s="568">
        <v>3000</v>
      </c>
      <c r="H62" s="68"/>
      <c r="I62" s="68"/>
      <c r="J62" s="68"/>
      <c r="L62" s="999">
        <v>90.5</v>
      </c>
      <c r="M62" s="1005"/>
      <c r="N62" s="1024">
        <f>317+1174</f>
        <v>1491</v>
      </c>
      <c r="O62" s="965"/>
      <c r="P62" s="1205">
        <v>2024.32</v>
      </c>
      <c r="Q62" s="1337"/>
      <c r="R62" s="1205">
        <v>0</v>
      </c>
      <c r="S62" s="1337"/>
      <c r="T62" s="1205">
        <v>0</v>
      </c>
      <c r="U62" s="1337"/>
      <c r="V62" s="1205">
        <v>0</v>
      </c>
      <c r="W62" s="1337"/>
      <c r="X62" s="1205">
        <v>0</v>
      </c>
      <c r="Y62" s="1337"/>
      <c r="Z62" s="1205">
        <v>0</v>
      </c>
      <c r="AA62" s="1337"/>
      <c r="AB62" s="1205">
        <v>500</v>
      </c>
      <c r="AC62" s="1337"/>
      <c r="AD62" s="1205">
        <v>500</v>
      </c>
      <c r="AE62" s="1337"/>
      <c r="AF62" s="1205">
        <v>0</v>
      </c>
      <c r="AG62" s="1337"/>
      <c r="AH62" s="1205">
        <v>0</v>
      </c>
      <c r="AI62" s="1337"/>
    </row>
    <row r="63" spans="1:84" ht="13.8" thickBot="1">
      <c r="A63" s="1823"/>
      <c r="B63" s="600" t="s">
        <v>758</v>
      </c>
      <c r="C63" s="68"/>
      <c r="D63" s="601" t="s">
        <v>394</v>
      </c>
      <c r="E63" s="567">
        <f>G63</f>
        <v>30000</v>
      </c>
      <c r="F63" s="567">
        <f t="shared" si="5"/>
        <v>360000</v>
      </c>
      <c r="G63" s="568">
        <v>30000</v>
      </c>
      <c r="H63" s="68"/>
      <c r="I63" s="68"/>
      <c r="J63" s="68"/>
      <c r="L63" s="999">
        <v>25706.99</v>
      </c>
      <c r="M63" s="1005"/>
      <c r="N63" s="1024">
        <f>6568+21464.85</f>
        <v>28032.85</v>
      </c>
      <c r="O63" s="965"/>
      <c r="P63" s="1205">
        <f>4519.5+27981.79</f>
        <v>32501.29</v>
      </c>
      <c r="Q63" s="1337"/>
      <c r="R63" s="1205">
        <f>20718+11580</f>
        <v>32298</v>
      </c>
      <c r="S63" s="1337"/>
      <c r="T63" s="1205">
        <f>25078.5+6061.64</f>
        <v>31140.14</v>
      </c>
      <c r="U63" s="1337"/>
      <c r="V63" s="1205">
        <f>4070.84+15691.17+3915</f>
        <v>23677.010000000002</v>
      </c>
      <c r="W63" s="1337"/>
      <c r="X63" s="1205">
        <f>20548.8+5000+10158.52</f>
        <v>35707.32</v>
      </c>
      <c r="Y63" s="1337"/>
      <c r="Z63" s="1205">
        <v>34501.440000000002</v>
      </c>
      <c r="AA63" s="1337"/>
      <c r="AB63" s="1205">
        <f>700+9797.74</f>
        <v>10497.74</v>
      </c>
      <c r="AC63" s="1337"/>
      <c r="AD63" s="1205">
        <v>35027.99</v>
      </c>
      <c r="AE63" s="1337"/>
      <c r="AF63" s="1205">
        <f>6619+32704.82</f>
        <v>39323.82</v>
      </c>
      <c r="AG63" s="1337"/>
      <c r="AI63" s="1337"/>
    </row>
    <row r="64" spans="1:84" s="588" customFormat="1" ht="13.8" thickBot="1">
      <c r="A64" s="1824"/>
      <c r="B64" s="605" t="s">
        <v>757</v>
      </c>
      <c r="C64" s="580"/>
      <c r="D64" s="606" t="s">
        <v>394</v>
      </c>
      <c r="E64" s="581">
        <v>0</v>
      </c>
      <c r="F64" s="581">
        <v>0</v>
      </c>
      <c r="G64" s="582">
        <v>0</v>
      </c>
      <c r="H64" s="580"/>
      <c r="I64" s="580"/>
      <c r="J64" s="580"/>
      <c r="K64" s="996"/>
      <c r="L64" s="1006"/>
      <c r="M64" s="1007"/>
      <c r="N64" s="1203">
        <v>51250</v>
      </c>
      <c r="O64" s="966"/>
      <c r="P64" s="1208">
        <v>31500</v>
      </c>
      <c r="Q64" s="1338"/>
      <c r="R64" s="1208">
        <v>31500</v>
      </c>
      <c r="S64" s="1338"/>
      <c r="T64" s="1208">
        <v>27750</v>
      </c>
      <c r="U64" s="1338"/>
      <c r="V64" s="1208">
        <v>25700</v>
      </c>
      <c r="W64" s="1338"/>
      <c r="X64" s="1208">
        <v>27750</v>
      </c>
      <c r="Y64" s="1338"/>
      <c r="Z64" s="1208">
        <v>27750</v>
      </c>
      <c r="AA64" s="1338"/>
      <c r="AB64" s="1208">
        <v>29750</v>
      </c>
      <c r="AC64" s="1338"/>
      <c r="AD64" s="1208">
        <v>27750</v>
      </c>
      <c r="AE64" s="1338"/>
      <c r="AF64" s="1208">
        <v>29750</v>
      </c>
      <c r="AG64" s="1338"/>
      <c r="AH64" s="1654">
        <v>27005</v>
      </c>
      <c r="AI64" s="1338"/>
      <c r="AJ64" s="584"/>
      <c r="AK64" s="584"/>
      <c r="AL64" s="584"/>
      <c r="AM64" s="584"/>
      <c r="AN64" s="584"/>
      <c r="AO64" s="584"/>
      <c r="AP64" s="584"/>
      <c r="AQ64" s="584"/>
      <c r="AR64" s="584"/>
      <c r="AS64" s="584"/>
      <c r="AT64" s="584"/>
      <c r="AU64" s="584"/>
      <c r="AV64" s="584"/>
      <c r="AW64" s="584"/>
      <c r="AX64" s="584"/>
      <c r="AY64" s="584"/>
      <c r="AZ64" s="584"/>
      <c r="BA64" s="584"/>
      <c r="BB64" s="584"/>
      <c r="BC64" s="584"/>
      <c r="BD64" s="584"/>
      <c r="BE64" s="584"/>
      <c r="BF64" s="584"/>
      <c r="BG64" s="584"/>
      <c r="BH64" s="584"/>
      <c r="BI64" s="584"/>
      <c r="BJ64" s="584"/>
      <c r="BK64" s="584"/>
      <c r="BL64" s="584"/>
      <c r="BM64" s="584"/>
      <c r="BN64" s="584"/>
      <c r="BO64" s="584"/>
      <c r="BP64" s="584"/>
      <c r="BQ64" s="584"/>
      <c r="BR64" s="584"/>
      <c r="BS64" s="584"/>
      <c r="BT64" s="584"/>
      <c r="BU64" s="584"/>
      <c r="BV64" s="584"/>
      <c r="BW64" s="584"/>
      <c r="BX64" s="584"/>
      <c r="BY64" s="584"/>
      <c r="BZ64" s="584"/>
      <c r="CA64" s="584"/>
      <c r="CB64" s="584"/>
      <c r="CC64" s="584"/>
      <c r="CD64" s="584"/>
      <c r="CE64" s="584"/>
      <c r="CF64" s="584"/>
    </row>
    <row r="65" spans="1:35" s="579" customFormat="1" ht="26.4">
      <c r="A65" s="1831" t="s">
        <v>177</v>
      </c>
      <c r="B65" s="598" t="s">
        <v>395</v>
      </c>
      <c r="C65" s="576"/>
      <c r="D65" s="599" t="s">
        <v>396</v>
      </c>
      <c r="E65" s="577">
        <f>G65</f>
        <v>350000</v>
      </c>
      <c r="F65" s="577">
        <f>E65*12</f>
        <v>4200000</v>
      </c>
      <c r="G65" s="578">
        <v>350000</v>
      </c>
      <c r="H65" s="576"/>
      <c r="I65" s="576"/>
      <c r="J65" s="576"/>
      <c r="K65" s="995">
        <f>SUM(G65:G81)</f>
        <v>359200</v>
      </c>
      <c r="L65" s="1003">
        <v>0</v>
      </c>
      <c r="M65" s="1004">
        <f>SUM(L65:L81)</f>
        <v>275506</v>
      </c>
      <c r="N65" s="1202">
        <v>117600</v>
      </c>
      <c r="O65" s="964">
        <f>SUM(N65:N81)</f>
        <v>456478.08</v>
      </c>
      <c r="P65" s="1209">
        <f>99600+18000</f>
        <v>117600</v>
      </c>
      <c r="Q65" s="1336">
        <f>SUM(P65:P81)</f>
        <v>442465.03</v>
      </c>
      <c r="R65" s="1209">
        <f>99600+18000</f>
        <v>117600</v>
      </c>
      <c r="S65" s="1336">
        <f>SUM(R65:R81)</f>
        <v>438348.99</v>
      </c>
      <c r="T65" s="1209">
        <v>99600</v>
      </c>
      <c r="U65" s="1336">
        <f>SUM(T65:T81)</f>
        <v>531254.80000000005</v>
      </c>
      <c r="V65" s="1209">
        <v>99600</v>
      </c>
      <c r="W65" s="1336">
        <f>SUM(V65:V81)</f>
        <v>331854.89999999997</v>
      </c>
      <c r="X65" s="1209">
        <v>99600</v>
      </c>
      <c r="Y65" s="1336">
        <f>SUM(X65:X81)</f>
        <v>274269.75</v>
      </c>
      <c r="Z65" s="1209">
        <f>100800</f>
        <v>100800</v>
      </c>
      <c r="AA65" s="1336">
        <f>SUM(Z65:Z81)</f>
        <v>291764.95</v>
      </c>
      <c r="AB65" s="1209">
        <f>100800</f>
        <v>100800</v>
      </c>
      <c r="AC65" s="1336">
        <f>SUM(AB65:AB81)</f>
        <v>335755.31</v>
      </c>
      <c r="AD65" s="1209">
        <f>100800</f>
        <v>100800</v>
      </c>
      <c r="AE65" s="1336">
        <f>SUM(AD65:AD81)</f>
        <v>372266.93000000005</v>
      </c>
      <c r="AF65" s="1209">
        <v>102620.89</v>
      </c>
      <c r="AG65" s="1336">
        <f>SUM(AF65:AF81)</f>
        <v>419277.35000000003</v>
      </c>
      <c r="AH65" s="1656">
        <v>102771.84</v>
      </c>
      <c r="AI65" s="1336">
        <f>SUM(AH65:AH81)</f>
        <v>290575.54000000004</v>
      </c>
    </row>
    <row r="66" spans="1:35" ht="26.4">
      <c r="A66" s="1832"/>
      <c r="B66" s="600"/>
      <c r="C66" s="68"/>
      <c r="D66" s="601" t="s">
        <v>759</v>
      </c>
      <c r="E66" s="567">
        <f>G66</f>
        <v>9200</v>
      </c>
      <c r="F66" s="567">
        <f>E66*12</f>
        <v>110400</v>
      </c>
      <c r="G66" s="568">
        <v>9200</v>
      </c>
      <c r="H66" s="68"/>
      <c r="I66" s="68"/>
      <c r="J66" s="68"/>
      <c r="L66" s="999">
        <v>81600</v>
      </c>
      <c r="M66" s="1005"/>
      <c r="N66" s="1024">
        <v>25760</v>
      </c>
      <c r="O66" s="965"/>
      <c r="P66" s="1205">
        <v>12880</v>
      </c>
      <c r="Q66" s="1337"/>
      <c r="R66" s="1205">
        <v>12880</v>
      </c>
      <c r="S66" s="1337"/>
      <c r="T66" s="1205">
        <v>12880</v>
      </c>
      <c r="U66" s="1337"/>
      <c r="V66" s="1205">
        <v>12880</v>
      </c>
      <c r="W66" s="1337"/>
      <c r="X66" s="1205">
        <v>12880</v>
      </c>
      <c r="Y66" s="1337"/>
      <c r="Z66" s="1205">
        <v>12880</v>
      </c>
      <c r="AA66" s="1337"/>
      <c r="AB66" s="1205">
        <v>12880</v>
      </c>
      <c r="AC66" s="1337"/>
      <c r="AD66" s="1205">
        <v>12880</v>
      </c>
      <c r="AE66" s="1337"/>
      <c r="AF66" s="1205">
        <v>12880</v>
      </c>
      <c r="AG66" s="1337"/>
      <c r="AH66" s="1207">
        <v>12880</v>
      </c>
      <c r="AI66" s="1337"/>
    </row>
    <row r="67" spans="1:35">
      <c r="A67" s="1832"/>
      <c r="B67" s="600"/>
      <c r="C67" s="68" t="s">
        <v>1077</v>
      </c>
      <c r="D67" s="601" t="s">
        <v>1076</v>
      </c>
      <c r="E67" s="567"/>
      <c r="F67" s="567"/>
      <c r="G67" s="568"/>
      <c r="H67" s="68"/>
      <c r="I67" s="68"/>
      <c r="J67" s="68"/>
      <c r="M67" s="1005"/>
      <c r="O67" s="965"/>
      <c r="Q67" s="1337"/>
      <c r="S67" s="1337"/>
      <c r="T67" s="1205">
        <f>10455+7916.95</f>
        <v>18371.95</v>
      </c>
      <c r="U67" s="1337"/>
      <c r="V67" s="1205">
        <v>7916.95</v>
      </c>
      <c r="W67" s="1337"/>
      <c r="X67" s="1205">
        <v>7916.95</v>
      </c>
      <c r="Y67" s="1337"/>
      <c r="Z67" s="1205">
        <v>7916.95</v>
      </c>
      <c r="AA67" s="1337"/>
      <c r="AB67" s="1205">
        <v>7916.95</v>
      </c>
      <c r="AC67" s="1337"/>
      <c r="AD67" s="1205">
        <v>7916.95</v>
      </c>
      <c r="AE67" s="1337"/>
      <c r="AF67" s="1205">
        <v>7916.95</v>
      </c>
      <c r="AG67" s="1337"/>
      <c r="AH67" s="1207">
        <v>7916.95</v>
      </c>
      <c r="AI67" s="1337"/>
    </row>
    <row r="68" spans="1:35" ht="27" customHeight="1">
      <c r="A68" s="1832"/>
      <c r="B68" s="600"/>
      <c r="C68" s="68" t="s">
        <v>939</v>
      </c>
      <c r="D68" s="601" t="s">
        <v>934</v>
      </c>
      <c r="E68" s="567">
        <f>G68</f>
        <v>0</v>
      </c>
      <c r="F68" s="567">
        <f>E68*12</f>
        <v>0</v>
      </c>
      <c r="G68" s="568">
        <v>0</v>
      </c>
      <c r="H68" s="68"/>
      <c r="I68" s="68"/>
      <c r="J68" s="68"/>
      <c r="L68" s="999">
        <v>157218</v>
      </c>
      <c r="M68" s="1005"/>
      <c r="N68" s="1024">
        <v>196017.5</v>
      </c>
      <c r="O68" s="965"/>
      <c r="P68" s="1205">
        <v>202012.91</v>
      </c>
      <c r="Q68" s="1337"/>
      <c r="R68" s="1205">
        <v>160681.5</v>
      </c>
      <c r="S68" s="1337"/>
      <c r="T68" s="1205">
        <v>290086.13</v>
      </c>
      <c r="U68" s="1337"/>
      <c r="V68" s="1205">
        <v>143065.15</v>
      </c>
      <c r="W68" s="1337"/>
      <c r="X68" s="1205">
        <v>80850</v>
      </c>
      <c r="Y68" s="1337"/>
      <c r="Z68" s="1205">
        <v>87204</v>
      </c>
      <c r="AA68" s="1337"/>
      <c r="AB68" s="1205">
        <v>66281.25</v>
      </c>
      <c r="AC68" s="1337"/>
      <c r="AD68" s="1205">
        <v>60000</v>
      </c>
      <c r="AE68" s="1337"/>
      <c r="AF68" s="1205">
        <f>168361.9-AD68+33380.9</f>
        <v>141742.79999999999</v>
      </c>
      <c r="AG68" s="1337"/>
      <c r="AH68" s="1207">
        <v>33380.9</v>
      </c>
      <c r="AI68" s="1337"/>
    </row>
    <row r="69" spans="1:35" ht="27" customHeight="1">
      <c r="A69" s="1832"/>
      <c r="B69" s="600"/>
      <c r="C69" s="68" t="s">
        <v>941</v>
      </c>
      <c r="D69" s="601"/>
      <c r="E69" s="567"/>
      <c r="F69" s="567"/>
      <c r="G69" s="568"/>
      <c r="H69" s="68"/>
      <c r="I69" s="68"/>
      <c r="J69" s="68"/>
      <c r="L69" s="999">
        <v>3800</v>
      </c>
      <c r="M69" s="1005"/>
      <c r="N69" s="1024">
        <v>0</v>
      </c>
      <c r="O69" s="965"/>
      <c r="P69" s="1205">
        <v>0</v>
      </c>
      <c r="Q69" s="1337"/>
      <c r="R69" s="1205">
        <v>0</v>
      </c>
      <c r="S69" s="1337"/>
      <c r="T69" s="1205">
        <v>0</v>
      </c>
      <c r="U69" s="1337"/>
      <c r="V69" s="1205">
        <v>0</v>
      </c>
      <c r="W69" s="1337"/>
      <c r="X69" s="1205">
        <v>0</v>
      </c>
      <c r="Y69" s="1337"/>
      <c r="Z69" s="1205">
        <v>0</v>
      </c>
      <c r="AA69" s="1337"/>
      <c r="AB69" s="1205">
        <v>0</v>
      </c>
      <c r="AC69" s="1337"/>
      <c r="AD69" s="1205">
        <v>0</v>
      </c>
      <c r="AE69" s="1337"/>
      <c r="AF69" s="1205">
        <v>0</v>
      </c>
      <c r="AG69" s="1337"/>
      <c r="AH69" s="1205">
        <v>0</v>
      </c>
      <c r="AI69" s="1337"/>
    </row>
    <row r="70" spans="1:35" ht="27" customHeight="1">
      <c r="A70" s="1832"/>
      <c r="B70" s="600" t="s">
        <v>1197</v>
      </c>
      <c r="C70" s="68"/>
      <c r="D70" s="601" t="s">
        <v>1198</v>
      </c>
      <c r="E70" s="567"/>
      <c r="F70" s="567"/>
      <c r="G70" s="568"/>
      <c r="H70" s="68"/>
      <c r="I70" s="68"/>
      <c r="J70" s="68"/>
      <c r="M70" s="1005"/>
      <c r="O70" s="965"/>
      <c r="Q70" s="1337"/>
      <c r="S70" s="1337"/>
      <c r="U70" s="1337"/>
      <c r="W70" s="1337"/>
      <c r="Y70" s="1337"/>
      <c r="AA70" s="1337"/>
      <c r="AC70" s="1337"/>
      <c r="AD70" s="1205">
        <v>3000</v>
      </c>
      <c r="AE70" s="1337"/>
      <c r="AF70" s="1205">
        <v>0</v>
      </c>
      <c r="AG70" s="1337"/>
      <c r="AH70" s="1205">
        <v>0</v>
      </c>
      <c r="AI70" s="1337"/>
    </row>
    <row r="71" spans="1:35" ht="27" customHeight="1">
      <c r="A71" s="1832"/>
      <c r="B71" s="600" t="s">
        <v>1201</v>
      </c>
      <c r="C71" s="68" t="s">
        <v>1203</v>
      </c>
      <c r="D71" s="601" t="s">
        <v>1202</v>
      </c>
      <c r="E71" s="567"/>
      <c r="F71" s="567"/>
      <c r="G71" s="568"/>
      <c r="H71" s="68"/>
      <c r="I71" s="68"/>
      <c r="J71" s="68"/>
      <c r="M71" s="1005"/>
      <c r="O71" s="965"/>
      <c r="Q71" s="1337"/>
      <c r="S71" s="1337"/>
      <c r="U71" s="1337"/>
      <c r="W71" s="1337"/>
      <c r="Y71" s="1337"/>
      <c r="AA71" s="1337"/>
      <c r="AC71" s="1337"/>
      <c r="AE71" s="1337"/>
      <c r="AF71" s="1205">
        <v>24288</v>
      </c>
      <c r="AG71" s="1337"/>
      <c r="AH71" s="1207">
        <v>3921.45</v>
      </c>
      <c r="AI71" s="1337"/>
    </row>
    <row r="72" spans="1:35" ht="27" customHeight="1">
      <c r="A72" s="1832"/>
      <c r="B72" s="600"/>
      <c r="C72" s="68"/>
      <c r="D72" s="601" t="s">
        <v>1055</v>
      </c>
      <c r="E72" s="567"/>
      <c r="F72" s="567"/>
      <c r="G72" s="568"/>
      <c r="H72" s="68"/>
      <c r="I72" s="68"/>
      <c r="J72" s="68"/>
      <c r="M72" s="1005"/>
      <c r="O72" s="965"/>
      <c r="Q72" s="1337"/>
      <c r="R72" s="1205">
        <v>3395.99</v>
      </c>
      <c r="S72" s="1337"/>
      <c r="U72" s="1337"/>
      <c r="W72" s="1337"/>
      <c r="Y72" s="1337"/>
      <c r="AA72" s="1337"/>
      <c r="AC72" s="1337"/>
      <c r="AD72" s="1205">
        <v>25039.58</v>
      </c>
      <c r="AE72" s="1337"/>
      <c r="AF72" s="1205">
        <v>9805.73</v>
      </c>
      <c r="AG72" s="1337"/>
      <c r="AH72" s="1205">
        <v>0</v>
      </c>
      <c r="AI72" s="1337"/>
    </row>
    <row r="73" spans="1:35" ht="27" customHeight="1">
      <c r="A73" s="1832"/>
      <c r="B73" s="600" t="s">
        <v>1200</v>
      </c>
      <c r="C73" s="68"/>
      <c r="D73" s="601" t="s">
        <v>1199</v>
      </c>
      <c r="E73" s="567"/>
      <c r="F73" s="567"/>
      <c r="G73" s="568"/>
      <c r="H73" s="68"/>
      <c r="I73" s="68"/>
      <c r="J73" s="68"/>
      <c r="M73" s="1005"/>
      <c r="O73" s="965"/>
      <c r="Q73" s="1337"/>
      <c r="S73" s="1337"/>
      <c r="U73" s="1337"/>
      <c r="W73" s="1337"/>
      <c r="Y73" s="1337"/>
      <c r="AA73" s="1337"/>
      <c r="AC73" s="1337"/>
      <c r="AD73" s="1205">
        <v>55952</v>
      </c>
      <c r="AE73" s="1337"/>
      <c r="AF73" s="1205">
        <v>0</v>
      </c>
      <c r="AG73" s="1337"/>
      <c r="AH73" s="1205">
        <v>0</v>
      </c>
      <c r="AI73" s="1337"/>
    </row>
    <row r="74" spans="1:35" ht="27" customHeight="1">
      <c r="A74" s="1832"/>
      <c r="B74" s="600" t="s">
        <v>1121</v>
      </c>
      <c r="C74" s="68"/>
      <c r="D74" s="601" t="s">
        <v>1120</v>
      </c>
      <c r="E74" s="567"/>
      <c r="F74" s="567"/>
      <c r="G74" s="568"/>
      <c r="H74" s="68"/>
      <c r="I74" s="68"/>
      <c r="J74" s="68"/>
      <c r="M74" s="1005"/>
      <c r="O74" s="965"/>
      <c r="Q74" s="1337"/>
      <c r="S74" s="1337"/>
      <c r="U74" s="1337"/>
      <c r="W74" s="1337"/>
      <c r="X74" s="1205">
        <v>4000</v>
      </c>
      <c r="Y74" s="1337"/>
      <c r="Z74" s="1205">
        <v>10800</v>
      </c>
      <c r="AA74" s="1337"/>
      <c r="AC74" s="1337"/>
      <c r="AE74" s="1337"/>
      <c r="AG74" s="1337"/>
      <c r="AI74" s="1337"/>
    </row>
    <row r="75" spans="1:35" ht="27" customHeight="1">
      <c r="A75" s="1832"/>
      <c r="B75" s="600"/>
      <c r="C75" s="68"/>
      <c r="D75" s="601" t="s">
        <v>1084</v>
      </c>
      <c r="E75" s="567"/>
      <c r="F75" s="567"/>
      <c r="G75" s="568"/>
      <c r="H75" s="68"/>
      <c r="I75" s="68"/>
      <c r="J75" s="68"/>
      <c r="M75" s="1005"/>
      <c r="O75" s="965"/>
      <c r="Q75" s="1337"/>
      <c r="S75" s="1337"/>
      <c r="T75" s="1205">
        <v>7719.36</v>
      </c>
      <c r="U75" s="1337"/>
      <c r="V75" s="1205">
        <v>0</v>
      </c>
      <c r="W75" s="1337"/>
      <c r="X75" s="1205">
        <v>0</v>
      </c>
      <c r="Y75" s="1337"/>
      <c r="Z75" s="1205">
        <v>0</v>
      </c>
      <c r="AA75" s="1337"/>
      <c r="AB75" s="1205">
        <v>0</v>
      </c>
      <c r="AC75" s="1337"/>
      <c r="AD75" s="1205">
        <v>0</v>
      </c>
      <c r="AE75" s="1337"/>
      <c r="AF75" s="1205">
        <v>0</v>
      </c>
      <c r="AG75" s="1337"/>
      <c r="AH75" s="1205">
        <v>0</v>
      </c>
      <c r="AI75" s="1337"/>
    </row>
    <row r="76" spans="1:35" ht="27" customHeight="1">
      <c r="A76" s="1832"/>
      <c r="B76" s="600"/>
      <c r="C76" s="68"/>
      <c r="D76" s="601" t="s">
        <v>1047</v>
      </c>
      <c r="E76" s="567"/>
      <c r="F76" s="567"/>
      <c r="G76" s="568"/>
      <c r="H76" s="68"/>
      <c r="I76" s="68"/>
      <c r="J76" s="68"/>
      <c r="M76" s="1005"/>
      <c r="O76" s="965"/>
      <c r="P76" s="1205">
        <v>17500</v>
      </c>
      <c r="Q76" s="1337"/>
      <c r="R76" s="1205">
        <v>0</v>
      </c>
      <c r="S76" s="1337"/>
      <c r="T76" s="1205">
        <v>0</v>
      </c>
      <c r="U76" s="1337"/>
      <c r="V76" s="1205">
        <v>0</v>
      </c>
      <c r="W76" s="1337"/>
      <c r="X76" s="1205">
        <v>0</v>
      </c>
      <c r="Y76" s="1337"/>
      <c r="Z76" s="1205">
        <v>0</v>
      </c>
      <c r="AA76" s="1337"/>
      <c r="AB76" s="1205">
        <v>0</v>
      </c>
      <c r="AC76" s="1337"/>
      <c r="AD76" s="1205">
        <v>0</v>
      </c>
      <c r="AE76" s="1337"/>
      <c r="AF76" s="1205">
        <v>0</v>
      </c>
      <c r="AG76" s="1337"/>
      <c r="AH76" s="1205">
        <v>0</v>
      </c>
      <c r="AI76" s="1337"/>
    </row>
    <row r="77" spans="1:35">
      <c r="A77" s="1832"/>
      <c r="B77" s="600"/>
      <c r="C77" s="68" t="s">
        <v>936</v>
      </c>
      <c r="D77" s="601" t="s">
        <v>935</v>
      </c>
      <c r="E77" s="567">
        <f>G77</f>
        <v>0</v>
      </c>
      <c r="F77" s="567">
        <f>E77*12</f>
        <v>0</v>
      </c>
      <c r="G77" s="568">
        <v>0</v>
      </c>
      <c r="H77" s="68"/>
      <c r="I77" s="68"/>
      <c r="J77" s="68"/>
      <c r="L77" s="999">
        <v>11300</v>
      </c>
      <c r="M77" s="1005"/>
      <c r="N77" s="1024">
        <v>559</v>
      </c>
      <c r="O77" s="965"/>
      <c r="P77" s="1205">
        <v>0</v>
      </c>
      <c r="Q77" s="1337"/>
      <c r="R77" s="1205">
        <v>0</v>
      </c>
      <c r="S77" s="1337"/>
      <c r="T77" s="1205">
        <v>0</v>
      </c>
      <c r="U77" s="1337"/>
      <c r="V77" s="1205">
        <v>0</v>
      </c>
      <c r="W77" s="1337"/>
      <c r="X77" s="1205">
        <v>0</v>
      </c>
      <c r="Y77" s="1337"/>
      <c r="Z77" s="1205">
        <v>0</v>
      </c>
      <c r="AA77" s="1337"/>
      <c r="AB77" s="1205">
        <v>0</v>
      </c>
      <c r="AC77" s="1337"/>
      <c r="AD77" s="1205">
        <v>0</v>
      </c>
      <c r="AE77" s="1337"/>
      <c r="AF77" s="1205">
        <v>0</v>
      </c>
      <c r="AG77" s="1337"/>
      <c r="AH77" s="1205">
        <v>0</v>
      </c>
      <c r="AI77" s="1337"/>
    </row>
    <row r="78" spans="1:35">
      <c r="A78" s="1832"/>
      <c r="B78" s="600"/>
      <c r="C78" s="68" t="s">
        <v>1161</v>
      </c>
      <c r="D78" s="601"/>
      <c r="E78" s="567"/>
      <c r="F78" s="567"/>
      <c r="G78" s="568"/>
      <c r="H78" s="68"/>
      <c r="I78" s="68"/>
      <c r="J78" s="68"/>
      <c r="M78" s="1005"/>
      <c r="O78" s="965"/>
      <c r="Q78" s="1337"/>
      <c r="S78" s="1337"/>
      <c r="U78" s="1337"/>
      <c r="W78" s="1337"/>
      <c r="Y78" s="1337"/>
      <c r="Z78" s="1205">
        <v>1100</v>
      </c>
      <c r="AA78" s="1337"/>
      <c r="AB78" s="1205">
        <v>910.71</v>
      </c>
      <c r="AC78" s="1337"/>
      <c r="AD78" s="1205">
        <v>1040</v>
      </c>
      <c r="AE78" s="1337"/>
      <c r="AF78" s="1205">
        <v>0</v>
      </c>
      <c r="AG78" s="1337"/>
      <c r="AH78" s="1205">
        <v>0</v>
      </c>
      <c r="AI78" s="1337"/>
    </row>
    <row r="79" spans="1:35">
      <c r="A79" s="1832"/>
      <c r="B79" s="600" t="s">
        <v>973</v>
      </c>
      <c r="C79" s="68"/>
      <c r="D79" s="601"/>
      <c r="E79" s="567"/>
      <c r="F79" s="567"/>
      <c r="G79" s="568"/>
      <c r="H79" s="68"/>
      <c r="I79" s="68"/>
      <c r="J79" s="68"/>
      <c r="M79" s="1005"/>
      <c r="N79" s="1024">
        <v>1545.58</v>
      </c>
      <c r="O79" s="965"/>
      <c r="P79" s="1205">
        <v>1416.12</v>
      </c>
      <c r="Q79" s="1337"/>
      <c r="R79" s="1205">
        <f>14263.5</f>
        <v>14263.5</v>
      </c>
      <c r="S79" s="1337"/>
      <c r="T79" s="1205">
        <v>27501.360000000001</v>
      </c>
      <c r="U79" s="1337"/>
      <c r="W79" s="1337"/>
      <c r="Y79" s="1337"/>
      <c r="AA79" s="1337"/>
      <c r="AC79" s="1337"/>
      <c r="AE79" s="1337"/>
      <c r="AG79" s="1337"/>
      <c r="AI79" s="1337"/>
    </row>
    <row r="80" spans="1:35">
      <c r="A80" s="1832"/>
      <c r="B80" s="600" t="s">
        <v>1224</v>
      </c>
      <c r="C80" s="68" t="s">
        <v>1225</v>
      </c>
      <c r="D80" s="601"/>
      <c r="E80" s="567"/>
      <c r="F80" s="567"/>
      <c r="G80" s="568"/>
      <c r="H80" s="68"/>
      <c r="I80" s="68"/>
      <c r="J80" s="68"/>
      <c r="M80" s="1005"/>
      <c r="O80" s="965"/>
      <c r="Q80" s="1337"/>
      <c r="S80" s="1337"/>
      <c r="U80" s="1337"/>
      <c r="W80" s="1337"/>
      <c r="Y80" s="1337"/>
      <c r="AA80" s="1337"/>
      <c r="AC80" s="1337"/>
      <c r="AE80" s="1337"/>
      <c r="AF80" s="1205">
        <v>44145.78</v>
      </c>
      <c r="AG80" s="1337"/>
      <c r="AH80" s="1205">
        <v>0</v>
      </c>
      <c r="AI80" s="1337"/>
    </row>
    <row r="81" spans="1:35" s="584" customFormat="1" ht="27" thickBot="1">
      <c r="A81" s="1833"/>
      <c r="B81" s="605"/>
      <c r="C81" s="580" t="s">
        <v>938</v>
      </c>
      <c r="D81" s="606" t="s">
        <v>937</v>
      </c>
      <c r="E81" s="581">
        <f>G81</f>
        <v>0</v>
      </c>
      <c r="F81" s="581">
        <f>E81*12</f>
        <v>0</v>
      </c>
      <c r="G81" s="582">
        <v>0</v>
      </c>
      <c r="H81" s="580"/>
      <c r="I81" s="580"/>
      <c r="J81" s="580"/>
      <c r="K81" s="996"/>
      <c r="L81" s="1006">
        <v>21588</v>
      </c>
      <c r="M81" s="1007"/>
      <c r="N81" s="1203">
        <v>114996</v>
      </c>
      <c r="O81" s="966"/>
      <c r="P81" s="1208">
        <v>91056</v>
      </c>
      <c r="Q81" s="1338"/>
      <c r="R81" s="1208">
        <v>129528</v>
      </c>
      <c r="S81" s="1338"/>
      <c r="T81" s="1208">
        <v>75096</v>
      </c>
      <c r="U81" s="1338"/>
      <c r="V81" s="1208">
        <v>68392.800000000003</v>
      </c>
      <c r="W81" s="1338"/>
      <c r="X81" s="1208">
        <v>69022.8</v>
      </c>
      <c r="Y81" s="1338"/>
      <c r="Z81" s="1208">
        <v>71064</v>
      </c>
      <c r="AA81" s="1338"/>
      <c r="AB81" s="1208">
        <v>146966.39999999999</v>
      </c>
      <c r="AC81" s="1338"/>
      <c r="AD81" s="1208">
        <v>105638.39999999999</v>
      </c>
      <c r="AE81" s="1338"/>
      <c r="AF81" s="1208">
        <v>75877.2</v>
      </c>
      <c r="AG81" s="1338"/>
      <c r="AH81" s="1654">
        <v>129704.4</v>
      </c>
      <c r="AI81" s="1338"/>
    </row>
    <row r="82" spans="1:35" s="579" customFormat="1" ht="26.4">
      <c r="A82" s="1831" t="s">
        <v>178</v>
      </c>
      <c r="B82" s="598" t="s">
        <v>399</v>
      </c>
      <c r="C82" s="576"/>
      <c r="D82" s="599" t="s">
        <v>400</v>
      </c>
      <c r="E82" s="577">
        <v>334.9</v>
      </c>
      <c r="F82" s="577">
        <f>E82*12</f>
        <v>4018.7999999999997</v>
      </c>
      <c r="G82" s="578">
        <f>J82*J2</f>
        <v>356.1</v>
      </c>
      <c r="H82" s="576"/>
      <c r="I82" s="576"/>
      <c r="J82" s="576">
        <v>10</v>
      </c>
      <c r="K82" s="995">
        <f>SUM(G82:G92)</f>
        <v>22190.066666666666</v>
      </c>
      <c r="L82" s="1003"/>
      <c r="M82" s="1004">
        <f>SUM(L82:L92)</f>
        <v>17331.898333333334</v>
      </c>
      <c r="N82" s="1202"/>
      <c r="O82" s="964">
        <f>SUM(N82:N92)</f>
        <v>20816.626666666667</v>
      </c>
      <c r="P82" s="1209">
        <v>60.54</v>
      </c>
      <c r="Q82" s="1336">
        <f>SUM(P82:P92)</f>
        <v>20738.026666666668</v>
      </c>
      <c r="R82" s="1209">
        <v>0</v>
      </c>
      <c r="S82" s="1336">
        <f>SUM(R82:R92)</f>
        <v>20623.206666666665</v>
      </c>
      <c r="T82" s="1209">
        <v>0</v>
      </c>
      <c r="U82" s="1336">
        <f>SUM(T82:T92)</f>
        <v>97109.606666666674</v>
      </c>
      <c r="V82" s="1209">
        <v>0</v>
      </c>
      <c r="W82" s="1336">
        <f>SUM(V82:V92)</f>
        <v>105772.02666666667</v>
      </c>
      <c r="X82" s="1209">
        <v>0</v>
      </c>
      <c r="Y82" s="1336">
        <f>SUM(X82:X92)</f>
        <v>88067.94666666667</v>
      </c>
      <c r="Z82" s="1209">
        <v>0</v>
      </c>
      <c r="AA82" s="1336">
        <f>SUM(Z82:Z92)</f>
        <v>92067.94666666667</v>
      </c>
      <c r="AB82" s="1209">
        <v>0</v>
      </c>
      <c r="AC82" s="1336">
        <f>SUM(AB82:AB92)</f>
        <v>90208.666666666672</v>
      </c>
      <c r="AD82" s="1209">
        <v>0</v>
      </c>
      <c r="AE82" s="1336">
        <f>SUM(AD82:AD92)</f>
        <v>90765</v>
      </c>
      <c r="AF82" s="1209">
        <v>0</v>
      </c>
      <c r="AG82" s="1336">
        <f>SUM(AF82:AF92)</f>
        <v>90765</v>
      </c>
      <c r="AH82" s="1209">
        <v>0</v>
      </c>
      <c r="AI82" s="1336">
        <f>SUM(AH82:AH92)</f>
        <v>90765</v>
      </c>
    </row>
    <row r="83" spans="1:35" ht="26.4">
      <c r="A83" s="1832"/>
      <c r="B83" s="600" t="s">
        <v>760</v>
      </c>
      <c r="C83" s="68"/>
      <c r="D83" s="601" t="s">
        <v>761</v>
      </c>
      <c r="E83" s="567">
        <f>G83</f>
        <v>194.96666666666667</v>
      </c>
      <c r="F83" s="567">
        <v>2339.6</v>
      </c>
      <c r="G83" s="568">
        <f>F83/12</f>
        <v>194.96666666666667</v>
      </c>
      <c r="H83" s="68"/>
      <c r="I83" s="68"/>
      <c r="J83" s="68">
        <v>5.42</v>
      </c>
      <c r="L83" s="999">
        <f>4670.54/12</f>
        <v>389.21166666666664</v>
      </c>
      <c r="M83" s="1005"/>
      <c r="N83" s="1024">
        <v>0</v>
      </c>
      <c r="O83" s="965"/>
      <c r="P83" s="1205">
        <v>0</v>
      </c>
      <c r="Q83" s="1337"/>
      <c r="R83" s="1205">
        <v>0</v>
      </c>
      <c r="S83" s="1337"/>
      <c r="T83" s="1205">
        <v>0</v>
      </c>
      <c r="U83" s="1337"/>
      <c r="V83" s="1205">
        <v>0</v>
      </c>
      <c r="W83" s="1337"/>
      <c r="X83" s="1205">
        <v>0</v>
      </c>
      <c r="Y83" s="1337"/>
      <c r="Z83" s="1205">
        <v>0</v>
      </c>
      <c r="AA83" s="1337"/>
      <c r="AB83" s="1205">
        <v>0</v>
      </c>
      <c r="AC83" s="1337"/>
      <c r="AD83" s="1205">
        <v>0</v>
      </c>
      <c r="AE83" s="1337"/>
      <c r="AF83" s="1205">
        <v>0</v>
      </c>
      <c r="AG83" s="1337"/>
      <c r="AH83" s="1205">
        <v>0</v>
      </c>
      <c r="AI83" s="1337"/>
    </row>
    <row r="84" spans="1:35">
      <c r="A84" s="1832"/>
      <c r="B84" s="600"/>
      <c r="C84" s="68"/>
      <c r="D84" s="601" t="s">
        <v>401</v>
      </c>
      <c r="E84" s="567">
        <f>G84</f>
        <v>0</v>
      </c>
      <c r="F84" s="567">
        <f>E84*12</f>
        <v>0</v>
      </c>
      <c r="G84" s="568">
        <v>0</v>
      </c>
      <c r="H84" s="68"/>
      <c r="I84" s="68"/>
      <c r="J84" s="68"/>
      <c r="M84" s="1005"/>
      <c r="O84" s="965"/>
      <c r="Q84" s="1337"/>
      <c r="S84" s="1337"/>
      <c r="U84" s="1337"/>
      <c r="W84" s="1337"/>
      <c r="Y84" s="1337"/>
      <c r="AA84" s="1337"/>
      <c r="AC84" s="1337"/>
      <c r="AE84" s="1337"/>
      <c r="AG84" s="1337"/>
      <c r="AI84" s="1337"/>
    </row>
    <row r="85" spans="1:35">
      <c r="A85" s="1832"/>
      <c r="B85" s="600" t="s">
        <v>402</v>
      </c>
      <c r="E85" s="567">
        <f>G85</f>
        <v>11918</v>
      </c>
      <c r="F85" s="567">
        <f>E85*12</f>
        <v>143016</v>
      </c>
      <c r="G85" s="568">
        <f>H85*H2</f>
        <v>11918</v>
      </c>
      <c r="H85" s="68">
        <v>118</v>
      </c>
      <c r="I85" s="68"/>
      <c r="J85" s="68"/>
      <c r="L85" s="999">
        <v>11935.02</v>
      </c>
      <c r="M85" s="1005"/>
      <c r="N85" s="1024">
        <v>11783.96</v>
      </c>
      <c r="O85" s="965"/>
      <c r="P85" s="1205">
        <f>10679.76+965.06</f>
        <v>11644.82</v>
      </c>
      <c r="Q85" s="1337"/>
      <c r="R85" s="1205">
        <f>10120.99+983.55</f>
        <v>11104.539999999999</v>
      </c>
      <c r="S85" s="1337"/>
      <c r="T85" s="1205">
        <v>9590.94</v>
      </c>
      <c r="U85" s="1337"/>
      <c r="V85" s="1205">
        <f>10309.36+144</f>
        <v>10453.36</v>
      </c>
      <c r="W85" s="1337"/>
      <c r="X85" s="1205">
        <v>9549.2800000000007</v>
      </c>
      <c r="Y85" s="1337"/>
      <c r="Z85" s="1205">
        <v>9549.2800000000007</v>
      </c>
      <c r="AA85" s="1337"/>
      <c r="AB85" s="1205">
        <v>0</v>
      </c>
      <c r="AC85" s="1337"/>
      <c r="AD85" s="1205">
        <v>0</v>
      </c>
      <c r="AE85" s="1337"/>
      <c r="AF85" s="1205">
        <v>0</v>
      </c>
      <c r="AG85" s="1337"/>
      <c r="AH85" s="1205">
        <v>0</v>
      </c>
      <c r="AI85" s="1337"/>
    </row>
    <row r="86" spans="1:35">
      <c r="A86" s="1832"/>
      <c r="B86" s="600" t="s">
        <v>1089</v>
      </c>
      <c r="C86" s="68" t="s">
        <v>1090</v>
      </c>
      <c r="D86" s="601" t="s">
        <v>1091</v>
      </c>
      <c r="E86" s="567"/>
      <c r="F86" s="567"/>
      <c r="G86" s="568"/>
      <c r="H86" s="68"/>
      <c r="I86" s="68"/>
      <c r="J86" s="68"/>
      <c r="M86" s="1005"/>
      <c r="O86" s="965"/>
      <c r="Q86" s="1337"/>
      <c r="S86" s="1337"/>
      <c r="T86" s="1205">
        <v>69000</v>
      </c>
      <c r="U86" s="1337"/>
      <c r="V86" s="1205">
        <v>69000</v>
      </c>
      <c r="W86" s="1337"/>
      <c r="X86" s="1205">
        <v>69000</v>
      </c>
      <c r="Y86" s="1337"/>
      <c r="Z86" s="1205">
        <v>73000</v>
      </c>
      <c r="AA86" s="1337"/>
      <c r="AB86" s="1205">
        <v>73000</v>
      </c>
      <c r="AC86" s="1337"/>
      <c r="AD86" s="1205">
        <v>73000</v>
      </c>
      <c r="AE86" s="1337"/>
      <c r="AF86" s="1205">
        <v>73000</v>
      </c>
      <c r="AG86" s="1337"/>
      <c r="AH86" s="1207">
        <v>73000</v>
      </c>
      <c r="AI86" s="1337"/>
    </row>
    <row r="87" spans="1:35">
      <c r="A87" s="1832"/>
      <c r="B87" s="600" t="s">
        <v>403</v>
      </c>
      <c r="C87" s="68"/>
      <c r="D87" s="601" t="s">
        <v>762</v>
      </c>
      <c r="E87" s="567">
        <f>G87</f>
        <v>3221</v>
      </c>
      <c r="F87" s="567">
        <f>E87*12</f>
        <v>38652</v>
      </c>
      <c r="G87" s="568">
        <v>3221</v>
      </c>
      <c r="H87" s="68"/>
      <c r="I87" s="68"/>
      <c r="J87" s="68"/>
      <c r="L87" s="999">
        <f>60092/12</f>
        <v>5007.666666666667</v>
      </c>
      <c r="M87" s="1005"/>
      <c r="N87" s="1024">
        <f>60092/12</f>
        <v>5007.666666666667</v>
      </c>
      <c r="O87" s="965"/>
      <c r="P87" s="1205">
        <f>60092/12</f>
        <v>5007.666666666667</v>
      </c>
      <c r="Q87" s="1337"/>
      <c r="R87" s="1205">
        <f>60092/12+486</f>
        <v>5493.666666666667</v>
      </c>
      <c r="S87" s="1337"/>
      <c r="T87" s="1205">
        <f>60092/12+486</f>
        <v>5493.666666666667</v>
      </c>
      <c r="U87" s="1337"/>
      <c r="V87" s="1205">
        <f>60092/12+486</f>
        <v>5493.666666666667</v>
      </c>
      <c r="W87" s="1337"/>
      <c r="X87" s="1205">
        <f>60092/12+486</f>
        <v>5493.666666666667</v>
      </c>
      <c r="Y87" s="1337"/>
      <c r="Z87" s="1205">
        <f>60092/12+486</f>
        <v>5493.666666666667</v>
      </c>
      <c r="AA87" s="1337"/>
      <c r="AB87" s="1205">
        <f>60092/12+486</f>
        <v>5493.666666666667</v>
      </c>
      <c r="AC87" s="1337"/>
      <c r="AD87" s="1205">
        <v>8850</v>
      </c>
      <c r="AE87" s="1337"/>
      <c r="AF87" s="1205">
        <v>8850</v>
      </c>
      <c r="AG87" s="1337"/>
      <c r="AH87" s="1207">
        <v>8850</v>
      </c>
      <c r="AI87" s="1337"/>
    </row>
    <row r="88" spans="1:35">
      <c r="A88" s="1832"/>
      <c r="B88" s="600" t="s">
        <v>404</v>
      </c>
      <c r="C88" s="68" t="s">
        <v>405</v>
      </c>
      <c r="D88" s="601" t="s">
        <v>1103</v>
      </c>
      <c r="E88" s="567">
        <f>G88</f>
        <v>2500</v>
      </c>
      <c r="F88" s="567">
        <f>E88*12</f>
        <v>30000</v>
      </c>
      <c r="G88" s="568">
        <v>2500</v>
      </c>
      <c r="H88" s="68"/>
      <c r="I88" s="68"/>
      <c r="J88" s="68"/>
      <c r="M88" s="1005"/>
      <c r="O88" s="965"/>
      <c r="Q88" s="1337"/>
      <c r="S88" s="1337"/>
      <c r="U88" s="1337"/>
      <c r="V88" s="1205">
        <v>16800</v>
      </c>
      <c r="W88" s="1337"/>
      <c r="X88" s="1207"/>
      <c r="Y88" s="1337"/>
      <c r="AA88" s="1337"/>
      <c r="AB88" s="1205">
        <v>2800</v>
      </c>
      <c r="AC88" s="1337"/>
      <c r="AE88" s="1337"/>
      <c r="AG88" s="1337"/>
      <c r="AI88" s="1337"/>
    </row>
    <row r="89" spans="1:35">
      <c r="A89" s="1832"/>
      <c r="B89" s="600" t="s">
        <v>763</v>
      </c>
      <c r="C89" s="68"/>
      <c r="D89" s="601" t="s">
        <v>764</v>
      </c>
      <c r="E89" s="567">
        <f>F89/12</f>
        <v>1000</v>
      </c>
      <c r="F89" s="567">
        <v>12000</v>
      </c>
      <c r="G89" s="568">
        <f>E89</f>
        <v>1000</v>
      </c>
      <c r="H89" s="68"/>
      <c r="I89" s="68"/>
      <c r="J89" s="68"/>
      <c r="M89" s="1005"/>
      <c r="O89" s="965"/>
      <c r="Q89" s="1337"/>
      <c r="S89" s="1337"/>
      <c r="U89" s="1337"/>
      <c r="W89" s="1337"/>
      <c r="Y89" s="1337"/>
      <c r="AA89" s="1337"/>
      <c r="AC89" s="1337"/>
      <c r="AE89" s="1337"/>
      <c r="AG89" s="1337"/>
      <c r="AI89" s="1337"/>
    </row>
    <row r="90" spans="1:35" ht="13.8" thickBot="1">
      <c r="A90" s="1832"/>
      <c r="B90" s="605" t="s">
        <v>406</v>
      </c>
      <c r="C90" s="68" t="s">
        <v>1075</v>
      </c>
      <c r="D90" s="68" t="s">
        <v>1074</v>
      </c>
      <c r="E90" s="567"/>
      <c r="F90" s="567"/>
      <c r="G90" s="568"/>
      <c r="H90" s="68"/>
      <c r="I90" s="68"/>
      <c r="J90" s="68"/>
      <c r="M90" s="1005"/>
      <c r="O90" s="965"/>
      <c r="Q90" s="1337"/>
      <c r="S90" s="1337"/>
      <c r="T90" s="1205">
        <v>9000</v>
      </c>
      <c r="U90" s="1337"/>
      <c r="W90" s="1337"/>
      <c r="Y90" s="1337"/>
      <c r="AA90" s="1337"/>
      <c r="AC90" s="1337"/>
      <c r="AE90" s="1337"/>
      <c r="AG90" s="1337"/>
      <c r="AI90" s="1337"/>
    </row>
    <row r="91" spans="1:35" ht="13.8" thickBot="1">
      <c r="A91" s="1832"/>
      <c r="B91" s="605" t="s">
        <v>1187</v>
      </c>
      <c r="C91" s="68"/>
      <c r="D91" s="68" t="s">
        <v>1188</v>
      </c>
      <c r="E91" s="567"/>
      <c r="F91" s="567"/>
      <c r="G91" s="568"/>
      <c r="H91" s="68"/>
      <c r="I91" s="68"/>
      <c r="J91" s="68"/>
      <c r="M91" s="1005"/>
      <c r="O91" s="965"/>
      <c r="Q91" s="1337"/>
      <c r="S91" s="1337"/>
      <c r="U91" s="1337"/>
      <c r="W91" s="1337"/>
      <c r="Y91" s="1337"/>
      <c r="AA91" s="1337"/>
      <c r="AB91" s="1205">
        <v>4890</v>
      </c>
      <c r="AC91" s="1337"/>
      <c r="AD91" s="1205">
        <v>4890</v>
      </c>
      <c r="AE91" s="1337"/>
      <c r="AF91" s="1205">
        <v>4890</v>
      </c>
      <c r="AG91" s="1337"/>
      <c r="AH91" s="1207">
        <v>4890</v>
      </c>
      <c r="AI91" s="1337"/>
    </row>
    <row r="92" spans="1:35" s="584" customFormat="1" ht="13.8" thickBot="1">
      <c r="A92" s="1833"/>
      <c r="B92" s="605" t="s">
        <v>406</v>
      </c>
      <c r="C92" s="580" t="s">
        <v>407</v>
      </c>
      <c r="D92" s="606" t="s">
        <v>765</v>
      </c>
      <c r="E92" s="581">
        <f t="shared" ref="E92:E103" si="6">G92</f>
        <v>3000</v>
      </c>
      <c r="F92" s="581">
        <f>E92*12</f>
        <v>36000</v>
      </c>
      <c r="G92" s="582">
        <v>3000</v>
      </c>
      <c r="H92" s="580"/>
      <c r="I92" s="580"/>
      <c r="J92" s="580"/>
      <c r="K92" s="996"/>
      <c r="L92" s="1006"/>
      <c r="M92" s="1007"/>
      <c r="N92" s="1203">
        <v>4025</v>
      </c>
      <c r="O92" s="966"/>
      <c r="P92" s="1208">
        <v>4025</v>
      </c>
      <c r="Q92" s="1338"/>
      <c r="R92" s="1208">
        <v>4025</v>
      </c>
      <c r="S92" s="1338"/>
      <c r="T92" s="1208">
        <v>4025</v>
      </c>
      <c r="U92" s="1338"/>
      <c r="V92" s="1208">
        <v>4025</v>
      </c>
      <c r="W92" s="1338"/>
      <c r="X92" s="1208">
        <v>4025</v>
      </c>
      <c r="Y92" s="1338"/>
      <c r="Z92" s="1208">
        <v>4025</v>
      </c>
      <c r="AA92" s="1338"/>
      <c r="AB92" s="1208">
        <v>4025</v>
      </c>
      <c r="AC92" s="1338"/>
      <c r="AD92" s="1208">
        <v>4025</v>
      </c>
      <c r="AE92" s="1338"/>
      <c r="AF92" s="1208">
        <v>4025</v>
      </c>
      <c r="AG92" s="1338"/>
      <c r="AH92" s="1654">
        <v>4025</v>
      </c>
      <c r="AI92" s="1338"/>
    </row>
    <row r="93" spans="1:35" s="579" customFormat="1" ht="39.6">
      <c r="A93" s="1834" t="s">
        <v>408</v>
      </c>
      <c r="B93" s="598" t="s">
        <v>409</v>
      </c>
      <c r="C93" s="576" t="s">
        <v>410</v>
      </c>
      <c r="D93" s="599" t="s">
        <v>410</v>
      </c>
      <c r="E93" s="577">
        <f t="shared" si="6"/>
        <v>25250</v>
      </c>
      <c r="F93" s="577">
        <f>E93*12</f>
        <v>303000</v>
      </c>
      <c r="G93" s="578">
        <f>H93*H2</f>
        <v>25250</v>
      </c>
      <c r="H93" s="576">
        <v>250</v>
      </c>
      <c r="I93" s="576"/>
      <c r="J93" s="576"/>
      <c r="K93" s="995">
        <f>SUM(G93:G100)</f>
        <v>53227</v>
      </c>
      <c r="L93" s="1003">
        <f>25250+499.65</f>
        <v>25749.65</v>
      </c>
      <c r="M93" s="1004">
        <f>SUM(L93:L100)</f>
        <v>28195.600000000002</v>
      </c>
      <c r="N93" s="1202">
        <f>25250+440.85</f>
        <v>25690.85</v>
      </c>
      <c r="O93" s="964">
        <f>SUM(N93:N100)</f>
        <v>28022.239999999998</v>
      </c>
      <c r="P93" s="1209">
        <f>25250+420.95</f>
        <v>25670.95</v>
      </c>
      <c r="Q93" s="1336">
        <f>SUM(P93:P100)</f>
        <v>27810.309999999998</v>
      </c>
      <c r="R93" s="1209">
        <f>25250</f>
        <v>25250</v>
      </c>
      <c r="S93" s="1336">
        <f>SUM(R93:R100)</f>
        <v>27316.16</v>
      </c>
      <c r="T93" s="1209">
        <f>25250</f>
        <v>25250</v>
      </c>
      <c r="U93" s="1336">
        <f>SUM(T93:T100)</f>
        <v>35999.320000000007</v>
      </c>
      <c r="V93" s="1209">
        <f>25250</f>
        <v>25250</v>
      </c>
      <c r="W93" s="1336">
        <f>SUM(V93:V100)</f>
        <v>26997.739999999998</v>
      </c>
      <c r="X93" s="1209">
        <f>25250</f>
        <v>25250</v>
      </c>
      <c r="Y93" s="1336">
        <f>SUM(X93:X100)</f>
        <v>26424.95</v>
      </c>
      <c r="Z93" s="1209">
        <f>25250</f>
        <v>25250</v>
      </c>
      <c r="AA93" s="1336">
        <f>SUM(Z93:Z100)</f>
        <v>34490.199999999997</v>
      </c>
      <c r="AB93" s="1209">
        <f>25250</f>
        <v>25250</v>
      </c>
      <c r="AC93" s="1336">
        <f>SUM(AB93:AB100)</f>
        <v>34490.199999999997</v>
      </c>
      <c r="AD93" s="1209">
        <f>25250</f>
        <v>25250</v>
      </c>
      <c r="AE93" s="1336">
        <f>SUM(AD93:AD100)</f>
        <v>34490.199999999997</v>
      </c>
      <c r="AF93" s="1995">
        <f>243599.62/12</f>
        <v>20299.968333333334</v>
      </c>
      <c r="AG93" s="1336">
        <f>SUM(AF93:AF100)</f>
        <v>23619.258333333335</v>
      </c>
      <c r="AH93" s="1780">
        <f>243599.62/12</f>
        <v>20299.968333333334</v>
      </c>
      <c r="AI93" s="1336">
        <f>SUM(AH93:AH100)</f>
        <v>51887.438333333339</v>
      </c>
    </row>
    <row r="94" spans="1:35">
      <c r="A94" s="1832"/>
      <c r="B94" s="600"/>
      <c r="C94" s="68" t="s">
        <v>766</v>
      </c>
      <c r="D94" s="601" t="s">
        <v>766</v>
      </c>
      <c r="E94" s="567">
        <f t="shared" si="6"/>
        <v>909</v>
      </c>
      <c r="F94" s="567">
        <f>G94*12</f>
        <v>10908</v>
      </c>
      <c r="G94" s="568">
        <f>H94*H2</f>
        <v>909</v>
      </c>
      <c r="H94" s="68">
        <v>9</v>
      </c>
      <c r="I94" s="68"/>
      <c r="J94" s="68"/>
      <c r="L94" s="999">
        <v>917.23</v>
      </c>
      <c r="M94" s="1005"/>
      <c r="N94" s="1024">
        <v>872.19</v>
      </c>
      <c r="O94" s="965"/>
      <c r="P94" s="1205">
        <v>802.26</v>
      </c>
      <c r="Q94" s="1337"/>
      <c r="R94" s="1205">
        <v>774.81</v>
      </c>
      <c r="S94" s="1337"/>
      <c r="T94" s="1205">
        <v>727.74</v>
      </c>
      <c r="U94" s="1337"/>
      <c r="V94" s="1205">
        <v>571.44000000000005</v>
      </c>
      <c r="W94" s="1337"/>
      <c r="X94" s="1207"/>
      <c r="Y94" s="1337"/>
      <c r="AA94" s="1337"/>
      <c r="AC94" s="1337"/>
      <c r="AE94" s="1337"/>
      <c r="AG94" s="1337"/>
      <c r="AI94" s="1337"/>
    </row>
    <row r="95" spans="1:35" ht="66">
      <c r="A95" s="1832"/>
      <c r="B95" s="600" t="s">
        <v>411</v>
      </c>
      <c r="C95" s="68" t="s">
        <v>412</v>
      </c>
      <c r="D95" s="601" t="s">
        <v>412</v>
      </c>
      <c r="E95" s="567">
        <f t="shared" si="6"/>
        <v>3030</v>
      </c>
      <c r="F95" s="567">
        <f t="shared" ref="F95:F103" si="7">E95*12</f>
        <v>36360</v>
      </c>
      <c r="G95" s="568">
        <f>H95*H2</f>
        <v>3030</v>
      </c>
      <c r="H95" s="68">
        <v>30</v>
      </c>
      <c r="I95" s="68"/>
      <c r="J95" s="68"/>
      <c r="M95" s="1005"/>
      <c r="O95" s="965"/>
      <c r="Q95" s="1337"/>
      <c r="S95" s="1337"/>
      <c r="U95" s="1337"/>
      <c r="W95" s="1337"/>
      <c r="Y95" s="1337"/>
      <c r="AA95" s="1337"/>
      <c r="AC95" s="1337"/>
      <c r="AE95" s="1337"/>
      <c r="AG95" s="1337"/>
      <c r="AI95" s="1337"/>
    </row>
    <row r="96" spans="1:35" ht="52.8">
      <c r="A96" s="1832"/>
      <c r="B96" s="600" t="s">
        <v>413</v>
      </c>
      <c r="C96" s="68" t="s">
        <v>414</v>
      </c>
      <c r="D96" s="601" t="s">
        <v>414</v>
      </c>
      <c r="E96" s="567">
        <f t="shared" si="6"/>
        <v>1515</v>
      </c>
      <c r="F96" s="567">
        <f t="shared" si="7"/>
        <v>18180</v>
      </c>
      <c r="G96" s="568">
        <f>H96*H2</f>
        <v>1515</v>
      </c>
      <c r="H96" s="68">
        <v>15</v>
      </c>
      <c r="I96" s="68"/>
      <c r="J96" s="68"/>
      <c r="L96" s="999">
        <v>1528.72</v>
      </c>
      <c r="M96" s="1005"/>
      <c r="N96" s="1024">
        <v>1459.2</v>
      </c>
      <c r="O96" s="965"/>
      <c r="P96" s="1205">
        <v>1337.1</v>
      </c>
      <c r="Q96" s="1337"/>
      <c r="R96" s="1205">
        <v>1291.3499999999999</v>
      </c>
      <c r="S96" s="1337"/>
      <c r="T96" s="1205">
        <v>1212.9000000000001</v>
      </c>
      <c r="U96" s="1337"/>
      <c r="V96" s="1205">
        <v>1176.3</v>
      </c>
      <c r="W96" s="1337"/>
      <c r="X96" s="1205">
        <v>1174.95</v>
      </c>
      <c r="Y96" s="1337"/>
      <c r="Z96" s="1205">
        <v>0</v>
      </c>
      <c r="AA96" s="1337"/>
      <c r="AB96" s="1205">
        <v>0</v>
      </c>
      <c r="AC96" s="1337"/>
      <c r="AD96" s="1205">
        <v>0</v>
      </c>
      <c r="AE96" s="1337"/>
      <c r="AF96" s="1205">
        <v>0</v>
      </c>
      <c r="AG96" s="1337"/>
      <c r="AH96" s="1205">
        <v>0</v>
      </c>
      <c r="AI96" s="1337"/>
    </row>
    <row r="97" spans="1:84">
      <c r="A97" s="1832"/>
      <c r="B97" s="600" t="s">
        <v>397</v>
      </c>
      <c r="C97" s="68" t="s">
        <v>398</v>
      </c>
      <c r="D97" s="601" t="s">
        <v>398</v>
      </c>
      <c r="E97" s="567">
        <f t="shared" si="6"/>
        <v>2424</v>
      </c>
      <c r="F97" s="567">
        <f t="shared" si="7"/>
        <v>29088</v>
      </c>
      <c r="G97" s="568">
        <f>H97*H2</f>
        <v>2424</v>
      </c>
      <c r="H97" s="68">
        <v>24</v>
      </c>
      <c r="I97" s="68"/>
      <c r="J97" s="68"/>
      <c r="M97" s="1005"/>
      <c r="O97" s="965"/>
      <c r="Q97" s="1337"/>
      <c r="S97" s="1337"/>
      <c r="U97" s="1337"/>
      <c r="W97" s="1337"/>
      <c r="Y97" s="1337"/>
      <c r="AA97" s="1337"/>
      <c r="AC97" s="1337"/>
      <c r="AE97" s="1337"/>
      <c r="AG97" s="1337"/>
      <c r="AI97" s="1337"/>
    </row>
    <row r="98" spans="1:84">
      <c r="A98" s="1832"/>
      <c r="B98" s="600"/>
      <c r="C98" s="68"/>
      <c r="D98" s="601" t="s">
        <v>1085</v>
      </c>
      <c r="E98" s="567"/>
      <c r="F98" s="567"/>
      <c r="G98" s="568"/>
      <c r="H98" s="68"/>
      <c r="I98" s="68"/>
      <c r="J98" s="68"/>
      <c r="M98" s="1005"/>
      <c r="O98" s="965"/>
      <c r="Q98" s="1337"/>
      <c r="S98" s="1337"/>
      <c r="T98" s="1205">
        <v>8808.68</v>
      </c>
      <c r="U98" s="1337"/>
      <c r="V98" s="1205">
        <v>0</v>
      </c>
      <c r="W98" s="1337"/>
      <c r="X98" s="1205">
        <v>0</v>
      </c>
      <c r="Y98" s="1337"/>
      <c r="Z98" s="1205">
        <v>0</v>
      </c>
      <c r="AA98" s="1337"/>
      <c r="AB98" s="1205">
        <v>0</v>
      </c>
      <c r="AC98" s="1337"/>
      <c r="AD98" s="1205">
        <v>0</v>
      </c>
      <c r="AE98" s="1337"/>
      <c r="AF98" s="1205">
        <v>0</v>
      </c>
      <c r="AG98" s="1337"/>
      <c r="AH98" s="1205">
        <v>0</v>
      </c>
      <c r="AI98" s="1337"/>
    </row>
    <row r="99" spans="1:84" ht="53.4" thickBot="1">
      <c r="A99" s="1832"/>
      <c r="B99" s="608" t="s">
        <v>415</v>
      </c>
      <c r="C99" s="68" t="s">
        <v>1223</v>
      </c>
      <c r="D99" s="68" t="s">
        <v>1223</v>
      </c>
      <c r="E99" s="567"/>
      <c r="F99" s="567"/>
      <c r="G99" s="568"/>
      <c r="H99" s="68"/>
      <c r="I99" s="68"/>
      <c r="J99" s="68"/>
      <c r="M99" s="1005"/>
      <c r="O99" s="965"/>
      <c r="Q99" s="1337"/>
      <c r="S99" s="1337"/>
      <c r="U99" s="1337"/>
      <c r="W99" s="1337"/>
      <c r="Y99" s="1337"/>
      <c r="AA99" s="1337"/>
      <c r="AC99" s="1337"/>
      <c r="AE99" s="1337"/>
      <c r="AF99" s="1205">
        <v>3319.29</v>
      </c>
      <c r="AG99" s="1337"/>
      <c r="AH99" s="1207">
        <v>3686.27</v>
      </c>
      <c r="AI99" s="1337"/>
    </row>
    <row r="100" spans="1:84" s="584" customFormat="1" ht="53.4" thickBot="1">
      <c r="A100" s="1833"/>
      <c r="B100" s="608" t="s">
        <v>415</v>
      </c>
      <c r="C100" s="580" t="s">
        <v>416</v>
      </c>
      <c r="D100" s="606" t="s">
        <v>416</v>
      </c>
      <c r="E100" s="581">
        <f t="shared" si="6"/>
        <v>20099</v>
      </c>
      <c r="F100" s="581">
        <f t="shared" si="7"/>
        <v>241188</v>
      </c>
      <c r="G100" s="582">
        <f>H100*H2</f>
        <v>20099</v>
      </c>
      <c r="H100" s="580">
        <v>199</v>
      </c>
      <c r="I100" s="580"/>
      <c r="J100" s="580"/>
      <c r="K100" s="996"/>
      <c r="L100" s="1006">
        <v>0</v>
      </c>
      <c r="M100" s="1007"/>
      <c r="N100" s="1203">
        <v>0</v>
      </c>
      <c r="O100" s="966"/>
      <c r="P100" s="1208">
        <v>0</v>
      </c>
      <c r="Q100" s="1338"/>
      <c r="R100" s="1208">
        <v>0</v>
      </c>
      <c r="S100" s="1338"/>
      <c r="T100" s="1208">
        <v>0</v>
      </c>
      <c r="U100" s="1338"/>
      <c r="V100" s="1208">
        <v>0</v>
      </c>
      <c r="W100" s="1338"/>
      <c r="X100" s="1208">
        <v>0</v>
      </c>
      <c r="Y100" s="1338"/>
      <c r="Z100" s="1208">
        <v>9240.2000000000007</v>
      </c>
      <c r="AA100" s="1338"/>
      <c r="AB100" s="1208">
        <v>9240.2000000000007</v>
      </c>
      <c r="AC100" s="1338"/>
      <c r="AD100" s="1208">
        <v>9240.2000000000007</v>
      </c>
      <c r="AE100" s="1338"/>
      <c r="AF100" s="1208">
        <v>0</v>
      </c>
      <c r="AG100" s="1338"/>
      <c r="AH100" s="1654">
        <v>27901.200000000001</v>
      </c>
      <c r="AI100" s="1338"/>
    </row>
    <row r="101" spans="1:84" s="579" customFormat="1" ht="39.6">
      <c r="A101" s="1822" t="s">
        <v>417</v>
      </c>
      <c r="B101" s="598" t="s">
        <v>418</v>
      </c>
      <c r="C101" s="576" t="s">
        <v>419</v>
      </c>
      <c r="D101" s="599" t="s">
        <v>420</v>
      </c>
      <c r="E101" s="577">
        <f t="shared" si="6"/>
        <v>0</v>
      </c>
      <c r="F101" s="577">
        <f t="shared" si="7"/>
        <v>0</v>
      </c>
      <c r="G101" s="578">
        <v>0</v>
      </c>
      <c r="H101" s="576"/>
      <c r="I101" s="576"/>
      <c r="J101" s="576"/>
      <c r="K101" s="995">
        <f>SUM(G101:G103)</f>
        <v>2323.3333333333335</v>
      </c>
      <c r="L101" s="1003"/>
      <c r="M101" s="1004">
        <f>SUM(L101:L103)</f>
        <v>2038.29</v>
      </c>
      <c r="N101" s="1202"/>
      <c r="O101" s="964">
        <f>SUM(N101:N103)</f>
        <v>1938.2</v>
      </c>
      <c r="P101" s="1209"/>
      <c r="Q101" s="1336">
        <f>SUM(P101:P103)</f>
        <v>1711.4</v>
      </c>
      <c r="R101" s="1209">
        <v>5000</v>
      </c>
      <c r="S101" s="1336">
        <f>SUM(R101:R103)</f>
        <v>6640.4</v>
      </c>
      <c r="T101" s="1209"/>
      <c r="U101" s="1336">
        <f>SUM(T101:T103)</f>
        <v>1594.2</v>
      </c>
      <c r="V101" s="1209"/>
      <c r="W101" s="1336">
        <f>SUM(V101:V103)</f>
        <v>1568.4</v>
      </c>
      <c r="X101" s="1209"/>
      <c r="Y101" s="1336">
        <f>SUM(X101:X103)</f>
        <v>1566.6</v>
      </c>
      <c r="Z101" s="1209"/>
      <c r="AA101" s="1336">
        <f>SUM(Z101:Z103)</f>
        <v>1497.92</v>
      </c>
      <c r="AB101" s="1209"/>
      <c r="AC101" s="1336">
        <f>SUM(AB101:AB103)</f>
        <v>1497.92</v>
      </c>
      <c r="AD101" s="1209"/>
      <c r="AE101" s="1336">
        <f>SUM(AD101:AD103)</f>
        <v>1497.92</v>
      </c>
      <c r="AF101" s="1209"/>
      <c r="AG101" s="1336">
        <f>SUM(AF101:AF103)</f>
        <v>1550</v>
      </c>
      <c r="AH101" s="1209"/>
      <c r="AI101" s="1336">
        <f>SUM(AH101:AH103)</f>
        <v>1550</v>
      </c>
    </row>
    <row r="102" spans="1:84" ht="26.4">
      <c r="A102" s="1828"/>
      <c r="B102" s="600" t="s">
        <v>421</v>
      </c>
      <c r="C102" s="68" t="s">
        <v>422</v>
      </c>
      <c r="D102" s="601" t="s">
        <v>422</v>
      </c>
      <c r="E102" s="567">
        <f t="shared" si="6"/>
        <v>2020</v>
      </c>
      <c r="F102" s="567">
        <f t="shared" si="7"/>
        <v>24240</v>
      </c>
      <c r="G102" s="568">
        <f>H102*H2</f>
        <v>2020</v>
      </c>
      <c r="H102" s="68">
        <v>20</v>
      </c>
      <c r="I102" s="68"/>
      <c r="J102" s="68"/>
      <c r="L102" s="999">
        <v>2038.29</v>
      </c>
      <c r="M102" s="1005"/>
      <c r="N102" s="1024">
        <v>1938.2</v>
      </c>
      <c r="O102" s="965"/>
      <c r="P102" s="1205">
        <v>1711.4</v>
      </c>
      <c r="Q102" s="1337"/>
      <c r="R102" s="1205">
        <v>1640.4</v>
      </c>
      <c r="S102" s="1337"/>
      <c r="T102" s="1205">
        <v>1594.2</v>
      </c>
      <c r="U102" s="1337"/>
      <c r="V102" s="1205">
        <v>1568.4</v>
      </c>
      <c r="W102" s="1337"/>
      <c r="X102" s="1205">
        <v>1566.6</v>
      </c>
      <c r="Y102" s="1337"/>
      <c r="Z102" s="1205">
        <v>1497.92</v>
      </c>
      <c r="AA102" s="1337"/>
      <c r="AB102" s="1205">
        <v>1497.92</v>
      </c>
      <c r="AC102" s="1337"/>
      <c r="AD102" s="1205">
        <v>1497.92</v>
      </c>
      <c r="AE102" s="1337"/>
      <c r="AF102" s="1205">
        <v>1550</v>
      </c>
      <c r="AG102" s="1337"/>
      <c r="AH102" s="1207">
        <v>1550</v>
      </c>
      <c r="AI102" s="1337"/>
    </row>
    <row r="103" spans="1:84" s="584" customFormat="1" ht="13.8" thickBot="1">
      <c r="A103" s="1829"/>
      <c r="B103" s="605" t="s">
        <v>767</v>
      </c>
      <c r="C103" s="580"/>
      <c r="D103" s="606" t="s">
        <v>768</v>
      </c>
      <c r="E103" s="581">
        <f t="shared" si="6"/>
        <v>303.33333333333331</v>
      </c>
      <c r="F103" s="581">
        <f t="shared" si="7"/>
        <v>3640</v>
      </c>
      <c r="G103" s="582">
        <f>I103*I2/12</f>
        <v>303.33333333333331</v>
      </c>
      <c r="H103" s="583"/>
      <c r="I103" s="583">
        <v>35</v>
      </c>
      <c r="J103" s="580"/>
      <c r="K103" s="996"/>
      <c r="L103" s="1006"/>
      <c r="M103" s="1007"/>
      <c r="N103" s="1203"/>
      <c r="O103" s="966"/>
      <c r="P103" s="1208"/>
      <c r="Q103" s="1338"/>
      <c r="R103" s="1208"/>
      <c r="S103" s="1338"/>
      <c r="T103" s="1208"/>
      <c r="U103" s="1338"/>
      <c r="V103" s="1208"/>
      <c r="W103" s="1338"/>
      <c r="X103" s="1208"/>
      <c r="Y103" s="1338"/>
      <c r="Z103" s="1208"/>
      <c r="AA103" s="1338"/>
      <c r="AB103" s="1208"/>
      <c r="AC103" s="1338"/>
      <c r="AD103" s="1208"/>
      <c r="AE103" s="1338"/>
      <c r="AF103" s="1208"/>
      <c r="AG103" s="1338"/>
      <c r="AH103" s="1208"/>
      <c r="AI103" s="1338"/>
    </row>
    <row r="104" spans="1:84">
      <c r="A104" s="594"/>
      <c r="B104" s="600"/>
      <c r="C104" s="68"/>
      <c r="D104" s="601"/>
      <c r="E104" s="567"/>
      <c r="F104" s="567"/>
      <c r="G104" s="568"/>
      <c r="H104" s="68"/>
      <c r="I104" s="68"/>
      <c r="J104" s="68"/>
    </row>
    <row r="105" spans="1:84">
      <c r="A105" s="594"/>
      <c r="B105" s="600"/>
      <c r="C105" s="68"/>
      <c r="D105" s="601"/>
      <c r="E105" s="567"/>
      <c r="F105" s="567"/>
      <c r="G105" s="568"/>
      <c r="H105" s="68"/>
      <c r="I105" s="68"/>
      <c r="J105" s="68"/>
    </row>
    <row r="106" spans="1:84">
      <c r="A106" s="594"/>
      <c r="B106" s="600"/>
      <c r="C106" s="68"/>
      <c r="D106" s="601"/>
      <c r="E106" s="567"/>
      <c r="F106" s="567"/>
      <c r="G106" s="568"/>
      <c r="H106" s="68"/>
      <c r="I106" s="68"/>
      <c r="J106" s="68"/>
    </row>
    <row r="107" spans="1:84">
      <c r="A107" s="594"/>
      <c r="B107" s="600"/>
      <c r="C107" s="68"/>
      <c r="D107" s="601"/>
      <c r="E107" s="567"/>
      <c r="F107" s="567"/>
      <c r="G107" s="568"/>
      <c r="H107" s="68"/>
      <c r="I107" s="68"/>
      <c r="J107" s="68"/>
    </row>
    <row r="108" spans="1:84">
      <c r="A108" s="594"/>
      <c r="B108" s="600"/>
      <c r="C108" s="68"/>
      <c r="D108" s="601"/>
      <c r="E108" s="567"/>
      <c r="F108" s="567"/>
      <c r="G108" s="568"/>
      <c r="H108" s="68"/>
      <c r="I108" s="68"/>
      <c r="J108" s="68"/>
    </row>
    <row r="109" spans="1:84">
      <c r="A109" s="594"/>
      <c r="B109" s="600"/>
      <c r="C109" s="68"/>
      <c r="D109" s="601"/>
      <c r="E109" s="567"/>
      <c r="F109" s="567"/>
      <c r="G109" s="568"/>
      <c r="H109" s="68"/>
      <c r="I109" s="68"/>
      <c r="J109" s="68"/>
    </row>
    <row r="110" spans="1:84" ht="13.8" thickBot="1">
      <c r="A110" s="594"/>
      <c r="B110" s="600"/>
      <c r="C110" s="68"/>
      <c r="D110" s="601"/>
      <c r="E110" s="567"/>
      <c r="F110" s="567"/>
      <c r="G110" s="568"/>
      <c r="H110" s="68"/>
      <c r="I110" s="68"/>
      <c r="J110" s="68"/>
    </row>
    <row r="111" spans="1:84" s="87" customFormat="1" ht="13.95" hidden="1" customHeight="1" thickBot="1">
      <c r="A111" s="594"/>
      <c r="B111" s="600"/>
      <c r="C111" s="68"/>
      <c r="D111" s="601"/>
      <c r="E111" s="567"/>
      <c r="F111" s="567"/>
      <c r="G111" s="568"/>
      <c r="H111" s="68"/>
      <c r="I111" s="68"/>
      <c r="J111" s="68"/>
      <c r="K111" s="993"/>
      <c r="L111" s="999"/>
      <c r="M111" s="1000"/>
      <c r="N111" s="1024"/>
      <c r="O111" s="335"/>
      <c r="P111" s="1205"/>
      <c r="Q111" s="1334"/>
      <c r="R111" s="1205"/>
      <c r="S111" s="1334"/>
      <c r="T111" s="1205"/>
      <c r="U111" s="1334"/>
      <c r="V111" s="1205"/>
      <c r="W111" s="1334"/>
      <c r="X111" s="1205"/>
      <c r="Y111" s="1334"/>
      <c r="Z111" s="1205"/>
      <c r="AA111" s="1334"/>
      <c r="AB111" s="1205"/>
      <c r="AC111" s="1334"/>
      <c r="AD111" s="1205"/>
      <c r="AE111" s="1334"/>
      <c r="AF111" s="1205"/>
      <c r="AG111" s="1334"/>
      <c r="AH111" s="1205"/>
      <c r="AI111" s="1334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</row>
    <row r="112" spans="1:84" ht="66.599999999999994" hidden="1" customHeight="1" thickBot="1">
      <c r="A112" s="594"/>
      <c r="B112" s="600"/>
      <c r="C112" s="68"/>
      <c r="D112" s="601"/>
      <c r="E112" s="567"/>
      <c r="F112" s="567"/>
      <c r="G112" s="568"/>
      <c r="H112" s="68"/>
      <c r="I112" s="68"/>
      <c r="J112" s="68"/>
    </row>
    <row r="113" spans="1:84" ht="13.95" hidden="1" customHeight="1">
      <c r="A113" s="594"/>
      <c r="B113" s="600"/>
      <c r="C113" s="68"/>
      <c r="D113" s="601"/>
      <c r="E113" s="567"/>
      <c r="F113" s="567"/>
      <c r="G113" s="568"/>
      <c r="H113" s="68"/>
      <c r="I113" s="68"/>
      <c r="J113" s="68"/>
    </row>
    <row r="114" spans="1:84" ht="27" hidden="1" customHeight="1">
      <c r="A114" s="594"/>
      <c r="B114" s="600"/>
      <c r="C114" s="68"/>
      <c r="D114" s="601"/>
      <c r="E114" s="567"/>
      <c r="F114" s="567"/>
      <c r="G114" s="568"/>
      <c r="H114" s="68"/>
      <c r="I114" s="68"/>
      <c r="J114" s="68"/>
    </row>
    <row r="115" spans="1:84" ht="13.95" hidden="1" customHeight="1">
      <c r="A115" s="594"/>
      <c r="B115" s="600"/>
      <c r="C115" s="68"/>
      <c r="D115" s="601"/>
      <c r="E115" s="567"/>
      <c r="F115" s="567"/>
      <c r="G115" s="568"/>
      <c r="H115" s="68"/>
      <c r="I115" s="68"/>
      <c r="J115" s="68"/>
    </row>
    <row r="116" spans="1:84" ht="13.95" hidden="1" customHeight="1">
      <c r="A116" s="594"/>
      <c r="B116" s="600"/>
      <c r="C116" s="68"/>
      <c r="D116" s="601"/>
      <c r="E116" s="567"/>
      <c r="F116" s="567"/>
      <c r="G116" s="568"/>
      <c r="H116" s="68"/>
      <c r="I116" s="68"/>
      <c r="J116" s="68"/>
    </row>
    <row r="117" spans="1:84" ht="13.95" hidden="1" customHeight="1">
      <c r="A117" s="594"/>
      <c r="B117" s="600"/>
      <c r="C117" s="68"/>
      <c r="D117" s="601"/>
      <c r="E117" s="567"/>
      <c r="F117" s="567"/>
      <c r="G117" s="568"/>
      <c r="H117" s="68"/>
      <c r="I117" s="68"/>
      <c r="J117" s="68"/>
    </row>
    <row r="118" spans="1:84" ht="13.95" hidden="1" customHeight="1">
      <c r="A118" s="594"/>
      <c r="B118" s="600"/>
      <c r="C118" s="68"/>
      <c r="D118" s="601"/>
      <c r="E118" s="567"/>
      <c r="F118" s="567"/>
      <c r="G118" s="568"/>
      <c r="H118" s="68"/>
      <c r="I118" s="68"/>
      <c r="J118" s="68"/>
    </row>
    <row r="119" spans="1:84" ht="28.2" hidden="1" customHeight="1">
      <c r="A119" s="594"/>
      <c r="B119" s="600"/>
      <c r="C119" s="68"/>
      <c r="D119" s="601"/>
      <c r="E119" s="567"/>
      <c r="F119" s="567"/>
      <c r="G119" s="568"/>
      <c r="H119" s="68"/>
      <c r="I119" s="68"/>
      <c r="J119" s="68"/>
    </row>
    <row r="120" spans="1:84" s="87" customFormat="1">
      <c r="A120" s="594"/>
      <c r="B120" s="600"/>
      <c r="C120" s="68"/>
      <c r="D120" s="601"/>
      <c r="E120" s="567"/>
      <c r="F120" s="567"/>
      <c r="G120" s="568"/>
      <c r="H120" s="68"/>
      <c r="I120" s="68"/>
      <c r="J120" s="68"/>
      <c r="K120" s="993"/>
      <c r="L120" s="999"/>
      <c r="M120" s="1000"/>
      <c r="N120" s="1024"/>
      <c r="O120" s="335"/>
      <c r="P120" s="1205"/>
      <c r="Q120" s="1334"/>
      <c r="R120" s="1205"/>
      <c r="S120" s="1334"/>
      <c r="T120" s="1205"/>
      <c r="U120" s="1334"/>
      <c r="V120" s="1205"/>
      <c r="W120" s="1334"/>
      <c r="X120" s="1205"/>
      <c r="Y120" s="1334"/>
      <c r="Z120" s="1205"/>
      <c r="AA120" s="1334"/>
      <c r="AB120" s="1205"/>
      <c r="AC120" s="1334"/>
      <c r="AD120" s="1205"/>
      <c r="AE120" s="1334"/>
      <c r="AF120" s="1205"/>
      <c r="AG120" s="1334"/>
      <c r="AH120" s="1205"/>
      <c r="AI120" s="1334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</row>
    <row r="121" spans="1:84">
      <c r="A121" s="594"/>
      <c r="B121" s="600"/>
      <c r="C121" s="68"/>
      <c r="D121" s="601"/>
      <c r="E121" s="567"/>
      <c r="F121" s="567"/>
      <c r="G121" s="568"/>
      <c r="H121" s="68"/>
      <c r="I121" s="68"/>
      <c r="J121" s="68"/>
    </row>
    <row r="122" spans="1:84">
      <c r="A122" s="594"/>
      <c r="B122" s="600"/>
      <c r="C122" s="68"/>
      <c r="D122" s="601"/>
      <c r="E122" s="567"/>
      <c r="F122" s="567"/>
      <c r="G122" s="568"/>
      <c r="H122" s="68"/>
      <c r="I122" s="68"/>
      <c r="J122" s="68"/>
    </row>
    <row r="123" spans="1:84">
      <c r="A123" s="594"/>
      <c r="B123" s="600"/>
      <c r="C123" s="68"/>
      <c r="D123" s="601"/>
      <c r="E123" s="567"/>
      <c r="F123" s="567"/>
      <c r="G123" s="568"/>
      <c r="H123" s="68"/>
      <c r="I123" s="68"/>
      <c r="J123" s="68"/>
    </row>
    <row r="124" spans="1:84">
      <c r="A124" s="594"/>
      <c r="B124" s="600"/>
      <c r="C124" s="68"/>
      <c r="D124" s="601"/>
      <c r="E124" s="567"/>
      <c r="F124" s="567"/>
      <c r="G124" s="568"/>
      <c r="H124" s="68"/>
      <c r="I124" s="68"/>
      <c r="J124" s="68"/>
    </row>
    <row r="125" spans="1:84">
      <c r="A125" s="594"/>
      <c r="B125" s="600"/>
      <c r="C125" s="68"/>
      <c r="D125" s="601"/>
      <c r="E125" s="567"/>
      <c r="F125" s="567"/>
      <c r="G125" s="568"/>
      <c r="H125" s="68"/>
      <c r="I125" s="68"/>
      <c r="J125" s="68"/>
    </row>
    <row r="126" spans="1:84">
      <c r="A126" s="594"/>
      <c r="B126" s="600"/>
      <c r="C126" s="68"/>
      <c r="D126" s="601"/>
      <c r="E126" s="567"/>
      <c r="F126" s="567"/>
      <c r="G126" s="568"/>
      <c r="H126" s="68"/>
      <c r="I126" s="68"/>
      <c r="J126" s="68"/>
    </row>
    <row r="127" spans="1:84" ht="13.8" thickBot="1">
      <c r="A127" s="594"/>
      <c r="B127" s="600"/>
      <c r="C127" s="68"/>
      <c r="D127" s="601"/>
      <c r="E127" s="567"/>
      <c r="F127" s="567"/>
      <c r="G127" s="568"/>
      <c r="H127" s="68"/>
      <c r="I127" s="68"/>
      <c r="J127" s="68"/>
    </row>
    <row r="128" spans="1:84" s="87" customFormat="1">
      <c r="A128" s="594"/>
      <c r="B128" s="600"/>
      <c r="C128" s="68"/>
      <c r="D128" s="601"/>
      <c r="E128" s="567"/>
      <c r="F128" s="567"/>
      <c r="G128" s="568"/>
      <c r="H128" s="68"/>
      <c r="I128" s="68"/>
      <c r="J128" s="68"/>
      <c r="K128" s="993"/>
      <c r="L128" s="999"/>
      <c r="M128" s="1000"/>
      <c r="N128" s="1024"/>
      <c r="O128" s="335"/>
      <c r="P128" s="1205"/>
      <c r="Q128" s="1334"/>
      <c r="R128" s="1205"/>
      <c r="S128" s="1334"/>
      <c r="T128" s="1205"/>
      <c r="U128" s="1334"/>
      <c r="V128" s="1205"/>
      <c r="W128" s="1334"/>
      <c r="X128" s="1205"/>
      <c r="Y128" s="1334"/>
      <c r="Z128" s="1205"/>
      <c r="AA128" s="1334"/>
      <c r="AB128" s="1205"/>
      <c r="AC128" s="1334"/>
      <c r="AD128" s="1205"/>
      <c r="AE128" s="1334"/>
      <c r="AF128" s="1205"/>
      <c r="AG128" s="1334"/>
      <c r="AH128" s="1205"/>
      <c r="AI128" s="1334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</row>
    <row r="129" spans="1:84">
      <c r="A129" s="595"/>
      <c r="B129" s="600"/>
      <c r="C129" s="68"/>
      <c r="D129" s="601"/>
      <c r="E129" s="567"/>
      <c r="F129" s="567"/>
      <c r="G129" s="568"/>
      <c r="H129" s="68"/>
      <c r="I129" s="68"/>
      <c r="J129" s="68"/>
    </row>
    <row r="130" spans="1:84">
      <c r="A130" s="595"/>
      <c r="B130" s="600"/>
      <c r="C130" s="68"/>
      <c r="D130" s="601"/>
      <c r="E130" s="567"/>
      <c r="F130" s="567"/>
      <c r="G130" s="568"/>
      <c r="H130" s="68"/>
      <c r="I130" s="68"/>
      <c r="J130" s="68"/>
    </row>
    <row r="131" spans="1:84">
      <c r="A131" s="595"/>
      <c r="B131" s="600"/>
      <c r="C131" s="68"/>
      <c r="D131" s="601"/>
      <c r="E131" s="567"/>
      <c r="F131" s="567"/>
      <c r="G131" s="568"/>
      <c r="H131" s="68"/>
      <c r="I131" s="68"/>
      <c r="J131" s="68"/>
    </row>
    <row r="132" spans="1:84">
      <c r="A132" s="595"/>
      <c r="B132" s="600"/>
      <c r="C132" s="68"/>
      <c r="D132" s="601"/>
      <c r="E132" s="567"/>
      <c r="F132" s="567"/>
      <c r="G132" s="568"/>
      <c r="H132" s="68"/>
      <c r="I132" s="68"/>
      <c r="J132" s="68"/>
    </row>
    <row r="133" spans="1:84">
      <c r="A133" s="595"/>
      <c r="B133" s="600"/>
      <c r="C133" s="68"/>
      <c r="D133" s="601"/>
      <c r="E133" s="567"/>
      <c r="F133" s="567"/>
      <c r="G133" s="568"/>
      <c r="H133" s="68"/>
      <c r="I133" s="68"/>
      <c r="J133" s="68"/>
    </row>
    <row r="134" spans="1:84" ht="14.4" thickBot="1">
      <c r="A134" s="596"/>
      <c r="B134" s="609"/>
      <c r="D134" s="610"/>
      <c r="E134" s="571"/>
      <c r="F134" s="571"/>
      <c r="G134" s="572"/>
    </row>
    <row r="135" spans="1:84" s="87" customFormat="1" ht="13.8">
      <c r="A135" s="596"/>
      <c r="B135" s="609"/>
      <c r="C135"/>
      <c r="D135" s="610"/>
      <c r="E135" s="571"/>
      <c r="F135" s="571"/>
      <c r="G135" s="572"/>
      <c r="H135"/>
      <c r="I135"/>
      <c r="J135"/>
      <c r="K135" s="993"/>
      <c r="L135" s="999"/>
      <c r="M135" s="1000"/>
      <c r="N135" s="1024"/>
      <c r="O135" s="335"/>
      <c r="P135" s="1205"/>
      <c r="Q135" s="1334"/>
      <c r="R135" s="1205"/>
      <c r="S135" s="1334"/>
      <c r="T135" s="1205"/>
      <c r="U135" s="1334"/>
      <c r="V135" s="1205"/>
      <c r="W135" s="1334"/>
      <c r="X135" s="1205"/>
      <c r="Y135" s="1334"/>
      <c r="Z135" s="1205"/>
      <c r="AA135" s="1334"/>
      <c r="AB135" s="1205"/>
      <c r="AC135" s="1334"/>
      <c r="AD135" s="1205"/>
      <c r="AE135" s="1334"/>
      <c r="AF135" s="1205"/>
      <c r="AG135" s="1334"/>
      <c r="AH135" s="1205"/>
      <c r="AI135" s="1334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</row>
    <row r="136" spans="1:84" ht="14.4" thickBot="1">
      <c r="A136" s="596"/>
      <c r="B136" s="609"/>
      <c r="D136" s="610"/>
      <c r="E136" s="571"/>
      <c r="F136" s="571"/>
      <c r="G136" s="572"/>
    </row>
    <row r="137" spans="1:84" s="87" customFormat="1" ht="13.95" customHeight="1">
      <c r="A137" s="596"/>
      <c r="B137" s="609"/>
      <c r="C137"/>
      <c r="D137" s="610"/>
      <c r="E137" s="571"/>
      <c r="F137" s="571"/>
      <c r="G137" s="572"/>
      <c r="H137"/>
      <c r="I137"/>
      <c r="J137"/>
      <c r="K137" s="993"/>
      <c r="L137" s="999"/>
      <c r="M137" s="1000"/>
      <c r="N137" s="1024"/>
      <c r="O137" s="335"/>
      <c r="P137" s="1205"/>
      <c r="Q137" s="1334"/>
      <c r="R137" s="1205"/>
      <c r="S137" s="1334"/>
      <c r="T137" s="1205"/>
      <c r="U137" s="1334"/>
      <c r="V137" s="1205"/>
      <c r="W137" s="1334"/>
      <c r="X137" s="1205"/>
      <c r="Y137" s="1334"/>
      <c r="Z137" s="1205"/>
      <c r="AA137" s="1334"/>
      <c r="AB137" s="1205"/>
      <c r="AC137" s="1334"/>
      <c r="AD137" s="1205"/>
      <c r="AE137" s="1334"/>
      <c r="AF137" s="1205"/>
      <c r="AG137" s="1334"/>
      <c r="AH137" s="1205"/>
      <c r="AI137" s="1334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</row>
    <row r="138" spans="1:84" ht="13.8">
      <c r="A138" s="596"/>
      <c r="B138" s="609"/>
      <c r="D138" s="610"/>
      <c r="E138" s="571"/>
      <c r="F138" s="571"/>
      <c r="G138" s="572"/>
    </row>
    <row r="139" spans="1:84" ht="13.8">
      <c r="A139" s="596"/>
      <c r="B139" s="609"/>
      <c r="D139" s="610"/>
      <c r="E139" s="571"/>
      <c r="F139" s="571"/>
      <c r="G139" s="572"/>
    </row>
    <row r="140" spans="1:84" ht="13.8">
      <c r="A140" s="596"/>
      <c r="B140" s="609"/>
      <c r="D140" s="610"/>
      <c r="E140" s="571"/>
      <c r="F140" s="571"/>
      <c r="G140" s="572"/>
    </row>
    <row r="141" spans="1:84" ht="13.8">
      <c r="A141" s="596"/>
      <c r="B141" s="609"/>
      <c r="D141" s="610"/>
      <c r="E141" s="571"/>
      <c r="F141" s="571"/>
      <c r="G141" s="572"/>
    </row>
    <row r="142" spans="1:84" ht="13.8">
      <c r="A142" s="596"/>
      <c r="B142" s="609"/>
      <c r="D142" s="610"/>
      <c r="E142" s="571"/>
      <c r="F142" s="571"/>
      <c r="G142" s="572"/>
    </row>
    <row r="143" spans="1:84" ht="13.8">
      <c r="A143" s="596"/>
      <c r="B143" s="609"/>
      <c r="D143" s="610"/>
      <c r="E143" s="571"/>
      <c r="F143" s="571"/>
      <c r="G143" s="572"/>
    </row>
    <row r="144" spans="1:84" ht="13.8">
      <c r="A144" s="596"/>
      <c r="B144" s="609"/>
      <c r="D144" s="610"/>
      <c r="E144" s="571"/>
      <c r="F144" s="571"/>
      <c r="G144" s="572"/>
    </row>
    <row r="145" spans="1:84" ht="13.8">
      <c r="A145" s="596"/>
      <c r="B145" s="609"/>
      <c r="D145" s="610"/>
      <c r="E145" s="571"/>
      <c r="F145" s="571"/>
      <c r="G145" s="572"/>
    </row>
    <row r="146" spans="1:84" ht="13.8">
      <c r="A146" s="596"/>
      <c r="B146" s="609"/>
      <c r="D146" s="610"/>
      <c r="E146" s="571"/>
      <c r="F146" s="571"/>
      <c r="G146" s="572"/>
    </row>
    <row r="147" spans="1:84" ht="13.8">
      <c r="A147" s="596"/>
      <c r="B147" s="609"/>
      <c r="D147" s="610"/>
      <c r="E147" s="571"/>
      <c r="F147" s="571"/>
      <c r="G147" s="572"/>
    </row>
    <row r="148" spans="1:84" ht="13.8">
      <c r="A148" s="596"/>
      <c r="B148" s="609"/>
      <c r="D148" s="610"/>
      <c r="E148" s="571"/>
      <c r="F148" s="571"/>
      <c r="G148" s="572"/>
    </row>
    <row r="149" spans="1:84" ht="13.8">
      <c r="A149" s="596"/>
      <c r="B149" s="609"/>
      <c r="D149" s="610"/>
      <c r="E149" s="571"/>
      <c r="F149" s="571"/>
      <c r="G149" s="572"/>
    </row>
    <row r="150" spans="1:84" ht="13.8">
      <c r="A150" s="596"/>
      <c r="B150" s="609"/>
      <c r="D150" s="610"/>
      <c r="E150" s="571"/>
      <c r="F150" s="571"/>
      <c r="G150" s="572"/>
    </row>
    <row r="151" spans="1:84" ht="13.8">
      <c r="A151" s="596"/>
      <c r="B151" s="609"/>
      <c r="D151" s="610"/>
      <c r="E151" s="571"/>
      <c r="F151" s="571"/>
      <c r="G151" s="572"/>
    </row>
    <row r="152" spans="1:84" s="88" customFormat="1" ht="14.4" thickBot="1">
      <c r="A152" s="596"/>
      <c r="B152" s="609"/>
      <c r="C152"/>
      <c r="D152" s="610"/>
      <c r="E152" s="571"/>
      <c r="F152" s="571"/>
      <c r="G152" s="572"/>
      <c r="H152"/>
      <c r="I152"/>
      <c r="J152"/>
      <c r="K152" s="993"/>
      <c r="L152" s="999"/>
      <c r="M152" s="1000"/>
      <c r="N152" s="1024"/>
      <c r="O152" s="335"/>
      <c r="P152" s="1205"/>
      <c r="Q152" s="1334"/>
      <c r="R152" s="1205"/>
      <c r="S152" s="1334"/>
      <c r="T152" s="1205"/>
      <c r="U152" s="1334"/>
      <c r="V152" s="1205"/>
      <c r="W152" s="1334"/>
      <c r="X152" s="1205"/>
      <c r="Y152" s="1334"/>
      <c r="Z152" s="1205"/>
      <c r="AA152" s="1334"/>
      <c r="AB152" s="1205"/>
      <c r="AC152" s="1334"/>
      <c r="AD152" s="1205"/>
      <c r="AE152" s="1334"/>
      <c r="AF152" s="1205"/>
      <c r="AG152" s="1334"/>
      <c r="AH152" s="1205"/>
      <c r="AI152" s="1334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</row>
    <row r="153" spans="1:84" ht="13.95" customHeight="1">
      <c r="A153" s="596"/>
      <c r="B153" s="609"/>
      <c r="D153" s="610"/>
      <c r="E153" s="571"/>
      <c r="F153" s="571"/>
      <c r="G153" s="572"/>
    </row>
    <row r="154" spans="1:84" ht="13.8">
      <c r="A154" s="596"/>
      <c r="B154" s="609"/>
      <c r="D154" s="610"/>
      <c r="E154" s="571"/>
      <c r="F154" s="571"/>
      <c r="G154" s="572"/>
    </row>
    <row r="155" spans="1:84" ht="13.8">
      <c r="A155" s="596"/>
      <c r="B155" s="609"/>
      <c r="D155" s="610"/>
      <c r="E155" s="571"/>
      <c r="F155" s="571"/>
      <c r="G155" s="572"/>
    </row>
    <row r="156" spans="1:84" ht="13.8">
      <c r="A156" s="596"/>
      <c r="B156" s="609"/>
      <c r="D156" s="610"/>
      <c r="E156" s="571"/>
      <c r="F156" s="571"/>
      <c r="G156" s="572"/>
    </row>
    <row r="157" spans="1:84" ht="13.8">
      <c r="A157" s="596"/>
      <c r="B157" s="609"/>
      <c r="D157" s="610"/>
      <c r="E157" s="571"/>
      <c r="F157" s="571"/>
      <c r="G157" s="572"/>
    </row>
    <row r="158" spans="1:84" ht="13.8">
      <c r="A158" s="596"/>
      <c r="B158" s="609"/>
      <c r="D158" s="610"/>
      <c r="E158" s="571"/>
      <c r="F158" s="571"/>
      <c r="G158" s="572"/>
    </row>
    <row r="159" spans="1:84" ht="13.8">
      <c r="A159" s="596"/>
      <c r="B159" s="609"/>
      <c r="D159" s="610"/>
      <c r="E159" s="571"/>
      <c r="F159" s="571"/>
      <c r="G159" s="572"/>
    </row>
    <row r="160" spans="1:84" ht="13.8">
      <c r="A160" s="596"/>
      <c r="B160" s="609"/>
      <c r="D160" s="610"/>
      <c r="E160" s="571"/>
      <c r="F160" s="571"/>
      <c r="G160" s="572"/>
    </row>
    <row r="161" spans="1:7" ht="13.8">
      <c r="A161" s="596"/>
      <c r="B161" s="609"/>
      <c r="D161" s="610"/>
      <c r="E161" s="571"/>
      <c r="F161" s="571"/>
      <c r="G161" s="572"/>
    </row>
    <row r="162" spans="1:7" ht="13.8">
      <c r="A162" s="596"/>
      <c r="B162" s="609"/>
      <c r="D162" s="610"/>
      <c r="E162" s="571"/>
      <c r="F162" s="571"/>
      <c r="G162" s="572"/>
    </row>
    <row r="163" spans="1:7" ht="13.8">
      <c r="A163" s="596"/>
      <c r="B163" s="609"/>
      <c r="D163" s="610"/>
      <c r="E163" s="571"/>
      <c r="F163" s="571"/>
      <c r="G163" s="572"/>
    </row>
    <row r="164" spans="1:7" ht="13.8">
      <c r="A164" s="596"/>
      <c r="B164" s="609"/>
      <c r="D164" s="610"/>
      <c r="E164" s="571"/>
      <c r="F164" s="571"/>
      <c r="G164" s="572"/>
    </row>
    <row r="165" spans="1:7" ht="13.8">
      <c r="A165" s="596"/>
      <c r="B165" s="609"/>
      <c r="D165" s="610"/>
      <c r="E165" s="571"/>
      <c r="F165" s="571"/>
      <c r="G165" s="572"/>
    </row>
    <row r="166" spans="1:7" ht="13.8">
      <c r="A166" s="596"/>
      <c r="B166" s="609"/>
      <c r="D166" s="610"/>
      <c r="E166" s="571"/>
      <c r="F166" s="571"/>
      <c r="G166" s="572"/>
    </row>
    <row r="167" spans="1:7" ht="13.8">
      <c r="A167" s="596"/>
      <c r="B167" s="609"/>
      <c r="D167" s="610"/>
      <c r="E167" s="571"/>
      <c r="F167" s="571"/>
      <c r="G167" s="572"/>
    </row>
    <row r="168" spans="1:7" ht="13.8">
      <c r="A168" s="596"/>
      <c r="B168" s="609"/>
      <c r="D168" s="610"/>
      <c r="E168" s="571"/>
      <c r="F168" s="571"/>
      <c r="G168" s="572"/>
    </row>
    <row r="169" spans="1:7" ht="13.8">
      <c r="A169" s="596"/>
      <c r="B169" s="609"/>
      <c r="D169" s="610"/>
      <c r="E169" s="571"/>
      <c r="F169" s="571"/>
      <c r="G169" s="572"/>
    </row>
    <row r="170" spans="1:7" ht="13.8">
      <c r="A170" s="596"/>
      <c r="B170" s="609"/>
      <c r="D170" s="610"/>
      <c r="E170" s="571"/>
      <c r="F170" s="571"/>
      <c r="G170" s="572"/>
    </row>
    <row r="171" spans="1:7" ht="13.8">
      <c r="A171" s="596"/>
      <c r="B171" s="609"/>
      <c r="D171" s="610"/>
      <c r="E171" s="571"/>
      <c r="F171" s="571"/>
      <c r="G171" s="572"/>
    </row>
    <row r="172" spans="1:7" ht="13.8">
      <c r="A172" s="596"/>
      <c r="B172" s="609"/>
      <c r="D172" s="610"/>
      <c r="E172" s="571"/>
      <c r="F172" s="571"/>
      <c r="G172" s="572"/>
    </row>
    <row r="173" spans="1:7" ht="13.8">
      <c r="A173" s="596"/>
      <c r="B173" s="609"/>
      <c r="D173" s="610"/>
      <c r="E173" s="571"/>
      <c r="F173" s="571"/>
      <c r="G173" s="572"/>
    </row>
    <row r="174" spans="1:7" ht="13.8">
      <c r="A174" s="596"/>
      <c r="B174" s="609"/>
      <c r="D174" s="610"/>
      <c r="E174" s="571"/>
      <c r="F174" s="571"/>
      <c r="G174" s="572"/>
    </row>
    <row r="175" spans="1:7" ht="13.8">
      <c r="A175" s="596"/>
      <c r="B175" s="609"/>
      <c r="D175" s="610"/>
      <c r="E175" s="571"/>
      <c r="F175" s="571"/>
      <c r="G175" s="572"/>
    </row>
    <row r="176" spans="1:7" ht="13.8">
      <c r="A176" s="596"/>
      <c r="B176" s="609"/>
      <c r="D176" s="610"/>
      <c r="E176" s="571"/>
      <c r="F176" s="571"/>
      <c r="G176" s="572"/>
    </row>
    <row r="177" spans="1:7" ht="13.8">
      <c r="A177" s="596"/>
      <c r="B177" s="609"/>
      <c r="D177" s="610"/>
      <c r="E177" s="571"/>
      <c r="F177" s="571"/>
      <c r="G177" s="572"/>
    </row>
    <row r="178" spans="1:7" ht="13.8">
      <c r="A178" s="596"/>
      <c r="B178" s="609"/>
      <c r="D178" s="610"/>
      <c r="E178" s="571"/>
      <c r="F178" s="571"/>
      <c r="G178" s="572"/>
    </row>
    <row r="179" spans="1:7" ht="13.8">
      <c r="A179" s="596"/>
      <c r="B179" s="609"/>
      <c r="D179" s="610"/>
      <c r="E179" s="571"/>
      <c r="F179" s="571"/>
      <c r="G179" s="572"/>
    </row>
    <row r="180" spans="1:7" ht="13.8">
      <c r="A180" s="596"/>
      <c r="B180" s="609"/>
      <c r="D180" s="610"/>
      <c r="E180" s="571"/>
      <c r="F180" s="571"/>
      <c r="G180" s="572"/>
    </row>
    <row r="181" spans="1:7" ht="13.8">
      <c r="A181" s="596"/>
      <c r="B181" s="609"/>
      <c r="D181" s="610"/>
      <c r="E181" s="571"/>
      <c r="F181" s="571"/>
      <c r="G181" s="572"/>
    </row>
    <row r="182" spans="1:7" ht="13.8">
      <c r="A182" s="596"/>
      <c r="B182" s="609"/>
      <c r="D182" s="610"/>
      <c r="E182" s="571"/>
      <c r="F182" s="571"/>
      <c r="G182" s="572"/>
    </row>
    <row r="183" spans="1:7" ht="13.8">
      <c r="A183" s="596"/>
      <c r="B183" s="609"/>
      <c r="D183" s="610"/>
      <c r="E183" s="571"/>
      <c r="F183" s="571"/>
      <c r="G183" s="572"/>
    </row>
    <row r="184" spans="1:7" ht="13.8">
      <c r="A184" s="596"/>
      <c r="B184" s="609"/>
      <c r="D184" s="610"/>
      <c r="E184" s="571"/>
      <c r="F184" s="571"/>
      <c r="G184" s="572"/>
    </row>
    <row r="185" spans="1:7" ht="13.8">
      <c r="A185" s="596"/>
      <c r="B185" s="609"/>
      <c r="D185" s="610"/>
      <c r="E185" s="571"/>
      <c r="F185" s="571"/>
      <c r="G185" s="572"/>
    </row>
    <row r="186" spans="1:7" ht="13.8">
      <c r="A186" s="596"/>
      <c r="B186" s="609"/>
      <c r="D186" s="610"/>
      <c r="E186" s="571"/>
      <c r="F186" s="571"/>
      <c r="G186" s="572"/>
    </row>
    <row r="187" spans="1:7" ht="13.8">
      <c r="A187" s="596"/>
      <c r="B187" s="609"/>
      <c r="D187" s="610"/>
      <c r="E187" s="571"/>
      <c r="F187" s="571"/>
      <c r="G187" s="572"/>
    </row>
    <row r="188" spans="1:7" ht="13.8">
      <c r="A188" s="596"/>
      <c r="B188" s="609"/>
      <c r="D188" s="610"/>
      <c r="E188" s="571"/>
      <c r="F188" s="571"/>
      <c r="G188" s="572"/>
    </row>
    <row r="189" spans="1:7" ht="13.8">
      <c r="A189" s="596"/>
      <c r="B189" s="609"/>
      <c r="D189" s="610"/>
      <c r="E189" s="571"/>
      <c r="F189" s="571"/>
      <c r="G189" s="572"/>
    </row>
    <row r="190" spans="1:7" ht="13.8">
      <c r="A190" s="596"/>
      <c r="B190" s="609"/>
      <c r="D190" s="610"/>
      <c r="E190" s="571"/>
      <c r="F190" s="571"/>
      <c r="G190" s="572"/>
    </row>
    <row r="191" spans="1:7" ht="13.8">
      <c r="A191" s="596"/>
      <c r="B191" s="609"/>
      <c r="D191" s="610"/>
      <c r="E191" s="571"/>
      <c r="F191" s="571"/>
      <c r="G191" s="572"/>
    </row>
    <row r="192" spans="1:7" ht="13.8">
      <c r="A192" s="596"/>
      <c r="B192" s="609"/>
      <c r="D192" s="610"/>
      <c r="E192" s="571"/>
      <c r="F192" s="571"/>
      <c r="G192" s="572"/>
    </row>
    <row r="193" spans="1:7" ht="13.8">
      <c r="A193" s="596"/>
      <c r="B193" s="609"/>
      <c r="D193" s="610"/>
      <c r="E193" s="571"/>
      <c r="F193" s="571"/>
      <c r="G193" s="572"/>
    </row>
    <row r="194" spans="1:7" ht="13.8">
      <c r="A194" s="596"/>
      <c r="B194" s="609"/>
      <c r="D194" s="610"/>
      <c r="E194" s="571"/>
      <c r="F194" s="571"/>
      <c r="G194" s="572"/>
    </row>
    <row r="195" spans="1:7" ht="13.8">
      <c r="A195" s="596"/>
      <c r="B195" s="609"/>
      <c r="D195" s="610"/>
      <c r="E195" s="571"/>
      <c r="F195" s="571"/>
      <c r="G195" s="572"/>
    </row>
    <row r="196" spans="1:7" ht="13.8">
      <c r="A196" s="596"/>
      <c r="B196" s="609"/>
      <c r="D196" s="610"/>
      <c r="E196" s="571"/>
      <c r="F196" s="571"/>
      <c r="G196" s="572"/>
    </row>
    <row r="197" spans="1:7" ht="13.8">
      <c r="A197" s="596"/>
      <c r="B197" s="609"/>
      <c r="D197" s="610"/>
      <c r="E197" s="571"/>
      <c r="F197" s="571"/>
      <c r="G197" s="572"/>
    </row>
    <row r="198" spans="1:7" ht="13.8">
      <c r="A198" s="596"/>
      <c r="B198" s="609"/>
      <c r="D198" s="610"/>
      <c r="E198" s="571"/>
      <c r="F198" s="571"/>
      <c r="G198" s="572"/>
    </row>
    <row r="199" spans="1:7" ht="13.8">
      <c r="A199" s="596"/>
      <c r="B199" s="609"/>
      <c r="D199" s="610"/>
      <c r="E199" s="571"/>
      <c r="F199" s="571"/>
      <c r="G199" s="572"/>
    </row>
    <row r="200" spans="1:7" ht="13.8">
      <c r="A200" s="596"/>
      <c r="B200" s="609"/>
      <c r="D200" s="610"/>
      <c r="E200" s="571"/>
      <c r="F200" s="571"/>
      <c r="G200" s="572"/>
    </row>
    <row r="201" spans="1:7" ht="13.8">
      <c r="A201" s="596"/>
      <c r="B201" s="609"/>
      <c r="D201" s="610"/>
      <c r="E201" s="571"/>
      <c r="F201" s="571"/>
      <c r="G201" s="572"/>
    </row>
    <row r="202" spans="1:7" ht="13.8">
      <c r="A202" s="596"/>
      <c r="B202" s="609"/>
      <c r="D202" s="610"/>
      <c r="E202" s="571"/>
      <c r="F202" s="571"/>
      <c r="G202" s="572"/>
    </row>
    <row r="203" spans="1:7" ht="13.8">
      <c r="A203" s="596"/>
      <c r="B203" s="609"/>
      <c r="D203" s="610"/>
      <c r="E203" s="571"/>
      <c r="F203" s="571"/>
      <c r="G203" s="572"/>
    </row>
    <row r="204" spans="1:7" ht="13.8">
      <c r="A204" s="596"/>
      <c r="B204" s="609"/>
      <c r="D204" s="610"/>
      <c r="E204" s="571"/>
      <c r="F204" s="571"/>
      <c r="G204" s="572"/>
    </row>
    <row r="205" spans="1:7" ht="13.8">
      <c r="A205" s="596"/>
      <c r="B205" s="609"/>
      <c r="D205" s="610"/>
      <c r="E205" s="571"/>
      <c r="F205" s="571"/>
      <c r="G205" s="572"/>
    </row>
    <row r="206" spans="1:7" ht="13.8">
      <c r="A206" s="596"/>
      <c r="B206" s="609"/>
      <c r="D206" s="610"/>
      <c r="E206" s="571"/>
      <c r="F206" s="571"/>
      <c r="G206" s="572"/>
    </row>
    <row r="207" spans="1:7" ht="13.8">
      <c r="A207" s="596"/>
      <c r="B207" s="609"/>
      <c r="D207" s="610"/>
      <c r="E207" s="571"/>
      <c r="F207" s="571"/>
      <c r="G207" s="572"/>
    </row>
    <row r="208" spans="1:7" ht="13.8">
      <c r="A208" s="596"/>
      <c r="B208" s="609"/>
      <c r="D208" s="610"/>
      <c r="E208" s="571"/>
      <c r="F208" s="571"/>
      <c r="G208" s="572"/>
    </row>
    <row r="209" spans="1:7" ht="13.8">
      <c r="A209" s="596"/>
      <c r="B209" s="609"/>
      <c r="D209" s="610"/>
      <c r="E209" s="571"/>
      <c r="F209" s="571"/>
      <c r="G209" s="572"/>
    </row>
    <row r="210" spans="1:7" ht="13.8">
      <c r="A210" s="596"/>
      <c r="B210" s="609"/>
      <c r="D210" s="610"/>
      <c r="E210" s="571"/>
      <c r="F210" s="571"/>
      <c r="G210" s="572"/>
    </row>
    <row r="211" spans="1:7" ht="13.8">
      <c r="A211" s="596"/>
      <c r="B211" s="609"/>
      <c r="D211" s="610"/>
      <c r="E211" s="571"/>
      <c r="F211" s="571"/>
      <c r="G211" s="572"/>
    </row>
    <row r="212" spans="1:7" ht="13.8">
      <c r="A212" s="596"/>
      <c r="B212" s="609"/>
      <c r="D212" s="610"/>
      <c r="E212" s="571"/>
      <c r="F212" s="571"/>
      <c r="G212" s="572"/>
    </row>
    <row r="213" spans="1:7" ht="13.8">
      <c r="A213" s="596"/>
      <c r="B213" s="609"/>
      <c r="D213" s="610"/>
      <c r="E213" s="571"/>
      <c r="F213" s="571"/>
      <c r="G213" s="572"/>
    </row>
    <row r="214" spans="1:7" ht="13.8">
      <c r="A214" s="596"/>
      <c r="B214" s="609"/>
      <c r="D214" s="610"/>
      <c r="E214" s="571"/>
      <c r="F214" s="571"/>
      <c r="G214" s="572"/>
    </row>
    <row r="215" spans="1:7" ht="13.8">
      <c r="A215" s="596"/>
      <c r="B215" s="609"/>
      <c r="D215" s="610"/>
      <c r="E215" s="571"/>
      <c r="F215" s="571"/>
      <c r="G215" s="572"/>
    </row>
    <row r="216" spans="1:7" ht="13.8">
      <c r="A216" s="596"/>
      <c r="B216" s="609"/>
      <c r="D216" s="610"/>
      <c r="E216" s="571"/>
      <c r="F216" s="571"/>
      <c r="G216" s="572"/>
    </row>
    <row r="217" spans="1:7" ht="13.8">
      <c r="A217" s="596"/>
      <c r="B217" s="609"/>
      <c r="D217" s="610"/>
      <c r="E217" s="571"/>
      <c r="F217" s="571"/>
      <c r="G217" s="572"/>
    </row>
    <row r="218" spans="1:7" ht="13.8">
      <c r="A218" s="596"/>
      <c r="B218" s="609"/>
      <c r="D218" s="610"/>
      <c r="E218" s="571"/>
      <c r="F218" s="571"/>
      <c r="G218" s="572"/>
    </row>
    <row r="219" spans="1:7" ht="13.8">
      <c r="A219" s="596"/>
      <c r="B219" s="609"/>
      <c r="D219" s="610"/>
      <c r="E219" s="571"/>
      <c r="F219" s="571"/>
      <c r="G219" s="572"/>
    </row>
    <row r="220" spans="1:7" ht="13.8">
      <c r="A220" s="596"/>
      <c r="B220" s="609"/>
      <c r="D220" s="610"/>
      <c r="E220" s="571"/>
      <c r="F220" s="571"/>
      <c r="G220" s="572"/>
    </row>
    <row r="221" spans="1:7" ht="13.8">
      <c r="A221" s="596"/>
      <c r="B221" s="609"/>
      <c r="D221" s="610"/>
      <c r="E221" s="571"/>
      <c r="F221" s="571"/>
      <c r="G221" s="572"/>
    </row>
    <row r="222" spans="1:7" ht="13.8">
      <c r="A222" s="596"/>
      <c r="B222" s="609"/>
      <c r="D222" s="610"/>
      <c r="E222" s="571"/>
      <c r="F222" s="571"/>
      <c r="G222" s="572"/>
    </row>
    <row r="223" spans="1:7" ht="13.8">
      <c r="A223" s="596"/>
      <c r="B223" s="609"/>
      <c r="D223" s="610"/>
      <c r="E223" s="571"/>
      <c r="F223" s="571"/>
      <c r="G223" s="572"/>
    </row>
    <row r="224" spans="1:7" ht="13.8">
      <c r="A224" s="596"/>
      <c r="B224" s="609"/>
      <c r="D224" s="610"/>
      <c r="E224" s="571"/>
      <c r="F224" s="571"/>
      <c r="G224" s="572"/>
    </row>
    <row r="225" spans="1:7" ht="13.8">
      <c r="A225" s="596"/>
      <c r="B225" s="609"/>
      <c r="D225" s="610"/>
      <c r="E225" s="571"/>
      <c r="F225" s="571"/>
      <c r="G225" s="572"/>
    </row>
    <row r="226" spans="1:7" ht="13.8">
      <c r="A226" s="596"/>
      <c r="B226" s="609"/>
      <c r="D226" s="610"/>
      <c r="E226" s="571"/>
      <c r="F226" s="571"/>
      <c r="G226" s="572"/>
    </row>
    <row r="227" spans="1:7" ht="13.8">
      <c r="A227" s="596"/>
      <c r="B227" s="609"/>
      <c r="D227" s="610"/>
      <c r="E227" s="571"/>
      <c r="F227" s="571"/>
      <c r="G227" s="572"/>
    </row>
    <row r="228" spans="1:7" ht="13.8">
      <c r="A228" s="596"/>
      <c r="B228" s="609"/>
      <c r="D228" s="610"/>
      <c r="E228" s="571"/>
      <c r="F228" s="571"/>
      <c r="G228" s="572"/>
    </row>
    <row r="229" spans="1:7" ht="13.8">
      <c r="A229" s="596"/>
      <c r="B229" s="609"/>
      <c r="D229" s="610"/>
      <c r="E229" s="571"/>
      <c r="F229" s="571"/>
      <c r="G229" s="572"/>
    </row>
    <row r="230" spans="1:7" ht="13.8">
      <c r="A230" s="596"/>
      <c r="B230" s="609"/>
      <c r="D230" s="610"/>
      <c r="E230" s="571"/>
      <c r="F230" s="571"/>
      <c r="G230" s="572"/>
    </row>
    <row r="231" spans="1:7" ht="13.8">
      <c r="A231" s="596"/>
      <c r="B231" s="609"/>
      <c r="D231" s="610"/>
      <c r="E231" s="571"/>
      <c r="F231" s="571"/>
      <c r="G231" s="572"/>
    </row>
    <row r="232" spans="1:7" ht="13.8">
      <c r="A232" s="596"/>
      <c r="B232" s="609"/>
      <c r="D232" s="610"/>
      <c r="E232" s="571"/>
      <c r="F232" s="571"/>
      <c r="G232" s="572"/>
    </row>
    <row r="233" spans="1:7" ht="13.8">
      <c r="A233" s="596"/>
      <c r="B233" s="609"/>
      <c r="D233" s="610"/>
      <c r="E233" s="571"/>
      <c r="F233" s="571"/>
      <c r="G233" s="572"/>
    </row>
    <row r="234" spans="1:7" ht="13.8">
      <c r="A234" s="596"/>
      <c r="B234" s="609"/>
      <c r="D234" s="610"/>
      <c r="E234" s="571"/>
      <c r="F234" s="571"/>
      <c r="G234" s="572"/>
    </row>
    <row r="235" spans="1:7" ht="13.8">
      <c r="A235" s="596"/>
      <c r="B235" s="609"/>
      <c r="D235" s="610"/>
      <c r="E235" s="571"/>
      <c r="F235" s="571"/>
      <c r="G235" s="572"/>
    </row>
    <row r="236" spans="1:7" ht="13.8">
      <c r="A236" s="596"/>
      <c r="B236" s="609"/>
      <c r="D236" s="610"/>
      <c r="E236" s="571"/>
      <c r="F236" s="571"/>
      <c r="G236" s="572"/>
    </row>
    <row r="237" spans="1:7" ht="13.8">
      <c r="A237" s="596"/>
      <c r="B237" s="609"/>
      <c r="D237" s="610"/>
      <c r="E237" s="571"/>
      <c r="F237" s="571"/>
      <c r="G237" s="572"/>
    </row>
    <row r="238" spans="1:7" ht="13.8">
      <c r="A238" s="596"/>
      <c r="B238" s="609"/>
      <c r="D238" s="610"/>
      <c r="E238" s="571"/>
      <c r="F238" s="571"/>
      <c r="G238" s="572"/>
    </row>
    <row r="239" spans="1:7" ht="13.8">
      <c r="A239" s="596"/>
      <c r="B239" s="609"/>
      <c r="D239" s="610"/>
      <c r="E239" s="571"/>
      <c r="F239" s="571"/>
      <c r="G239" s="572"/>
    </row>
    <row r="240" spans="1:7" ht="13.8">
      <c r="A240" s="596"/>
      <c r="B240" s="609"/>
      <c r="D240" s="610"/>
      <c r="E240" s="571"/>
      <c r="F240" s="571"/>
      <c r="G240" s="572"/>
    </row>
    <row r="241" spans="1:7" ht="13.8">
      <c r="A241" s="596"/>
      <c r="B241" s="609"/>
      <c r="D241" s="610"/>
      <c r="E241" s="571"/>
      <c r="F241" s="571"/>
      <c r="G241" s="572"/>
    </row>
    <row r="242" spans="1:7" ht="13.8">
      <c r="A242" s="596"/>
      <c r="B242" s="609"/>
      <c r="D242" s="610"/>
      <c r="E242" s="571"/>
      <c r="F242" s="571"/>
      <c r="G242" s="572"/>
    </row>
    <row r="243" spans="1:7" ht="13.8">
      <c r="A243" s="596"/>
      <c r="B243" s="609"/>
      <c r="D243" s="610"/>
      <c r="E243" s="571"/>
      <c r="F243" s="571"/>
      <c r="G243" s="572"/>
    </row>
    <row r="244" spans="1:7" ht="13.8">
      <c r="A244" s="596"/>
      <c r="B244" s="609"/>
      <c r="D244" s="610"/>
      <c r="E244" s="571"/>
      <c r="F244" s="571"/>
      <c r="G244" s="572"/>
    </row>
    <row r="245" spans="1:7" ht="13.8">
      <c r="A245" s="596"/>
      <c r="B245" s="609"/>
      <c r="D245" s="610"/>
      <c r="E245" s="571"/>
      <c r="F245" s="571"/>
      <c r="G245" s="572"/>
    </row>
    <row r="246" spans="1:7" ht="13.8">
      <c r="A246" s="596"/>
      <c r="B246" s="609"/>
      <c r="D246" s="610"/>
      <c r="E246" s="571"/>
      <c r="F246" s="571"/>
      <c r="G246" s="572"/>
    </row>
    <row r="247" spans="1:7" ht="13.8">
      <c r="A247" s="596"/>
      <c r="B247" s="609"/>
      <c r="D247" s="610"/>
      <c r="E247" s="571"/>
      <c r="F247" s="571"/>
      <c r="G247" s="572"/>
    </row>
    <row r="248" spans="1:7" ht="13.8">
      <c r="A248" s="596"/>
      <c r="B248" s="609"/>
      <c r="D248" s="610"/>
      <c r="E248" s="571"/>
      <c r="F248" s="571"/>
      <c r="G248" s="572"/>
    </row>
    <row r="249" spans="1:7" ht="13.8">
      <c r="A249" s="596"/>
      <c r="B249" s="609"/>
      <c r="D249" s="610"/>
      <c r="E249" s="571"/>
      <c r="F249" s="571"/>
      <c r="G249" s="572"/>
    </row>
    <row r="250" spans="1:7" ht="13.8">
      <c r="A250" s="596"/>
      <c r="B250" s="609"/>
      <c r="D250" s="610"/>
      <c r="E250" s="571"/>
      <c r="F250" s="571"/>
      <c r="G250" s="572"/>
    </row>
    <row r="251" spans="1:7" ht="13.8">
      <c r="A251" s="596"/>
      <c r="B251" s="609"/>
      <c r="D251" s="610"/>
      <c r="E251" s="571"/>
      <c r="F251" s="571"/>
      <c r="G251" s="572"/>
    </row>
    <row r="252" spans="1:7" ht="13.8">
      <c r="A252" s="596"/>
      <c r="B252" s="609"/>
      <c r="D252" s="610"/>
      <c r="E252" s="571"/>
      <c r="F252" s="571"/>
      <c r="G252" s="572"/>
    </row>
    <row r="253" spans="1:7" ht="13.8">
      <c r="A253" s="596"/>
      <c r="B253" s="609"/>
      <c r="D253" s="610"/>
      <c r="E253" s="571"/>
      <c r="F253" s="571"/>
      <c r="G253" s="572"/>
    </row>
    <row r="254" spans="1:7" ht="13.8">
      <c r="A254" s="596"/>
      <c r="B254" s="609"/>
      <c r="D254" s="610"/>
      <c r="E254" s="571"/>
      <c r="F254" s="571"/>
      <c r="G254" s="572"/>
    </row>
    <row r="255" spans="1:7" ht="13.8">
      <c r="A255" s="596"/>
      <c r="B255" s="609"/>
      <c r="D255" s="610"/>
      <c r="E255" s="571"/>
      <c r="F255" s="571"/>
      <c r="G255" s="572"/>
    </row>
    <row r="256" spans="1:7" ht="13.8">
      <c r="A256" s="596"/>
      <c r="B256" s="609"/>
      <c r="D256" s="610"/>
      <c r="E256" s="571"/>
      <c r="F256" s="571"/>
      <c r="G256" s="572"/>
    </row>
    <row r="257" spans="1:7" ht="13.8">
      <c r="A257" s="596"/>
      <c r="B257" s="609"/>
      <c r="D257" s="610"/>
      <c r="E257" s="571"/>
      <c r="F257" s="571"/>
      <c r="G257" s="572"/>
    </row>
    <row r="258" spans="1:7" ht="13.8">
      <c r="A258" s="596"/>
      <c r="B258" s="609"/>
      <c r="D258" s="610"/>
      <c r="E258" s="571"/>
      <c r="F258" s="571"/>
      <c r="G258" s="572"/>
    </row>
    <row r="259" spans="1:7" ht="13.8">
      <c r="A259" s="596"/>
      <c r="B259" s="609"/>
      <c r="D259" s="610"/>
      <c r="E259" s="571"/>
      <c r="F259" s="571"/>
      <c r="G259" s="572"/>
    </row>
    <row r="260" spans="1:7" ht="13.8">
      <c r="A260" s="596"/>
      <c r="B260" s="609"/>
      <c r="D260" s="610"/>
      <c r="E260" s="571"/>
      <c r="F260" s="571"/>
      <c r="G260" s="572"/>
    </row>
    <row r="261" spans="1:7" ht="13.8">
      <c r="A261" s="596"/>
      <c r="B261" s="609"/>
      <c r="D261" s="610"/>
      <c r="E261" s="571"/>
      <c r="F261" s="571"/>
      <c r="G261" s="572"/>
    </row>
    <row r="262" spans="1:7" ht="13.8">
      <c r="A262" s="596"/>
      <c r="B262" s="609"/>
      <c r="D262" s="610"/>
      <c r="E262" s="571"/>
      <c r="F262" s="571"/>
      <c r="G262" s="572"/>
    </row>
    <row r="263" spans="1:7" ht="13.8">
      <c r="A263" s="596"/>
      <c r="B263" s="609"/>
      <c r="D263" s="610"/>
      <c r="E263" s="571"/>
      <c r="F263" s="571"/>
      <c r="G263" s="572"/>
    </row>
    <row r="264" spans="1:7" ht="13.8">
      <c r="A264" s="596"/>
      <c r="B264" s="609"/>
      <c r="D264" s="610"/>
      <c r="E264" s="571"/>
      <c r="F264" s="571"/>
      <c r="G264" s="572"/>
    </row>
    <row r="265" spans="1:7" ht="13.8">
      <c r="A265" s="596"/>
      <c r="B265" s="609"/>
      <c r="D265" s="610"/>
      <c r="E265" s="571"/>
      <c r="F265" s="571"/>
      <c r="G265" s="572"/>
    </row>
    <row r="266" spans="1:7" ht="13.8">
      <c r="A266" s="596"/>
      <c r="B266" s="609"/>
      <c r="D266" s="610"/>
      <c r="E266" s="571"/>
      <c r="F266" s="571"/>
      <c r="G266" s="572"/>
    </row>
    <row r="267" spans="1:7" ht="13.8">
      <c r="A267" s="596"/>
      <c r="B267" s="609"/>
      <c r="D267" s="610"/>
      <c r="E267" s="571"/>
      <c r="F267" s="571"/>
      <c r="G267" s="572"/>
    </row>
    <row r="268" spans="1:7" ht="13.8">
      <c r="A268" s="596"/>
      <c r="B268" s="609"/>
      <c r="D268" s="610"/>
      <c r="E268" s="571"/>
      <c r="F268" s="571"/>
      <c r="G268" s="572"/>
    </row>
    <row r="269" spans="1:7" ht="13.8">
      <c r="A269" s="596"/>
      <c r="B269" s="609"/>
      <c r="D269" s="610"/>
      <c r="E269" s="571"/>
      <c r="F269" s="571"/>
      <c r="G269" s="572"/>
    </row>
    <row r="270" spans="1:7" ht="13.8">
      <c r="A270" s="596"/>
      <c r="B270" s="609"/>
      <c r="D270" s="610"/>
      <c r="E270" s="571"/>
      <c r="F270" s="571"/>
      <c r="G270" s="572"/>
    </row>
    <row r="271" spans="1:7" ht="13.8">
      <c r="A271" s="596"/>
      <c r="B271" s="609"/>
      <c r="D271" s="610"/>
      <c r="E271" s="571"/>
      <c r="F271" s="571"/>
      <c r="G271" s="572"/>
    </row>
    <row r="272" spans="1:7" ht="13.8">
      <c r="A272" s="596"/>
      <c r="B272" s="609"/>
      <c r="D272" s="610"/>
      <c r="E272" s="571"/>
      <c r="F272" s="571"/>
      <c r="G272" s="572"/>
    </row>
    <row r="273" spans="1:7" ht="13.8">
      <c r="A273" s="596"/>
      <c r="B273" s="609"/>
      <c r="D273" s="610"/>
      <c r="E273" s="571"/>
      <c r="F273" s="571"/>
      <c r="G273" s="572"/>
    </row>
    <row r="274" spans="1:7" ht="13.8">
      <c r="A274" s="596"/>
      <c r="B274" s="609"/>
      <c r="D274" s="610"/>
      <c r="E274" s="571"/>
      <c r="F274" s="571"/>
      <c r="G274" s="572"/>
    </row>
    <row r="275" spans="1:7" ht="13.8">
      <c r="A275" s="596"/>
      <c r="B275" s="609"/>
      <c r="D275" s="610"/>
      <c r="E275" s="571"/>
      <c r="F275" s="571"/>
      <c r="G275" s="572"/>
    </row>
    <row r="276" spans="1:7" ht="13.8">
      <c r="A276" s="596"/>
      <c r="B276" s="609"/>
      <c r="D276" s="610"/>
      <c r="E276" s="571"/>
      <c r="F276" s="571"/>
      <c r="G276" s="572"/>
    </row>
    <row r="277" spans="1:7" ht="13.8">
      <c r="A277" s="596"/>
      <c r="B277" s="609"/>
      <c r="D277" s="610"/>
      <c r="E277" s="571"/>
      <c r="F277" s="571"/>
      <c r="G277" s="572"/>
    </row>
    <row r="278" spans="1:7" ht="13.8">
      <c r="A278" s="596"/>
      <c r="B278" s="609"/>
      <c r="D278" s="610"/>
      <c r="E278" s="571"/>
      <c r="F278" s="571"/>
      <c r="G278" s="572"/>
    </row>
    <row r="279" spans="1:7" ht="13.8">
      <c r="A279" s="596"/>
      <c r="B279" s="609"/>
      <c r="D279" s="610"/>
      <c r="E279" s="571"/>
      <c r="F279" s="571"/>
      <c r="G279" s="572"/>
    </row>
    <row r="280" spans="1:7" ht="13.8">
      <c r="A280" s="596"/>
      <c r="B280" s="609"/>
      <c r="D280" s="610"/>
      <c r="E280" s="571"/>
      <c r="F280" s="571"/>
      <c r="G280" s="572"/>
    </row>
    <row r="281" spans="1:7" ht="13.8">
      <c r="A281" s="596"/>
      <c r="B281" s="609"/>
      <c r="D281" s="610"/>
      <c r="E281" s="571"/>
      <c r="F281" s="571"/>
      <c r="G281" s="572"/>
    </row>
    <row r="282" spans="1:7" ht="13.8">
      <c r="A282" s="596"/>
      <c r="B282" s="609"/>
      <c r="D282" s="610"/>
      <c r="E282" s="571"/>
      <c r="F282" s="571"/>
      <c r="G282" s="572"/>
    </row>
    <row r="283" spans="1:7" ht="13.8">
      <c r="A283" s="596"/>
      <c r="B283" s="609"/>
      <c r="D283" s="610"/>
      <c r="E283" s="571"/>
      <c r="F283" s="571"/>
      <c r="G283" s="572"/>
    </row>
    <row r="284" spans="1:7" ht="13.8">
      <c r="A284" s="596"/>
      <c r="B284" s="609"/>
      <c r="D284" s="610"/>
      <c r="E284" s="571"/>
      <c r="F284" s="571"/>
      <c r="G284" s="572"/>
    </row>
    <row r="285" spans="1:7" ht="13.8">
      <c r="A285" s="596"/>
      <c r="B285" s="609"/>
      <c r="D285" s="610"/>
      <c r="E285" s="571"/>
      <c r="F285" s="571"/>
      <c r="G285" s="572"/>
    </row>
    <row r="286" spans="1:7" ht="13.8">
      <c r="A286" s="596"/>
      <c r="B286" s="609"/>
      <c r="D286" s="610"/>
      <c r="E286" s="571"/>
      <c r="F286" s="571"/>
      <c r="G286" s="572"/>
    </row>
    <row r="287" spans="1:7" ht="13.8">
      <c r="A287" s="596"/>
      <c r="B287" s="609"/>
      <c r="D287" s="610"/>
      <c r="E287" s="571"/>
      <c r="F287" s="571"/>
      <c r="G287" s="572"/>
    </row>
    <row r="288" spans="1:7" ht="13.8">
      <c r="A288" s="596"/>
      <c r="B288" s="609"/>
      <c r="D288" s="610"/>
      <c r="E288" s="571"/>
      <c r="F288" s="571"/>
      <c r="G288" s="572"/>
    </row>
    <row r="289" spans="1:7" ht="13.8">
      <c r="A289" s="596"/>
      <c r="B289" s="609"/>
      <c r="D289" s="610"/>
      <c r="E289" s="571"/>
      <c r="F289" s="571"/>
      <c r="G289" s="572"/>
    </row>
    <row r="290" spans="1:7" ht="13.8">
      <c r="A290" s="596"/>
      <c r="B290" s="609"/>
      <c r="D290" s="610"/>
      <c r="E290" s="571"/>
      <c r="F290" s="571"/>
      <c r="G290" s="572"/>
    </row>
    <row r="291" spans="1:7" ht="13.8">
      <c r="A291" s="596"/>
      <c r="B291" s="609"/>
      <c r="D291" s="610"/>
      <c r="E291" s="571"/>
      <c r="F291" s="571"/>
      <c r="G291" s="572"/>
    </row>
    <row r="292" spans="1:7" ht="13.8">
      <c r="A292" s="596"/>
      <c r="B292" s="609"/>
      <c r="D292" s="610"/>
      <c r="E292" s="571"/>
      <c r="F292" s="571"/>
      <c r="G292" s="572"/>
    </row>
    <row r="293" spans="1:7" ht="13.8">
      <c r="A293" s="596"/>
      <c r="B293" s="609"/>
      <c r="D293" s="610"/>
      <c r="E293" s="571"/>
      <c r="F293" s="571"/>
      <c r="G293" s="572"/>
    </row>
    <row r="294" spans="1:7" ht="13.8">
      <c r="A294" s="596"/>
      <c r="B294" s="609"/>
      <c r="D294" s="610"/>
      <c r="E294" s="571"/>
      <c r="F294" s="571"/>
      <c r="G294" s="572"/>
    </row>
    <row r="295" spans="1:7" ht="13.8">
      <c r="A295" s="596"/>
      <c r="B295" s="609"/>
      <c r="D295" s="610"/>
      <c r="E295" s="571"/>
      <c r="F295" s="571"/>
      <c r="G295" s="572"/>
    </row>
    <row r="296" spans="1:7" ht="13.8">
      <c r="A296" s="596"/>
      <c r="B296" s="609"/>
      <c r="D296" s="610"/>
      <c r="E296" s="571"/>
      <c r="F296" s="571"/>
      <c r="G296" s="572"/>
    </row>
    <row r="297" spans="1:7" ht="13.8">
      <c r="A297" s="596"/>
      <c r="B297" s="609"/>
      <c r="D297" s="610"/>
      <c r="E297" s="571"/>
      <c r="F297" s="571"/>
      <c r="G297" s="572"/>
    </row>
    <row r="298" spans="1:7" ht="13.8">
      <c r="A298" s="596"/>
      <c r="B298" s="609"/>
      <c r="D298" s="610"/>
      <c r="E298" s="571"/>
      <c r="F298" s="571"/>
      <c r="G298" s="572"/>
    </row>
    <row r="299" spans="1:7" ht="13.8">
      <c r="A299" s="596"/>
      <c r="B299" s="609"/>
      <c r="D299" s="610"/>
      <c r="E299" s="571"/>
      <c r="F299" s="571"/>
      <c r="G299" s="572"/>
    </row>
    <row r="300" spans="1:7" ht="13.8">
      <c r="A300" s="596"/>
      <c r="B300" s="609"/>
      <c r="D300" s="610"/>
      <c r="E300" s="571"/>
      <c r="F300" s="571"/>
      <c r="G300" s="572"/>
    </row>
    <row r="301" spans="1:7" ht="13.8">
      <c r="A301" s="596"/>
      <c r="B301" s="609"/>
      <c r="D301" s="610"/>
      <c r="E301" s="571"/>
      <c r="F301" s="571"/>
      <c r="G301" s="572"/>
    </row>
    <row r="302" spans="1:7" ht="13.8">
      <c r="A302" s="596"/>
      <c r="B302" s="609"/>
      <c r="D302" s="610"/>
      <c r="E302" s="571"/>
      <c r="F302" s="571"/>
      <c r="G302" s="572"/>
    </row>
    <row r="303" spans="1:7" ht="13.8">
      <c r="A303" s="596"/>
      <c r="B303" s="609"/>
      <c r="D303" s="610"/>
      <c r="E303" s="571"/>
      <c r="F303" s="571"/>
      <c r="G303" s="572"/>
    </row>
    <row r="304" spans="1:7" ht="13.8">
      <c r="A304" s="596"/>
      <c r="B304" s="609"/>
      <c r="D304" s="610"/>
      <c r="E304" s="571"/>
      <c r="F304" s="571"/>
      <c r="G304" s="572"/>
    </row>
    <row r="305" spans="1:7" ht="13.8">
      <c r="A305" s="596"/>
      <c r="B305" s="609"/>
      <c r="D305" s="610"/>
      <c r="E305" s="571"/>
      <c r="F305" s="571"/>
      <c r="G305" s="572"/>
    </row>
    <row r="306" spans="1:7" ht="13.8">
      <c r="A306" s="596"/>
      <c r="B306" s="609"/>
      <c r="D306" s="610"/>
      <c r="E306" s="571"/>
      <c r="F306" s="571"/>
      <c r="G306" s="572"/>
    </row>
    <row r="307" spans="1:7" ht="13.8">
      <c r="A307" s="596"/>
      <c r="B307" s="609"/>
      <c r="D307" s="610"/>
      <c r="E307" s="571"/>
      <c r="F307" s="571"/>
      <c r="G307" s="572"/>
    </row>
    <row r="308" spans="1:7" ht="13.8">
      <c r="A308" s="596"/>
      <c r="B308" s="609"/>
      <c r="D308" s="610"/>
      <c r="E308" s="571"/>
      <c r="F308" s="571"/>
      <c r="G308" s="572"/>
    </row>
    <row r="309" spans="1:7" ht="13.8">
      <c r="A309" s="596"/>
      <c r="B309" s="609"/>
      <c r="D309" s="610"/>
      <c r="E309" s="571"/>
      <c r="F309" s="571"/>
      <c r="G309" s="572"/>
    </row>
    <row r="310" spans="1:7" ht="13.8">
      <c r="A310" s="596"/>
      <c r="B310" s="609"/>
      <c r="D310" s="610"/>
      <c r="E310" s="571"/>
      <c r="F310" s="571"/>
      <c r="G310" s="572"/>
    </row>
    <row r="311" spans="1:7" ht="13.8">
      <c r="A311" s="596"/>
      <c r="B311" s="609"/>
      <c r="D311" s="610"/>
      <c r="E311" s="571"/>
      <c r="F311" s="571"/>
      <c r="G311" s="572"/>
    </row>
    <row r="312" spans="1:7" ht="13.8">
      <c r="A312" s="596"/>
      <c r="B312" s="609"/>
      <c r="D312" s="610"/>
      <c r="E312" s="571"/>
      <c r="F312" s="571"/>
      <c r="G312" s="572"/>
    </row>
    <row r="313" spans="1:7" ht="13.8">
      <c r="A313" s="596"/>
      <c r="B313" s="609"/>
      <c r="D313" s="610"/>
      <c r="E313" s="571"/>
      <c r="F313" s="571"/>
      <c r="G313" s="572"/>
    </row>
    <row r="314" spans="1:7" ht="13.8">
      <c r="A314" s="596"/>
      <c r="B314" s="609"/>
      <c r="D314" s="610"/>
      <c r="E314" s="571"/>
      <c r="F314" s="571"/>
      <c r="G314" s="572"/>
    </row>
    <row r="315" spans="1:7" ht="13.8">
      <c r="A315" s="596"/>
      <c r="B315" s="609"/>
      <c r="D315" s="610"/>
      <c r="E315" s="571"/>
      <c r="F315" s="571"/>
      <c r="G315" s="572"/>
    </row>
    <row r="316" spans="1:7" ht="13.8">
      <c r="A316" s="596"/>
      <c r="B316" s="609"/>
      <c r="D316" s="610"/>
      <c r="E316" s="571"/>
      <c r="F316" s="571"/>
      <c r="G316" s="572"/>
    </row>
    <row r="317" spans="1:7" ht="13.8">
      <c r="A317" s="596"/>
      <c r="B317" s="609"/>
      <c r="D317" s="610"/>
      <c r="E317" s="571"/>
      <c r="F317" s="571"/>
      <c r="G317" s="572"/>
    </row>
    <row r="318" spans="1:7" ht="13.8">
      <c r="A318" s="596"/>
      <c r="B318" s="609"/>
      <c r="D318" s="610"/>
      <c r="E318" s="571"/>
      <c r="F318" s="571"/>
      <c r="G318" s="572"/>
    </row>
    <row r="319" spans="1:7" ht="13.8">
      <c r="A319" s="596"/>
      <c r="B319" s="609"/>
      <c r="D319" s="610"/>
      <c r="E319" s="571"/>
      <c r="F319" s="571"/>
      <c r="G319" s="572"/>
    </row>
    <row r="320" spans="1:7" ht="13.8">
      <c r="A320" s="596"/>
      <c r="B320" s="609"/>
      <c r="D320" s="610"/>
      <c r="E320" s="571"/>
      <c r="F320" s="571"/>
      <c r="G320" s="572"/>
    </row>
    <row r="321" spans="1:7" ht="13.8">
      <c r="A321" s="596"/>
      <c r="B321" s="609"/>
      <c r="D321" s="610"/>
      <c r="E321" s="571"/>
      <c r="F321" s="571"/>
      <c r="G321" s="572"/>
    </row>
    <row r="322" spans="1:7" ht="13.8">
      <c r="A322" s="596"/>
      <c r="B322" s="609"/>
      <c r="D322" s="610"/>
      <c r="E322" s="571"/>
      <c r="F322" s="571"/>
      <c r="G322" s="572"/>
    </row>
    <row r="323" spans="1:7" ht="13.8">
      <c r="A323" s="596"/>
      <c r="B323" s="609"/>
      <c r="D323" s="610"/>
      <c r="E323" s="571"/>
      <c r="F323" s="571"/>
      <c r="G323" s="572"/>
    </row>
    <row r="324" spans="1:7" ht="13.8">
      <c r="A324" s="596"/>
      <c r="B324" s="609"/>
      <c r="D324" s="610"/>
      <c r="E324" s="571"/>
      <c r="F324" s="571"/>
      <c r="G324" s="572"/>
    </row>
    <row r="325" spans="1:7" ht="13.8">
      <c r="A325" s="596"/>
      <c r="B325" s="609"/>
      <c r="D325" s="610"/>
      <c r="E325" s="571"/>
      <c r="F325" s="571"/>
      <c r="G325" s="572"/>
    </row>
    <row r="326" spans="1:7" ht="13.8">
      <c r="A326" s="596"/>
      <c r="B326" s="609"/>
      <c r="D326" s="610"/>
      <c r="E326" s="571"/>
      <c r="F326" s="571"/>
      <c r="G326" s="572"/>
    </row>
    <row r="327" spans="1:7" ht="13.8">
      <c r="A327" s="596"/>
      <c r="B327" s="609"/>
      <c r="D327" s="610"/>
      <c r="E327" s="571"/>
      <c r="F327" s="571"/>
      <c r="G327" s="572"/>
    </row>
    <row r="328" spans="1:7" ht="13.8">
      <c r="A328" s="596"/>
      <c r="B328" s="609"/>
      <c r="D328" s="610"/>
      <c r="E328" s="571"/>
      <c r="F328" s="571"/>
      <c r="G328" s="572"/>
    </row>
    <row r="329" spans="1:7" ht="13.8">
      <c r="A329" s="596"/>
      <c r="B329" s="609"/>
      <c r="D329" s="610"/>
      <c r="E329" s="571"/>
      <c r="F329" s="571"/>
      <c r="G329" s="572"/>
    </row>
    <row r="330" spans="1:7" ht="13.8">
      <c r="A330" s="596"/>
      <c r="B330" s="609"/>
      <c r="D330" s="610"/>
      <c r="E330" s="571"/>
      <c r="F330" s="571"/>
      <c r="G330" s="572"/>
    </row>
    <row r="331" spans="1:7" ht="13.8">
      <c r="A331" s="596"/>
      <c r="B331" s="609"/>
      <c r="D331" s="610"/>
      <c r="E331" s="571"/>
      <c r="F331" s="571"/>
      <c r="G331" s="572"/>
    </row>
    <row r="332" spans="1:7" ht="13.8">
      <c r="A332" s="596"/>
      <c r="B332" s="609"/>
      <c r="D332" s="610"/>
      <c r="E332" s="571"/>
      <c r="F332" s="571"/>
      <c r="G332" s="572"/>
    </row>
    <row r="333" spans="1:7" ht="13.8">
      <c r="A333" s="596"/>
      <c r="B333" s="609"/>
      <c r="D333" s="610"/>
      <c r="E333" s="571"/>
      <c r="F333" s="571"/>
      <c r="G333" s="572"/>
    </row>
    <row r="334" spans="1:7" ht="13.8">
      <c r="A334" s="596"/>
      <c r="B334" s="609"/>
      <c r="D334" s="610"/>
      <c r="E334" s="571"/>
      <c r="F334" s="571"/>
      <c r="G334" s="572"/>
    </row>
    <row r="335" spans="1:7" ht="13.8">
      <c r="A335" s="596"/>
      <c r="B335" s="609"/>
      <c r="D335" s="610"/>
      <c r="E335" s="571"/>
      <c r="F335" s="571"/>
      <c r="G335" s="572"/>
    </row>
    <row r="336" spans="1:7" ht="13.8">
      <c r="A336" s="596"/>
      <c r="B336" s="609"/>
      <c r="D336" s="610"/>
      <c r="E336" s="571"/>
      <c r="F336" s="571"/>
      <c r="G336" s="572"/>
    </row>
    <row r="337" spans="1:7" ht="13.8">
      <c r="A337" s="596"/>
      <c r="B337" s="609"/>
      <c r="D337" s="610"/>
      <c r="E337" s="571"/>
      <c r="F337" s="571"/>
      <c r="G337" s="572"/>
    </row>
    <row r="338" spans="1:7" ht="13.8">
      <c r="A338" s="596"/>
      <c r="B338" s="609"/>
      <c r="D338" s="610"/>
      <c r="E338" s="571"/>
      <c r="F338" s="571"/>
      <c r="G338" s="572"/>
    </row>
    <row r="339" spans="1:7" ht="13.8">
      <c r="A339" s="596"/>
      <c r="B339" s="609"/>
      <c r="D339" s="610"/>
      <c r="E339" s="571"/>
      <c r="F339" s="571"/>
      <c r="G339" s="572"/>
    </row>
    <row r="340" spans="1:7" ht="13.8">
      <c r="A340" s="596"/>
      <c r="B340" s="609"/>
      <c r="D340" s="610"/>
      <c r="E340" s="571"/>
      <c r="F340" s="571"/>
      <c r="G340" s="572"/>
    </row>
    <row r="341" spans="1:7" ht="13.8">
      <c r="A341" s="596"/>
      <c r="B341" s="609"/>
      <c r="D341" s="610"/>
      <c r="E341" s="571"/>
      <c r="F341" s="571"/>
      <c r="G341" s="572"/>
    </row>
    <row r="342" spans="1:7" ht="13.8">
      <c r="A342" s="596"/>
      <c r="B342" s="609"/>
      <c r="D342" s="610"/>
      <c r="E342" s="571"/>
      <c r="F342" s="571"/>
      <c r="G342" s="572"/>
    </row>
    <row r="343" spans="1:7" ht="13.8">
      <c r="A343" s="596"/>
      <c r="B343" s="609"/>
      <c r="D343" s="610"/>
      <c r="E343" s="571"/>
      <c r="F343" s="571"/>
      <c r="G343" s="572"/>
    </row>
    <row r="344" spans="1:7" ht="13.8">
      <c r="A344" s="596"/>
      <c r="B344" s="609"/>
      <c r="D344" s="610"/>
      <c r="E344" s="571"/>
      <c r="F344" s="571"/>
      <c r="G344" s="572"/>
    </row>
    <row r="345" spans="1:7" ht="13.8">
      <c r="A345" s="596"/>
      <c r="B345" s="609"/>
      <c r="D345" s="610"/>
      <c r="E345" s="571"/>
      <c r="F345" s="571"/>
      <c r="G345" s="572"/>
    </row>
    <row r="346" spans="1:7" ht="13.8">
      <c r="A346" s="596"/>
      <c r="B346" s="609"/>
      <c r="D346" s="610"/>
      <c r="E346" s="571"/>
      <c r="F346" s="571"/>
      <c r="G346" s="572"/>
    </row>
    <row r="347" spans="1:7" ht="13.8">
      <c r="A347" s="596"/>
      <c r="B347" s="609"/>
      <c r="D347" s="610"/>
      <c r="E347" s="571"/>
      <c r="F347" s="571"/>
      <c r="G347" s="572"/>
    </row>
    <row r="348" spans="1:7" ht="13.8">
      <c r="A348" s="596"/>
      <c r="B348" s="609"/>
      <c r="D348" s="610"/>
      <c r="E348" s="571"/>
      <c r="F348" s="571"/>
      <c r="G348" s="572"/>
    </row>
    <row r="349" spans="1:7" ht="13.8">
      <c r="A349" s="596"/>
      <c r="B349" s="609"/>
      <c r="D349" s="610"/>
      <c r="E349" s="571"/>
      <c r="F349" s="571"/>
      <c r="G349" s="572"/>
    </row>
    <row r="350" spans="1:7" ht="13.8">
      <c r="A350" s="596"/>
      <c r="B350" s="609"/>
      <c r="D350" s="610"/>
      <c r="E350" s="571"/>
      <c r="F350" s="571"/>
      <c r="G350" s="572"/>
    </row>
    <row r="351" spans="1:7" ht="13.8">
      <c r="A351" s="596"/>
      <c r="B351" s="609"/>
      <c r="D351" s="610"/>
      <c r="E351" s="571"/>
      <c r="F351" s="571"/>
      <c r="G351" s="572"/>
    </row>
    <row r="352" spans="1:7" ht="13.8">
      <c r="A352" s="596"/>
      <c r="B352" s="609"/>
      <c r="D352" s="610"/>
      <c r="E352" s="571"/>
      <c r="F352" s="571"/>
      <c r="G352" s="572"/>
    </row>
    <row r="353" spans="1:7" ht="13.8">
      <c r="A353" s="596"/>
      <c r="B353" s="609"/>
      <c r="D353" s="610"/>
      <c r="E353" s="571"/>
      <c r="F353" s="571"/>
      <c r="G353" s="572"/>
    </row>
    <row r="354" spans="1:7" ht="13.8">
      <c r="A354" s="596"/>
      <c r="B354" s="609"/>
      <c r="D354" s="610"/>
      <c r="E354" s="571"/>
      <c r="F354" s="571"/>
      <c r="G354" s="572"/>
    </row>
    <row r="355" spans="1:7" ht="13.8">
      <c r="A355" s="596"/>
      <c r="B355" s="609"/>
      <c r="D355" s="610"/>
      <c r="E355" s="571"/>
      <c r="F355" s="571"/>
      <c r="G355" s="572"/>
    </row>
    <row r="356" spans="1:7" ht="13.8">
      <c r="A356" s="596"/>
      <c r="B356" s="609"/>
      <c r="D356" s="610"/>
      <c r="E356" s="571"/>
      <c r="F356" s="571"/>
      <c r="G356" s="572"/>
    </row>
    <row r="357" spans="1:7" ht="13.8">
      <c r="A357" s="596"/>
      <c r="B357" s="609"/>
      <c r="D357" s="610"/>
      <c r="E357" s="571"/>
      <c r="F357" s="571"/>
      <c r="G357" s="572"/>
    </row>
    <row r="358" spans="1:7" ht="13.8">
      <c r="A358" s="596"/>
      <c r="B358" s="609"/>
      <c r="D358" s="610"/>
      <c r="E358" s="571"/>
      <c r="F358" s="571"/>
      <c r="G358" s="572"/>
    </row>
    <row r="359" spans="1:7" ht="13.8">
      <c r="A359" s="596"/>
      <c r="B359" s="609"/>
      <c r="D359" s="610"/>
      <c r="E359" s="571"/>
      <c r="F359" s="571"/>
      <c r="G359" s="572"/>
    </row>
    <row r="360" spans="1:7" ht="13.8">
      <c r="A360" s="596"/>
      <c r="B360" s="609"/>
      <c r="D360" s="610"/>
      <c r="E360" s="571"/>
      <c r="F360" s="571"/>
      <c r="G360" s="572"/>
    </row>
    <row r="361" spans="1:7" ht="13.8">
      <c r="A361" s="596"/>
      <c r="B361" s="609"/>
      <c r="D361" s="610"/>
      <c r="E361" s="571"/>
      <c r="F361" s="571"/>
      <c r="G361" s="572"/>
    </row>
    <row r="362" spans="1:7" ht="13.8">
      <c r="A362" s="596"/>
      <c r="B362" s="609"/>
      <c r="D362" s="610"/>
      <c r="E362" s="571"/>
      <c r="F362" s="571"/>
      <c r="G362" s="572"/>
    </row>
    <row r="363" spans="1:7" ht="13.8">
      <c r="A363" s="596"/>
      <c r="B363" s="609"/>
      <c r="D363" s="610"/>
      <c r="E363" s="571"/>
      <c r="F363" s="571"/>
      <c r="G363" s="572"/>
    </row>
    <row r="364" spans="1:7" ht="13.8">
      <c r="A364" s="596"/>
      <c r="B364" s="609"/>
      <c r="D364" s="610"/>
      <c r="E364" s="571"/>
      <c r="F364" s="571"/>
      <c r="G364" s="572"/>
    </row>
    <row r="365" spans="1:7" ht="13.8">
      <c r="A365" s="596"/>
      <c r="B365" s="609"/>
      <c r="D365" s="610"/>
      <c r="E365" s="571"/>
      <c r="F365" s="571"/>
      <c r="G365" s="572"/>
    </row>
    <row r="366" spans="1:7" ht="13.8">
      <c r="A366" s="596"/>
      <c r="B366" s="609"/>
      <c r="D366" s="610"/>
      <c r="E366" s="571"/>
      <c r="F366" s="571"/>
      <c r="G366" s="572"/>
    </row>
    <row r="367" spans="1:7" ht="13.8">
      <c r="A367" s="596"/>
      <c r="B367" s="609"/>
      <c r="D367" s="610"/>
      <c r="E367" s="571"/>
      <c r="F367" s="571"/>
      <c r="G367" s="572"/>
    </row>
    <row r="368" spans="1:7" ht="13.8">
      <c r="A368" s="596"/>
      <c r="B368" s="609"/>
      <c r="D368" s="610"/>
      <c r="E368" s="571"/>
      <c r="F368" s="571"/>
      <c r="G368" s="572"/>
    </row>
    <row r="369" spans="1:7" ht="13.8">
      <c r="A369" s="596"/>
      <c r="B369" s="609"/>
      <c r="D369" s="610"/>
      <c r="E369" s="571"/>
      <c r="F369" s="571"/>
      <c r="G369" s="572"/>
    </row>
    <row r="370" spans="1:7" ht="13.8">
      <c r="A370" s="596"/>
      <c r="B370" s="609"/>
      <c r="D370" s="610"/>
      <c r="E370" s="571"/>
      <c r="F370" s="571"/>
      <c r="G370" s="572"/>
    </row>
    <row r="371" spans="1:7" ht="13.8">
      <c r="A371" s="596"/>
      <c r="B371" s="609"/>
      <c r="D371" s="610"/>
      <c r="E371" s="571"/>
      <c r="F371" s="571"/>
      <c r="G371" s="572"/>
    </row>
    <row r="372" spans="1:7" ht="13.8">
      <c r="A372" s="596"/>
      <c r="B372" s="609"/>
      <c r="D372" s="610"/>
      <c r="E372" s="571"/>
      <c r="F372" s="571"/>
      <c r="G372" s="572"/>
    </row>
    <row r="373" spans="1:7" ht="13.8">
      <c r="A373" s="596"/>
      <c r="B373" s="609"/>
      <c r="D373" s="610"/>
      <c r="E373" s="571"/>
      <c r="F373" s="571"/>
      <c r="G373" s="572"/>
    </row>
    <row r="374" spans="1:7" ht="13.8">
      <c r="A374" s="596"/>
      <c r="B374" s="609"/>
      <c r="D374" s="610"/>
      <c r="E374" s="571"/>
      <c r="F374" s="571"/>
      <c r="G374" s="572"/>
    </row>
    <row r="375" spans="1:7" ht="13.8">
      <c r="A375" s="596"/>
      <c r="B375" s="609"/>
      <c r="D375" s="610"/>
      <c r="E375" s="571"/>
      <c r="F375" s="571"/>
      <c r="G375" s="572"/>
    </row>
    <row r="376" spans="1:7" ht="13.8">
      <c r="A376" s="596"/>
      <c r="B376" s="609"/>
      <c r="D376" s="610"/>
      <c r="E376" s="571"/>
      <c r="F376" s="571"/>
      <c r="G376" s="572"/>
    </row>
    <row r="377" spans="1:7" ht="13.8">
      <c r="A377" s="596"/>
      <c r="B377" s="609"/>
      <c r="D377" s="610"/>
      <c r="E377" s="571"/>
      <c r="F377" s="571"/>
      <c r="G377" s="572"/>
    </row>
    <row r="378" spans="1:7" ht="13.8">
      <c r="A378" s="596"/>
      <c r="B378" s="609"/>
      <c r="D378" s="610"/>
      <c r="E378" s="571"/>
      <c r="F378" s="571"/>
      <c r="G378" s="572"/>
    </row>
    <row r="379" spans="1:7" ht="13.8">
      <c r="A379" s="596"/>
      <c r="B379" s="609"/>
      <c r="D379" s="610"/>
      <c r="E379" s="571"/>
      <c r="F379" s="571"/>
      <c r="G379" s="572"/>
    </row>
    <row r="380" spans="1:7" ht="13.8">
      <c r="A380" s="596"/>
      <c r="B380" s="609"/>
      <c r="D380" s="610"/>
      <c r="E380" s="571"/>
      <c r="F380" s="571"/>
      <c r="G380" s="572"/>
    </row>
    <row r="381" spans="1:7" ht="13.8">
      <c r="A381" s="596"/>
      <c r="B381" s="609"/>
      <c r="D381" s="610"/>
      <c r="E381" s="571"/>
      <c r="F381" s="571"/>
      <c r="G381" s="572"/>
    </row>
    <row r="382" spans="1:7" ht="13.8">
      <c r="A382" s="596"/>
      <c r="B382" s="609"/>
      <c r="D382" s="610"/>
      <c r="E382" s="571"/>
      <c r="F382" s="571"/>
      <c r="G382" s="572"/>
    </row>
    <row r="383" spans="1:7" ht="13.8">
      <c r="A383" s="596"/>
      <c r="B383" s="609"/>
      <c r="D383" s="610"/>
      <c r="E383" s="571"/>
      <c r="F383" s="571"/>
      <c r="G383" s="572"/>
    </row>
    <row r="384" spans="1:7" ht="13.8">
      <c r="A384" s="596"/>
      <c r="B384" s="609"/>
      <c r="D384" s="610"/>
      <c r="E384" s="571"/>
      <c r="F384" s="571"/>
      <c r="G384" s="572"/>
    </row>
    <row r="385" spans="1:7" ht="13.8">
      <c r="A385" s="596"/>
      <c r="B385" s="609"/>
      <c r="D385" s="610"/>
      <c r="E385" s="571"/>
      <c r="F385" s="571"/>
      <c r="G385" s="572"/>
    </row>
    <row r="386" spans="1:7" ht="13.8">
      <c r="A386" s="596"/>
      <c r="B386" s="609"/>
      <c r="D386" s="610"/>
      <c r="E386" s="571"/>
      <c r="F386" s="571"/>
      <c r="G386" s="572"/>
    </row>
    <row r="387" spans="1:7" ht="13.8">
      <c r="A387" s="596"/>
      <c r="B387" s="609"/>
      <c r="D387" s="610"/>
      <c r="E387" s="571"/>
      <c r="F387" s="571"/>
      <c r="G387" s="572"/>
    </row>
    <row r="388" spans="1:7" ht="13.8">
      <c r="A388" s="596"/>
      <c r="B388" s="609"/>
      <c r="D388" s="610"/>
      <c r="E388" s="571"/>
      <c r="F388" s="571"/>
      <c r="G388" s="572"/>
    </row>
    <row r="389" spans="1:7" ht="13.8">
      <c r="A389" s="596"/>
      <c r="B389" s="609"/>
      <c r="D389" s="610"/>
      <c r="E389" s="571"/>
      <c r="F389" s="571"/>
      <c r="G389" s="572"/>
    </row>
    <row r="390" spans="1:7" ht="13.8">
      <c r="A390" s="596"/>
      <c r="B390" s="609"/>
      <c r="D390" s="610"/>
      <c r="E390" s="571"/>
      <c r="F390" s="571"/>
      <c r="G390" s="572"/>
    </row>
    <row r="391" spans="1:7" ht="13.8">
      <c r="A391" s="596"/>
      <c r="B391" s="609"/>
      <c r="D391" s="610"/>
      <c r="E391" s="571"/>
      <c r="F391" s="571"/>
      <c r="G391" s="572"/>
    </row>
    <row r="392" spans="1:7" ht="13.8">
      <c r="A392" s="596"/>
      <c r="B392" s="609"/>
      <c r="D392" s="610"/>
      <c r="E392" s="571"/>
      <c r="F392" s="571"/>
      <c r="G392" s="572"/>
    </row>
    <row r="393" spans="1:7" ht="13.8">
      <c r="A393" s="596"/>
      <c r="B393" s="609"/>
      <c r="D393" s="610"/>
      <c r="E393" s="571"/>
      <c r="F393" s="571"/>
      <c r="G393" s="572"/>
    </row>
    <row r="394" spans="1:7" ht="13.8">
      <c r="A394" s="596"/>
      <c r="B394" s="609"/>
      <c r="D394" s="610"/>
      <c r="E394" s="571"/>
      <c r="F394" s="571"/>
      <c r="G394" s="572"/>
    </row>
    <row r="395" spans="1:7" ht="13.8">
      <c r="A395" s="596"/>
      <c r="B395" s="609"/>
      <c r="D395" s="610"/>
      <c r="E395" s="571"/>
      <c r="F395" s="571"/>
      <c r="G395" s="572"/>
    </row>
    <row r="396" spans="1:7" ht="13.8">
      <c r="A396" s="596"/>
      <c r="B396" s="609"/>
      <c r="D396" s="610"/>
      <c r="E396" s="571"/>
      <c r="F396" s="571"/>
      <c r="G396" s="572"/>
    </row>
    <row r="397" spans="1:7" ht="13.8">
      <c r="A397" s="596"/>
      <c r="B397" s="609"/>
      <c r="D397" s="610"/>
      <c r="E397" s="571"/>
      <c r="F397" s="571"/>
      <c r="G397" s="572"/>
    </row>
    <row r="398" spans="1:7" ht="13.8">
      <c r="A398" s="596"/>
      <c r="B398" s="609"/>
      <c r="D398" s="610"/>
      <c r="E398" s="571"/>
      <c r="F398" s="571"/>
      <c r="G398" s="572"/>
    </row>
    <row r="399" spans="1:7" ht="13.8">
      <c r="A399" s="596"/>
      <c r="B399" s="609"/>
      <c r="D399" s="610"/>
      <c r="E399" s="571"/>
      <c r="F399" s="571"/>
      <c r="G399" s="572"/>
    </row>
    <row r="400" spans="1:7" ht="13.8">
      <c r="A400" s="596"/>
      <c r="B400" s="609"/>
      <c r="D400" s="610"/>
      <c r="E400" s="571"/>
      <c r="F400" s="571"/>
      <c r="G400" s="572"/>
    </row>
    <row r="401" spans="1:7" ht="13.8">
      <c r="A401" s="596"/>
      <c r="B401" s="609"/>
      <c r="D401" s="610"/>
      <c r="E401" s="571"/>
      <c r="F401" s="571"/>
      <c r="G401" s="572"/>
    </row>
    <row r="402" spans="1:7" ht="13.8">
      <c r="A402" s="596"/>
      <c r="B402" s="609"/>
      <c r="D402" s="610"/>
      <c r="E402" s="571"/>
      <c r="F402" s="571"/>
      <c r="G402" s="572"/>
    </row>
    <row r="403" spans="1:7" ht="13.8">
      <c r="A403" s="596"/>
      <c r="B403" s="609"/>
      <c r="D403" s="610"/>
      <c r="E403" s="571"/>
      <c r="F403" s="571"/>
      <c r="G403" s="572"/>
    </row>
    <row r="404" spans="1:7" ht="13.8">
      <c r="A404" s="596"/>
      <c r="B404" s="609"/>
      <c r="D404" s="610"/>
      <c r="E404" s="571"/>
      <c r="F404" s="571"/>
      <c r="G404" s="572"/>
    </row>
    <row r="405" spans="1:7" ht="13.8">
      <c r="A405" s="596"/>
      <c r="B405" s="609"/>
      <c r="D405" s="610"/>
      <c r="E405" s="571"/>
      <c r="F405" s="571"/>
      <c r="G405" s="572"/>
    </row>
    <row r="406" spans="1:7" ht="13.8">
      <c r="A406" s="596"/>
      <c r="B406" s="609"/>
      <c r="D406" s="610"/>
      <c r="E406" s="571"/>
      <c r="F406" s="571"/>
      <c r="G406" s="572"/>
    </row>
    <row r="407" spans="1:7" ht="13.8">
      <c r="A407" s="596"/>
      <c r="B407" s="609"/>
      <c r="D407" s="610"/>
      <c r="E407" s="571"/>
      <c r="F407" s="571"/>
      <c r="G407" s="572"/>
    </row>
    <row r="408" spans="1:7" ht="13.8">
      <c r="A408" s="596"/>
      <c r="B408" s="609"/>
      <c r="D408" s="610"/>
      <c r="E408" s="571"/>
      <c r="F408" s="571"/>
      <c r="G408" s="572"/>
    </row>
    <row r="409" spans="1:7" ht="13.8">
      <c r="A409" s="596"/>
      <c r="B409" s="609"/>
      <c r="D409" s="610"/>
      <c r="E409" s="571"/>
      <c r="F409" s="571"/>
      <c r="G409" s="572"/>
    </row>
    <row r="410" spans="1:7" ht="13.8">
      <c r="A410" s="596"/>
      <c r="B410" s="609"/>
      <c r="D410" s="610"/>
      <c r="E410" s="571"/>
      <c r="F410" s="571"/>
      <c r="G410" s="572"/>
    </row>
    <row r="411" spans="1:7" ht="13.8">
      <c r="A411" s="596"/>
      <c r="B411" s="609"/>
      <c r="D411" s="610"/>
      <c r="E411" s="571"/>
      <c r="F411" s="571"/>
      <c r="G411" s="572"/>
    </row>
    <row r="412" spans="1:7" ht="13.8">
      <c r="A412" s="596"/>
      <c r="B412" s="609"/>
      <c r="D412" s="610"/>
      <c r="E412" s="571"/>
      <c r="F412" s="571"/>
      <c r="G412" s="572"/>
    </row>
    <row r="413" spans="1:7" ht="13.8">
      <c r="A413" s="596"/>
      <c r="B413" s="609"/>
      <c r="D413" s="610"/>
      <c r="E413" s="571"/>
      <c r="F413" s="571"/>
      <c r="G413" s="572"/>
    </row>
    <row r="414" spans="1:7" ht="13.8">
      <c r="A414" s="596"/>
      <c r="B414" s="609"/>
      <c r="D414" s="610"/>
      <c r="E414" s="571"/>
      <c r="F414" s="571"/>
      <c r="G414" s="572"/>
    </row>
    <row r="415" spans="1:7" ht="13.8">
      <c r="A415" s="596"/>
      <c r="B415" s="609"/>
      <c r="D415" s="610"/>
      <c r="E415" s="571"/>
      <c r="F415" s="571"/>
      <c r="G415" s="572"/>
    </row>
    <row r="416" spans="1:7" ht="13.8">
      <c r="A416" s="596"/>
      <c r="B416" s="609"/>
      <c r="D416" s="610"/>
      <c r="E416" s="571"/>
      <c r="F416" s="571"/>
      <c r="G416" s="572"/>
    </row>
    <row r="417" spans="1:7" ht="13.8">
      <c r="A417" s="596"/>
      <c r="B417" s="609"/>
      <c r="D417" s="610"/>
      <c r="E417" s="571"/>
      <c r="F417" s="571"/>
      <c r="G417" s="572"/>
    </row>
    <row r="418" spans="1:7" ht="13.8">
      <c r="A418" s="596"/>
      <c r="B418" s="609"/>
      <c r="D418" s="610"/>
      <c r="E418" s="571"/>
      <c r="F418" s="571"/>
      <c r="G418" s="572"/>
    </row>
    <row r="419" spans="1:7" ht="13.8">
      <c r="A419" s="596"/>
      <c r="B419" s="609"/>
      <c r="D419" s="610"/>
      <c r="E419" s="571"/>
      <c r="F419" s="571"/>
      <c r="G419" s="572"/>
    </row>
    <row r="420" spans="1:7" ht="13.8">
      <c r="A420" s="596"/>
      <c r="B420" s="609"/>
      <c r="D420" s="610"/>
      <c r="E420" s="571"/>
      <c r="F420" s="571"/>
      <c r="G420" s="572"/>
    </row>
    <row r="421" spans="1:7" ht="13.8">
      <c r="A421" s="596"/>
      <c r="B421" s="609"/>
      <c r="D421" s="610"/>
      <c r="E421" s="571"/>
      <c r="F421" s="571"/>
      <c r="G421" s="572"/>
    </row>
    <row r="422" spans="1:7" ht="13.8">
      <c r="A422" s="596"/>
      <c r="B422" s="609"/>
      <c r="D422" s="610"/>
      <c r="E422" s="571"/>
      <c r="F422" s="571"/>
      <c r="G422" s="572"/>
    </row>
    <row r="423" spans="1:7" ht="13.8">
      <c r="A423" s="596"/>
      <c r="B423" s="609"/>
      <c r="D423" s="610"/>
      <c r="E423" s="571"/>
      <c r="F423" s="571"/>
      <c r="G423" s="572"/>
    </row>
    <row r="424" spans="1:7" ht="13.8">
      <c r="A424" s="596"/>
      <c r="B424" s="609"/>
      <c r="D424" s="610"/>
      <c r="E424" s="571"/>
      <c r="F424" s="571"/>
      <c r="G424" s="572"/>
    </row>
    <row r="425" spans="1:7" ht="13.8">
      <c r="A425" s="596"/>
      <c r="B425" s="609"/>
      <c r="D425" s="610"/>
      <c r="E425" s="571"/>
      <c r="F425" s="571"/>
      <c r="G425" s="572"/>
    </row>
    <row r="426" spans="1:7" ht="13.8">
      <c r="A426" s="596"/>
      <c r="B426" s="609"/>
      <c r="D426" s="610"/>
      <c r="E426" s="571"/>
      <c r="F426" s="571"/>
      <c r="G426" s="572"/>
    </row>
    <row r="427" spans="1:7" ht="13.8">
      <c r="A427" s="596"/>
      <c r="B427" s="609"/>
      <c r="D427" s="610"/>
      <c r="E427" s="571"/>
      <c r="F427" s="571"/>
      <c r="G427" s="572"/>
    </row>
    <row r="428" spans="1:7" ht="13.8">
      <c r="A428" s="596"/>
      <c r="B428" s="609"/>
      <c r="D428" s="610"/>
      <c r="E428" s="571"/>
      <c r="F428" s="571"/>
      <c r="G428" s="572"/>
    </row>
    <row r="429" spans="1:7" ht="13.8">
      <c r="A429" s="596"/>
      <c r="B429" s="609"/>
      <c r="D429" s="610"/>
      <c r="E429" s="571"/>
      <c r="F429" s="571"/>
      <c r="G429" s="572"/>
    </row>
    <row r="430" spans="1:7" ht="13.8">
      <c r="A430" s="596"/>
      <c r="B430" s="609"/>
      <c r="D430" s="610"/>
      <c r="E430" s="571"/>
      <c r="F430" s="571"/>
      <c r="G430" s="572"/>
    </row>
    <row r="431" spans="1:7" ht="13.8">
      <c r="A431" s="596"/>
      <c r="B431" s="609"/>
      <c r="D431" s="610"/>
      <c r="E431" s="571"/>
      <c r="F431" s="571"/>
      <c r="G431" s="572"/>
    </row>
    <row r="432" spans="1:7" ht="13.8">
      <c r="A432" s="596"/>
      <c r="B432" s="609"/>
      <c r="D432" s="610"/>
      <c r="E432" s="571"/>
      <c r="F432" s="571"/>
      <c r="G432" s="572"/>
    </row>
    <row r="433" spans="1:7" ht="13.8">
      <c r="A433" s="596"/>
      <c r="B433" s="609"/>
      <c r="D433" s="610"/>
      <c r="E433" s="571"/>
      <c r="F433" s="571"/>
      <c r="G433" s="572"/>
    </row>
    <row r="434" spans="1:7" ht="13.8">
      <c r="A434" s="596"/>
      <c r="B434" s="609"/>
      <c r="D434" s="610"/>
      <c r="E434" s="571"/>
      <c r="F434" s="571"/>
      <c r="G434" s="572"/>
    </row>
    <row r="435" spans="1:7" ht="13.8">
      <c r="A435" s="596"/>
      <c r="B435" s="609"/>
      <c r="D435" s="610"/>
      <c r="E435" s="571"/>
      <c r="F435" s="571"/>
      <c r="G435" s="572"/>
    </row>
    <row r="436" spans="1:7" ht="13.8">
      <c r="A436" s="596"/>
      <c r="B436" s="609"/>
      <c r="D436" s="610"/>
      <c r="E436" s="571"/>
      <c r="F436" s="571"/>
      <c r="G436" s="572"/>
    </row>
    <row r="437" spans="1:7" ht="13.8">
      <c r="A437" s="596"/>
      <c r="B437" s="609"/>
      <c r="D437" s="610"/>
      <c r="E437" s="571"/>
      <c r="F437" s="571"/>
      <c r="G437" s="572"/>
    </row>
    <row r="438" spans="1:7" ht="13.8">
      <c r="A438" s="596"/>
      <c r="B438" s="609"/>
      <c r="D438" s="610"/>
      <c r="E438" s="571"/>
      <c r="F438" s="571"/>
      <c r="G438" s="572"/>
    </row>
    <row r="439" spans="1:7" ht="13.8">
      <c r="A439" s="596"/>
      <c r="B439" s="609"/>
      <c r="D439" s="610"/>
      <c r="E439" s="571"/>
      <c r="F439" s="571"/>
      <c r="G439" s="572"/>
    </row>
    <row r="440" spans="1:7" ht="13.8">
      <c r="A440" s="596"/>
      <c r="B440" s="609"/>
      <c r="D440" s="610"/>
      <c r="E440" s="571"/>
      <c r="F440" s="571"/>
      <c r="G440" s="572"/>
    </row>
    <row r="441" spans="1:7" ht="13.8">
      <c r="A441" s="596"/>
      <c r="B441" s="609"/>
      <c r="D441" s="610"/>
      <c r="E441" s="571"/>
      <c r="F441" s="571"/>
      <c r="G441" s="572"/>
    </row>
    <row r="442" spans="1:7" ht="13.8">
      <c r="A442" s="596"/>
      <c r="B442" s="609"/>
      <c r="D442" s="610"/>
      <c r="E442" s="571"/>
      <c r="F442" s="571"/>
      <c r="G442" s="572"/>
    </row>
    <row r="443" spans="1:7" ht="13.8">
      <c r="A443" s="596"/>
      <c r="B443" s="609"/>
      <c r="D443" s="610"/>
      <c r="E443" s="571"/>
      <c r="F443" s="571"/>
      <c r="G443" s="572"/>
    </row>
    <row r="444" spans="1:7" ht="13.8">
      <c r="A444" s="596"/>
      <c r="B444" s="609"/>
      <c r="D444" s="610"/>
      <c r="E444" s="571"/>
      <c r="F444" s="571"/>
      <c r="G444" s="572"/>
    </row>
    <row r="445" spans="1:7" ht="13.8">
      <c r="A445" s="596"/>
      <c r="B445" s="609"/>
      <c r="D445" s="610"/>
      <c r="E445" s="571"/>
      <c r="F445" s="571"/>
      <c r="G445" s="572"/>
    </row>
    <row r="446" spans="1:7" ht="13.8">
      <c r="A446" s="596"/>
      <c r="B446" s="609"/>
      <c r="D446" s="610"/>
      <c r="E446" s="571"/>
      <c r="F446" s="571"/>
      <c r="G446" s="572"/>
    </row>
    <row r="447" spans="1:7" ht="13.8">
      <c r="A447" s="596"/>
      <c r="B447" s="609"/>
      <c r="D447" s="610"/>
      <c r="E447" s="571"/>
      <c r="F447" s="571"/>
      <c r="G447" s="572"/>
    </row>
    <row r="448" spans="1:7" ht="13.8">
      <c r="A448" s="596"/>
      <c r="B448" s="609"/>
      <c r="D448" s="610"/>
      <c r="E448" s="571"/>
      <c r="F448" s="571"/>
      <c r="G448" s="572"/>
    </row>
    <row r="449" spans="1:7" ht="13.8">
      <c r="A449" s="596"/>
      <c r="B449" s="609"/>
      <c r="D449" s="610"/>
      <c r="E449" s="571"/>
      <c r="F449" s="571"/>
      <c r="G449" s="572"/>
    </row>
    <row r="450" spans="1:7" ht="13.8">
      <c r="A450" s="596"/>
      <c r="B450" s="609"/>
      <c r="D450" s="610"/>
      <c r="E450" s="571"/>
      <c r="F450" s="571"/>
      <c r="G450" s="572"/>
    </row>
    <row r="451" spans="1:7" ht="13.8">
      <c r="A451" s="596"/>
      <c r="B451" s="609"/>
      <c r="D451" s="610"/>
      <c r="E451" s="571"/>
      <c r="F451" s="571"/>
      <c r="G451" s="572"/>
    </row>
    <row r="452" spans="1:7" ht="13.8">
      <c r="A452" s="596"/>
      <c r="B452" s="609"/>
      <c r="D452" s="610"/>
      <c r="E452" s="571"/>
      <c r="F452" s="571"/>
      <c r="G452" s="572"/>
    </row>
    <row r="453" spans="1:7" ht="13.8">
      <c r="A453" s="596"/>
      <c r="B453" s="609"/>
      <c r="D453" s="610"/>
      <c r="E453" s="571"/>
      <c r="F453" s="571"/>
      <c r="G453" s="572"/>
    </row>
    <row r="454" spans="1:7" ht="13.8">
      <c r="A454" s="596"/>
      <c r="B454" s="609"/>
      <c r="D454" s="610"/>
      <c r="E454" s="571"/>
      <c r="F454" s="571"/>
      <c r="G454" s="572"/>
    </row>
    <row r="455" spans="1:7" ht="13.8">
      <c r="A455" s="596"/>
      <c r="B455" s="609"/>
      <c r="D455" s="610"/>
      <c r="E455" s="571"/>
      <c r="F455" s="571"/>
      <c r="G455" s="572"/>
    </row>
    <row r="456" spans="1:7" ht="13.8">
      <c r="A456" s="596"/>
      <c r="B456" s="609"/>
      <c r="D456" s="610"/>
      <c r="E456" s="571"/>
      <c r="F456" s="571"/>
      <c r="G456" s="572"/>
    </row>
    <row r="457" spans="1:7" ht="13.8">
      <c r="A457" s="596"/>
      <c r="B457" s="609"/>
      <c r="D457" s="610"/>
      <c r="E457" s="571"/>
      <c r="F457" s="571"/>
      <c r="G457" s="572"/>
    </row>
    <row r="458" spans="1:7" ht="13.8">
      <c r="A458" s="596"/>
      <c r="B458" s="609"/>
      <c r="D458" s="610"/>
      <c r="E458" s="571"/>
      <c r="F458" s="571"/>
      <c r="G458" s="572"/>
    </row>
    <row r="459" spans="1:7" ht="13.8">
      <c r="A459" s="596"/>
      <c r="B459" s="609"/>
      <c r="D459" s="610"/>
      <c r="E459" s="571"/>
      <c r="F459" s="571"/>
      <c r="G459" s="572"/>
    </row>
    <row r="460" spans="1:7" ht="13.8">
      <c r="A460" s="596"/>
      <c r="B460" s="609"/>
      <c r="D460" s="610"/>
      <c r="E460" s="571"/>
      <c r="F460" s="571"/>
      <c r="G460" s="572"/>
    </row>
    <row r="461" spans="1:7" ht="13.8">
      <c r="A461" s="596"/>
      <c r="B461" s="609"/>
      <c r="D461" s="610"/>
      <c r="E461" s="571"/>
      <c r="F461" s="571"/>
      <c r="G461" s="572"/>
    </row>
    <row r="462" spans="1:7" ht="13.8">
      <c r="A462" s="596"/>
      <c r="B462" s="609"/>
      <c r="D462" s="610"/>
      <c r="E462" s="571"/>
      <c r="F462" s="571"/>
      <c r="G462" s="572"/>
    </row>
    <row r="463" spans="1:7" ht="13.8">
      <c r="A463" s="596"/>
      <c r="B463" s="609"/>
      <c r="D463" s="610"/>
      <c r="E463" s="571"/>
      <c r="F463" s="571"/>
      <c r="G463" s="572"/>
    </row>
    <row r="464" spans="1:7" ht="13.8">
      <c r="A464" s="596"/>
      <c r="B464" s="609"/>
      <c r="D464" s="610"/>
      <c r="E464" s="571"/>
      <c r="F464" s="571"/>
      <c r="G464" s="572"/>
    </row>
    <row r="465" spans="1:7" ht="13.8">
      <c r="A465" s="596"/>
      <c r="B465" s="609"/>
      <c r="D465" s="610"/>
      <c r="E465" s="571"/>
      <c r="F465" s="571"/>
      <c r="G465" s="572"/>
    </row>
    <row r="466" spans="1:7" ht="13.8">
      <c r="A466" s="596"/>
      <c r="B466" s="609"/>
      <c r="D466" s="610"/>
      <c r="E466" s="571"/>
      <c r="F466" s="571"/>
      <c r="G466" s="572"/>
    </row>
    <row r="467" spans="1:7" ht="13.8">
      <c r="A467" s="596"/>
      <c r="B467" s="609"/>
      <c r="D467" s="610"/>
      <c r="E467" s="571"/>
      <c r="F467" s="571"/>
      <c r="G467" s="572"/>
    </row>
    <row r="468" spans="1:7" ht="13.8">
      <c r="A468" s="596"/>
      <c r="B468" s="609"/>
      <c r="D468" s="610"/>
      <c r="E468" s="571"/>
      <c r="F468" s="571"/>
      <c r="G468" s="572"/>
    </row>
    <row r="469" spans="1:7" ht="13.8">
      <c r="A469" s="596"/>
      <c r="B469" s="609"/>
      <c r="D469" s="610"/>
      <c r="E469" s="571"/>
      <c r="F469" s="571"/>
      <c r="G469" s="572"/>
    </row>
    <row r="470" spans="1:7" ht="13.8">
      <c r="A470" s="596"/>
      <c r="B470" s="609"/>
      <c r="D470" s="610"/>
      <c r="E470" s="571"/>
      <c r="F470" s="571"/>
      <c r="G470" s="572"/>
    </row>
    <row r="471" spans="1:7" ht="13.8">
      <c r="A471" s="596"/>
      <c r="B471" s="609"/>
      <c r="D471" s="610"/>
      <c r="E471" s="571"/>
      <c r="F471" s="571"/>
      <c r="G471" s="572"/>
    </row>
    <row r="472" spans="1:7" ht="13.8">
      <c r="A472" s="596"/>
      <c r="B472" s="609"/>
      <c r="D472" s="610"/>
      <c r="E472" s="571"/>
      <c r="F472" s="571"/>
      <c r="G472" s="572"/>
    </row>
    <row r="473" spans="1:7" ht="13.8">
      <c r="A473" s="596"/>
      <c r="B473" s="609"/>
      <c r="D473" s="610"/>
      <c r="E473" s="571"/>
      <c r="F473" s="571"/>
      <c r="G473" s="572"/>
    </row>
    <row r="474" spans="1:7" ht="13.8">
      <c r="A474" s="596"/>
      <c r="B474" s="609"/>
      <c r="D474" s="610"/>
      <c r="E474" s="571"/>
      <c r="F474" s="571"/>
      <c r="G474" s="572"/>
    </row>
    <row r="475" spans="1:7" ht="13.8">
      <c r="A475" s="596"/>
      <c r="B475" s="609"/>
      <c r="D475" s="610"/>
      <c r="E475" s="571"/>
      <c r="F475" s="571"/>
      <c r="G475" s="572"/>
    </row>
    <row r="476" spans="1:7" ht="13.8">
      <c r="A476" s="596"/>
      <c r="B476" s="609"/>
      <c r="D476" s="610"/>
      <c r="E476" s="571"/>
      <c r="F476" s="571"/>
      <c r="G476" s="572"/>
    </row>
    <row r="477" spans="1:7" ht="13.8">
      <c r="A477" s="596"/>
      <c r="B477" s="609"/>
      <c r="D477" s="610"/>
      <c r="E477" s="571"/>
      <c r="F477" s="571"/>
      <c r="G477" s="572"/>
    </row>
    <row r="478" spans="1:7" ht="13.8">
      <c r="A478" s="596"/>
      <c r="B478" s="609"/>
      <c r="D478" s="610"/>
      <c r="E478" s="571"/>
      <c r="F478" s="571"/>
      <c r="G478" s="572"/>
    </row>
    <row r="479" spans="1:7" ht="13.8">
      <c r="A479" s="596"/>
      <c r="B479" s="609"/>
      <c r="D479" s="610"/>
      <c r="E479" s="571"/>
      <c r="F479" s="571"/>
      <c r="G479" s="572"/>
    </row>
    <row r="480" spans="1:7" ht="13.8">
      <c r="A480" s="596"/>
      <c r="B480" s="609"/>
      <c r="D480" s="610"/>
      <c r="E480" s="571"/>
      <c r="F480" s="571"/>
      <c r="G480" s="572"/>
    </row>
    <row r="481" spans="1:7" ht="13.8">
      <c r="A481" s="596"/>
      <c r="B481" s="609"/>
      <c r="D481" s="610"/>
      <c r="E481" s="571"/>
      <c r="F481" s="571"/>
      <c r="G481" s="572"/>
    </row>
    <row r="482" spans="1:7" ht="13.8">
      <c r="A482" s="596"/>
      <c r="B482" s="609"/>
      <c r="D482" s="610"/>
      <c r="E482" s="571"/>
      <c r="F482" s="571"/>
      <c r="G482" s="572"/>
    </row>
    <row r="483" spans="1:7" ht="13.8">
      <c r="A483" s="596"/>
      <c r="B483" s="609"/>
      <c r="D483" s="610"/>
      <c r="E483" s="571"/>
      <c r="F483" s="571"/>
      <c r="G483" s="572"/>
    </row>
    <row r="484" spans="1:7" ht="13.8">
      <c r="A484" s="596"/>
      <c r="B484" s="609"/>
      <c r="D484" s="610"/>
      <c r="E484" s="571"/>
      <c r="F484" s="571"/>
      <c r="G484" s="572"/>
    </row>
    <row r="485" spans="1:7" ht="13.8">
      <c r="A485" s="596"/>
      <c r="B485" s="609"/>
      <c r="D485" s="610"/>
      <c r="E485" s="571"/>
      <c r="F485" s="571"/>
      <c r="G485" s="572"/>
    </row>
    <row r="486" spans="1:7" ht="13.8">
      <c r="A486" s="596"/>
      <c r="B486" s="609"/>
      <c r="D486" s="610"/>
      <c r="E486" s="571"/>
      <c r="F486" s="571"/>
      <c r="G486" s="572"/>
    </row>
    <row r="487" spans="1:7" ht="13.8">
      <c r="A487" s="596"/>
      <c r="B487" s="609"/>
      <c r="D487" s="610"/>
      <c r="E487" s="571"/>
      <c r="F487" s="571"/>
      <c r="G487" s="572"/>
    </row>
    <row r="488" spans="1:7" ht="13.8">
      <c r="A488" s="596"/>
      <c r="B488" s="609"/>
      <c r="D488" s="610"/>
      <c r="E488" s="571"/>
      <c r="F488" s="571"/>
      <c r="G488" s="572"/>
    </row>
    <row r="489" spans="1:7" ht="13.8">
      <c r="A489" s="596"/>
      <c r="B489" s="609"/>
      <c r="D489" s="610"/>
      <c r="E489" s="571"/>
      <c r="F489" s="571"/>
      <c r="G489" s="572"/>
    </row>
    <row r="490" spans="1:7" ht="13.8">
      <c r="A490" s="596"/>
      <c r="B490" s="609"/>
      <c r="D490" s="610"/>
      <c r="E490" s="571"/>
      <c r="F490" s="571"/>
      <c r="G490" s="572"/>
    </row>
    <row r="491" spans="1:7" ht="13.8">
      <c r="A491" s="596"/>
      <c r="B491" s="609"/>
      <c r="D491" s="610"/>
      <c r="E491" s="571"/>
      <c r="F491" s="571"/>
      <c r="G491" s="572"/>
    </row>
    <row r="492" spans="1:7" ht="13.8">
      <c r="A492" s="596"/>
      <c r="B492" s="609"/>
      <c r="D492" s="610"/>
      <c r="E492" s="571"/>
      <c r="F492" s="571"/>
      <c r="G492" s="572"/>
    </row>
    <row r="493" spans="1:7" ht="13.8">
      <c r="A493" s="596"/>
      <c r="B493" s="609"/>
      <c r="D493" s="610"/>
      <c r="E493" s="571"/>
      <c r="F493" s="571"/>
      <c r="G493" s="572"/>
    </row>
    <row r="494" spans="1:7" ht="13.8">
      <c r="A494" s="596"/>
      <c r="B494" s="609"/>
      <c r="D494" s="610"/>
      <c r="E494" s="571"/>
      <c r="F494" s="571"/>
      <c r="G494" s="572"/>
    </row>
    <row r="495" spans="1:7" ht="13.8">
      <c r="A495" s="596"/>
      <c r="B495" s="609"/>
      <c r="D495" s="610"/>
      <c r="E495" s="571"/>
      <c r="F495" s="571"/>
      <c r="G495" s="572"/>
    </row>
    <row r="496" spans="1:7" ht="13.8">
      <c r="A496" s="596"/>
      <c r="B496" s="609"/>
      <c r="D496" s="610"/>
      <c r="E496" s="571"/>
      <c r="F496" s="571"/>
      <c r="G496" s="572"/>
    </row>
    <row r="497" spans="1:7" ht="13.8">
      <c r="A497" s="596"/>
      <c r="B497" s="609"/>
      <c r="D497" s="610"/>
      <c r="E497" s="571"/>
      <c r="F497" s="571"/>
      <c r="G497" s="572"/>
    </row>
    <row r="498" spans="1:7" ht="13.8">
      <c r="A498" s="596"/>
      <c r="B498" s="609"/>
      <c r="D498" s="610"/>
      <c r="E498" s="571"/>
      <c r="F498" s="571"/>
      <c r="G498" s="572"/>
    </row>
    <row r="499" spans="1:7" ht="13.8">
      <c r="A499" s="596"/>
      <c r="B499" s="609"/>
      <c r="D499" s="610"/>
      <c r="E499" s="571"/>
      <c r="F499" s="571"/>
      <c r="G499" s="572"/>
    </row>
    <row r="500" spans="1:7" ht="13.8">
      <c r="A500" s="596"/>
      <c r="B500" s="609"/>
      <c r="D500" s="610"/>
      <c r="E500" s="571"/>
      <c r="F500" s="571"/>
      <c r="G500" s="572"/>
    </row>
    <row r="501" spans="1:7" ht="13.8">
      <c r="A501" s="596"/>
      <c r="B501" s="609"/>
      <c r="D501" s="610"/>
      <c r="E501" s="571"/>
      <c r="F501" s="571"/>
      <c r="G501" s="572"/>
    </row>
    <row r="502" spans="1:7" ht="13.8">
      <c r="A502" s="596"/>
      <c r="B502" s="609"/>
      <c r="D502" s="610"/>
      <c r="E502" s="571"/>
      <c r="F502" s="571"/>
      <c r="G502" s="572"/>
    </row>
    <row r="503" spans="1:7" ht="13.8">
      <c r="A503" s="596"/>
      <c r="B503" s="609"/>
      <c r="D503" s="610"/>
      <c r="E503" s="571"/>
      <c r="F503" s="571"/>
      <c r="G503" s="572"/>
    </row>
    <row r="504" spans="1:7" ht="13.8">
      <c r="A504" s="596"/>
      <c r="B504" s="609"/>
      <c r="D504" s="610"/>
      <c r="E504" s="571"/>
      <c r="F504" s="571"/>
      <c r="G504" s="572"/>
    </row>
    <row r="505" spans="1:7" ht="13.8">
      <c r="A505" s="596"/>
      <c r="B505" s="609"/>
      <c r="D505" s="610"/>
      <c r="E505" s="571"/>
      <c r="F505" s="571"/>
      <c r="G505" s="572"/>
    </row>
    <row r="506" spans="1:7" ht="13.8">
      <c r="A506" s="596"/>
      <c r="B506" s="609"/>
      <c r="D506" s="610"/>
      <c r="E506" s="571"/>
      <c r="F506" s="571"/>
      <c r="G506" s="572"/>
    </row>
    <row r="507" spans="1:7" ht="13.8">
      <c r="A507" s="596"/>
      <c r="B507" s="609"/>
      <c r="D507" s="610"/>
      <c r="E507" s="571"/>
      <c r="F507" s="571"/>
      <c r="G507" s="572"/>
    </row>
    <row r="508" spans="1:7" ht="13.8">
      <c r="A508" s="596"/>
      <c r="B508" s="609"/>
      <c r="D508" s="610"/>
      <c r="E508" s="571"/>
      <c r="F508" s="571"/>
      <c r="G508" s="572"/>
    </row>
    <row r="509" spans="1:7" ht="13.8">
      <c r="A509" s="596"/>
      <c r="B509" s="609"/>
      <c r="D509" s="610"/>
      <c r="E509" s="571"/>
      <c r="F509" s="571"/>
      <c r="G509" s="572"/>
    </row>
    <row r="510" spans="1:7" ht="13.8">
      <c r="A510" s="596"/>
      <c r="B510" s="609"/>
      <c r="D510" s="610"/>
      <c r="E510" s="571"/>
      <c r="F510" s="571"/>
      <c r="G510" s="572"/>
    </row>
    <row r="511" spans="1:7" ht="13.8">
      <c r="A511" s="596"/>
      <c r="B511" s="609"/>
      <c r="D511" s="610"/>
      <c r="E511" s="571"/>
      <c r="F511" s="571"/>
      <c r="G511" s="572"/>
    </row>
    <row r="512" spans="1:7" ht="13.8">
      <c r="A512" s="596"/>
      <c r="B512" s="609"/>
      <c r="D512" s="610"/>
      <c r="E512" s="571"/>
      <c r="F512" s="571"/>
      <c r="G512" s="572"/>
    </row>
    <row r="513" spans="1:7" ht="13.8">
      <c r="A513" s="596"/>
      <c r="B513" s="609"/>
      <c r="D513" s="610"/>
      <c r="E513" s="571"/>
      <c r="F513" s="571"/>
      <c r="G513" s="572"/>
    </row>
    <row r="514" spans="1:7" ht="13.8">
      <c r="A514" s="596"/>
      <c r="B514" s="609"/>
      <c r="D514" s="610"/>
      <c r="E514" s="571"/>
      <c r="F514" s="571"/>
      <c r="G514" s="572"/>
    </row>
    <row r="515" spans="1:7" ht="13.8">
      <c r="A515" s="596"/>
      <c r="B515" s="609"/>
      <c r="D515" s="610"/>
      <c r="E515" s="571"/>
      <c r="F515" s="571"/>
      <c r="G515" s="572"/>
    </row>
    <row r="516" spans="1:7" ht="13.8">
      <c r="A516" s="596"/>
      <c r="B516" s="609"/>
      <c r="D516" s="610"/>
      <c r="E516" s="571"/>
      <c r="F516" s="571"/>
      <c r="G516" s="572"/>
    </row>
    <row r="517" spans="1:7" ht="13.8">
      <c r="A517" s="596"/>
      <c r="B517" s="609"/>
      <c r="D517" s="610"/>
      <c r="E517" s="571"/>
      <c r="F517" s="571"/>
      <c r="G517" s="572"/>
    </row>
    <row r="518" spans="1:7" ht="13.8">
      <c r="A518" s="596"/>
      <c r="B518" s="609"/>
      <c r="D518" s="610"/>
      <c r="E518" s="571"/>
      <c r="F518" s="571"/>
      <c r="G518" s="572"/>
    </row>
    <row r="519" spans="1:7" ht="13.8">
      <c r="A519" s="596"/>
      <c r="B519" s="609"/>
      <c r="D519" s="610"/>
      <c r="E519" s="571"/>
      <c r="F519" s="571"/>
      <c r="G519" s="572"/>
    </row>
    <row r="520" spans="1:7" ht="13.8">
      <c r="A520" s="596"/>
      <c r="B520" s="609"/>
      <c r="D520" s="610"/>
      <c r="E520" s="571"/>
      <c r="F520" s="571"/>
      <c r="G520" s="572"/>
    </row>
    <row r="521" spans="1:7" ht="13.8">
      <c r="A521" s="596"/>
      <c r="B521" s="609"/>
      <c r="D521" s="610"/>
      <c r="E521" s="571"/>
      <c r="F521" s="571"/>
      <c r="G521" s="572"/>
    </row>
    <row r="522" spans="1:7" ht="13.8">
      <c r="A522" s="596"/>
      <c r="B522" s="609"/>
      <c r="D522" s="610"/>
      <c r="E522" s="571"/>
      <c r="F522" s="571"/>
      <c r="G522" s="572"/>
    </row>
    <row r="523" spans="1:7" ht="13.8">
      <c r="A523" s="596"/>
      <c r="B523" s="609"/>
      <c r="D523" s="610"/>
      <c r="E523" s="571"/>
      <c r="F523" s="571"/>
      <c r="G523" s="572"/>
    </row>
    <row r="524" spans="1:7" ht="13.8">
      <c r="A524" s="596"/>
      <c r="B524" s="609"/>
      <c r="D524" s="610"/>
      <c r="E524" s="571"/>
      <c r="F524" s="571"/>
      <c r="G524" s="572"/>
    </row>
    <row r="525" spans="1:7" ht="13.8">
      <c r="A525" s="596"/>
      <c r="B525" s="609"/>
      <c r="D525" s="610"/>
      <c r="E525" s="571"/>
      <c r="F525" s="571"/>
      <c r="G525" s="572"/>
    </row>
    <row r="526" spans="1:7" ht="13.8">
      <c r="A526" s="596"/>
      <c r="B526" s="609"/>
      <c r="D526" s="610"/>
      <c r="E526" s="571"/>
      <c r="F526" s="571"/>
      <c r="G526" s="572"/>
    </row>
    <row r="527" spans="1:7" ht="13.8">
      <c r="A527" s="596"/>
      <c r="B527" s="609"/>
      <c r="D527" s="610"/>
      <c r="E527" s="571"/>
      <c r="F527" s="571"/>
      <c r="G527" s="572"/>
    </row>
    <row r="528" spans="1:7" ht="13.8">
      <c r="A528" s="596"/>
      <c r="B528" s="609"/>
      <c r="D528" s="610"/>
      <c r="E528" s="571"/>
      <c r="F528" s="571"/>
      <c r="G528" s="572"/>
    </row>
    <row r="529" spans="1:7" ht="13.8">
      <c r="A529" s="596"/>
      <c r="B529" s="609"/>
      <c r="D529" s="610"/>
      <c r="E529" s="571"/>
      <c r="F529" s="571"/>
      <c r="G529" s="572"/>
    </row>
    <row r="530" spans="1:7" ht="13.8">
      <c r="A530" s="596"/>
      <c r="B530" s="609"/>
      <c r="D530" s="610"/>
      <c r="E530" s="571"/>
      <c r="F530" s="571"/>
      <c r="G530" s="572"/>
    </row>
    <row r="531" spans="1:7" ht="13.8">
      <c r="A531" s="596"/>
      <c r="B531" s="609"/>
      <c r="D531" s="610"/>
      <c r="E531" s="571"/>
      <c r="F531" s="571"/>
      <c r="G531" s="572"/>
    </row>
    <row r="532" spans="1:7" ht="13.8">
      <c r="A532" s="596"/>
      <c r="B532" s="609"/>
      <c r="D532" s="610"/>
      <c r="E532" s="571"/>
      <c r="F532" s="571"/>
      <c r="G532" s="572"/>
    </row>
    <row r="533" spans="1:7" ht="13.8">
      <c r="A533" s="596"/>
      <c r="B533" s="609"/>
      <c r="D533" s="610"/>
      <c r="E533" s="571"/>
      <c r="F533" s="571"/>
      <c r="G533" s="572"/>
    </row>
    <row r="534" spans="1:7" ht="13.8">
      <c r="A534" s="596"/>
      <c r="B534" s="609"/>
      <c r="D534" s="610"/>
      <c r="E534" s="571"/>
      <c r="F534" s="571"/>
      <c r="G534" s="572"/>
    </row>
    <row r="535" spans="1:7" ht="13.8">
      <c r="A535" s="596"/>
      <c r="B535" s="609"/>
      <c r="D535" s="610"/>
      <c r="E535" s="571"/>
      <c r="F535" s="571"/>
      <c r="G535" s="572"/>
    </row>
    <row r="536" spans="1:7" ht="13.8">
      <c r="A536" s="596"/>
      <c r="B536" s="609"/>
      <c r="D536" s="610"/>
      <c r="E536" s="571"/>
      <c r="F536" s="571"/>
      <c r="G536" s="572"/>
    </row>
    <row r="537" spans="1:7" ht="13.8">
      <c r="A537" s="596"/>
      <c r="B537" s="609"/>
      <c r="D537" s="610"/>
      <c r="E537" s="571"/>
      <c r="F537" s="571"/>
      <c r="G537" s="572"/>
    </row>
    <row r="538" spans="1:7" ht="13.8">
      <c r="A538" s="596"/>
      <c r="B538" s="609"/>
      <c r="D538" s="610"/>
      <c r="E538" s="571"/>
      <c r="F538" s="571"/>
      <c r="G538" s="572"/>
    </row>
    <row r="539" spans="1:7" ht="13.8">
      <c r="A539" s="596"/>
      <c r="B539" s="609"/>
      <c r="D539" s="610"/>
      <c r="E539" s="571"/>
      <c r="F539" s="571"/>
      <c r="G539" s="572"/>
    </row>
    <row r="540" spans="1:7" ht="13.8">
      <c r="A540" s="596"/>
      <c r="B540" s="609"/>
      <c r="D540" s="610"/>
      <c r="E540" s="571"/>
      <c r="F540" s="571"/>
      <c r="G540" s="572"/>
    </row>
    <row r="541" spans="1:7" ht="13.8">
      <c r="A541" s="596"/>
      <c r="B541" s="609"/>
      <c r="D541" s="610"/>
      <c r="E541" s="571"/>
      <c r="F541" s="571"/>
      <c r="G541" s="572"/>
    </row>
    <row r="542" spans="1:7" ht="13.8">
      <c r="A542" s="596"/>
      <c r="B542" s="609"/>
      <c r="D542" s="610"/>
      <c r="E542" s="571"/>
      <c r="F542" s="571"/>
      <c r="G542" s="572"/>
    </row>
    <row r="543" spans="1:7" ht="13.8">
      <c r="A543" s="596"/>
      <c r="B543" s="609"/>
      <c r="D543" s="610"/>
      <c r="E543" s="571"/>
      <c r="F543" s="571"/>
      <c r="G543" s="572"/>
    </row>
    <row r="544" spans="1:7" ht="13.8">
      <c r="A544" s="596"/>
      <c r="B544" s="609"/>
      <c r="D544" s="610"/>
      <c r="E544" s="571"/>
      <c r="F544" s="571"/>
      <c r="G544" s="572"/>
    </row>
    <row r="545" spans="1:7" ht="13.8">
      <c r="A545" s="596"/>
      <c r="B545" s="609"/>
      <c r="D545" s="610"/>
      <c r="E545" s="571"/>
      <c r="F545" s="571"/>
      <c r="G545" s="572"/>
    </row>
    <row r="546" spans="1:7" ht="13.8">
      <c r="A546" s="596"/>
      <c r="B546" s="609"/>
      <c r="D546" s="610"/>
      <c r="E546" s="571"/>
      <c r="F546" s="571"/>
      <c r="G546" s="572"/>
    </row>
    <row r="547" spans="1:7" ht="13.8">
      <c r="A547" s="596"/>
      <c r="B547" s="609"/>
      <c r="D547" s="610"/>
      <c r="E547" s="571"/>
      <c r="F547" s="571"/>
      <c r="G547" s="572"/>
    </row>
    <row r="548" spans="1:7" ht="13.8">
      <c r="A548" s="596"/>
      <c r="B548" s="609"/>
      <c r="D548" s="610"/>
      <c r="E548" s="571"/>
      <c r="F548" s="571"/>
      <c r="G548" s="572"/>
    </row>
    <row r="549" spans="1:7" ht="13.8">
      <c r="A549" s="596"/>
      <c r="B549" s="609"/>
      <c r="D549" s="610"/>
      <c r="E549" s="571"/>
      <c r="F549" s="571"/>
      <c r="G549" s="572"/>
    </row>
    <row r="550" spans="1:7" ht="13.8">
      <c r="A550" s="596"/>
      <c r="B550" s="609"/>
      <c r="D550" s="610"/>
      <c r="E550" s="571"/>
      <c r="F550" s="571"/>
      <c r="G550" s="572"/>
    </row>
    <row r="551" spans="1:7" ht="13.8">
      <c r="A551" s="596"/>
      <c r="B551" s="609"/>
      <c r="D551" s="610"/>
      <c r="E551" s="571"/>
      <c r="F551" s="571"/>
      <c r="G551" s="572"/>
    </row>
    <row r="552" spans="1:7" ht="13.8">
      <c r="A552" s="596"/>
      <c r="B552" s="609"/>
      <c r="D552" s="610"/>
      <c r="E552" s="571"/>
      <c r="F552" s="571"/>
      <c r="G552" s="572"/>
    </row>
    <row r="553" spans="1:7" ht="13.8">
      <c r="A553" s="596"/>
      <c r="B553" s="609"/>
      <c r="D553" s="610"/>
      <c r="E553" s="571"/>
      <c r="F553" s="571"/>
      <c r="G553" s="572"/>
    </row>
    <row r="554" spans="1:7" ht="13.8">
      <c r="A554" s="596"/>
      <c r="B554" s="609"/>
      <c r="D554" s="610"/>
      <c r="E554" s="571"/>
      <c r="F554" s="571"/>
      <c r="G554" s="572"/>
    </row>
    <row r="555" spans="1:7" ht="13.8">
      <c r="A555" s="596"/>
      <c r="B555" s="609"/>
      <c r="D555" s="610"/>
      <c r="E555" s="571"/>
      <c r="F555" s="571"/>
      <c r="G555" s="572"/>
    </row>
    <row r="556" spans="1:7" ht="13.8">
      <c r="A556" s="596"/>
      <c r="B556" s="609"/>
      <c r="D556" s="610"/>
      <c r="E556" s="571"/>
      <c r="F556" s="571"/>
      <c r="G556" s="572"/>
    </row>
    <row r="557" spans="1:7" ht="13.8">
      <c r="A557" s="596"/>
      <c r="B557" s="609"/>
      <c r="D557" s="610"/>
      <c r="E557" s="571"/>
      <c r="F557" s="571"/>
      <c r="G557" s="572"/>
    </row>
    <row r="558" spans="1:7" ht="13.8">
      <c r="A558" s="596"/>
      <c r="B558" s="609"/>
      <c r="D558" s="610"/>
      <c r="E558" s="571"/>
      <c r="F558" s="571"/>
      <c r="G558" s="572"/>
    </row>
    <row r="559" spans="1:7" ht="13.8">
      <c r="A559" s="596"/>
      <c r="B559" s="609"/>
      <c r="D559" s="610"/>
      <c r="E559" s="571"/>
      <c r="F559" s="571"/>
      <c r="G559" s="572"/>
    </row>
    <row r="560" spans="1:7" ht="13.8">
      <c r="A560" s="596"/>
      <c r="B560" s="609"/>
      <c r="D560" s="610"/>
      <c r="E560" s="571"/>
      <c r="F560" s="571"/>
      <c r="G560" s="572"/>
    </row>
    <row r="561" spans="1:7" ht="13.8">
      <c r="A561" s="596"/>
      <c r="B561" s="609"/>
      <c r="D561" s="610"/>
      <c r="E561" s="571"/>
      <c r="F561" s="571"/>
      <c r="G561" s="572"/>
    </row>
    <row r="562" spans="1:7" ht="13.8">
      <c r="A562" s="596"/>
      <c r="B562" s="609"/>
      <c r="D562" s="610"/>
      <c r="E562" s="571"/>
      <c r="F562" s="571"/>
      <c r="G562" s="572"/>
    </row>
    <row r="563" spans="1:7" ht="13.8">
      <c r="A563" s="596"/>
      <c r="B563" s="609"/>
      <c r="D563" s="610"/>
      <c r="E563" s="571"/>
      <c r="F563" s="571"/>
      <c r="G563" s="572"/>
    </row>
    <row r="564" spans="1:7" ht="13.8">
      <c r="A564" s="596"/>
      <c r="B564" s="609"/>
      <c r="D564" s="610"/>
      <c r="E564" s="571"/>
      <c r="F564" s="571"/>
      <c r="G564" s="572"/>
    </row>
    <row r="565" spans="1:7" ht="13.8">
      <c r="A565" s="596"/>
      <c r="B565" s="609"/>
      <c r="D565" s="610"/>
      <c r="E565" s="571"/>
      <c r="F565" s="571"/>
      <c r="G565" s="572"/>
    </row>
    <row r="566" spans="1:7" ht="13.8">
      <c r="A566" s="596"/>
      <c r="B566" s="609"/>
      <c r="D566" s="610"/>
      <c r="E566" s="571"/>
      <c r="F566" s="571"/>
      <c r="G566" s="572"/>
    </row>
    <row r="567" spans="1:7" ht="13.8">
      <c r="A567" s="596"/>
      <c r="B567" s="609"/>
      <c r="D567" s="610"/>
      <c r="E567" s="571"/>
      <c r="F567" s="571"/>
      <c r="G567" s="572"/>
    </row>
    <row r="568" spans="1:7" ht="13.8">
      <c r="A568" s="596"/>
      <c r="B568" s="609"/>
      <c r="D568" s="610"/>
      <c r="E568" s="571"/>
      <c r="F568" s="571"/>
      <c r="G568" s="572"/>
    </row>
    <row r="569" spans="1:7" ht="13.8">
      <c r="A569" s="596"/>
      <c r="B569" s="609"/>
      <c r="D569" s="610"/>
      <c r="E569" s="571"/>
      <c r="F569" s="571"/>
      <c r="G569" s="572"/>
    </row>
    <row r="570" spans="1:7" ht="13.8">
      <c r="A570" s="596"/>
      <c r="B570" s="609"/>
      <c r="D570" s="610"/>
      <c r="E570" s="571"/>
      <c r="F570" s="571"/>
      <c r="G570" s="572"/>
    </row>
    <row r="571" spans="1:7" ht="13.8">
      <c r="A571" s="596"/>
      <c r="B571" s="609"/>
      <c r="D571" s="610"/>
      <c r="E571" s="571"/>
      <c r="F571" s="571"/>
      <c r="G571" s="572"/>
    </row>
    <row r="572" spans="1:7" ht="13.8">
      <c r="A572" s="596"/>
      <c r="B572" s="609"/>
      <c r="D572" s="610"/>
      <c r="E572" s="571"/>
      <c r="F572" s="571"/>
      <c r="G572" s="572"/>
    </row>
    <row r="573" spans="1:7" ht="13.8">
      <c r="A573" s="596"/>
      <c r="B573" s="609"/>
      <c r="D573" s="610"/>
      <c r="E573" s="571"/>
      <c r="F573" s="571"/>
      <c r="G573" s="572"/>
    </row>
    <row r="574" spans="1:7" ht="13.8">
      <c r="A574" s="596"/>
      <c r="B574" s="609"/>
      <c r="D574" s="610"/>
      <c r="E574" s="571"/>
      <c r="F574" s="571"/>
      <c r="G574" s="572"/>
    </row>
    <row r="575" spans="1:7" ht="13.8">
      <c r="A575" s="596"/>
      <c r="B575" s="609"/>
      <c r="D575" s="610"/>
      <c r="E575" s="571"/>
      <c r="F575" s="571"/>
      <c r="G575" s="572"/>
    </row>
    <row r="576" spans="1:7" ht="13.8">
      <c r="A576" s="596"/>
      <c r="B576" s="609"/>
      <c r="D576" s="610"/>
      <c r="E576" s="571"/>
      <c r="F576" s="571"/>
      <c r="G576" s="572"/>
    </row>
    <row r="577" spans="1:7" ht="13.8">
      <c r="A577" s="596"/>
      <c r="B577" s="609"/>
      <c r="D577" s="610"/>
      <c r="E577" s="571"/>
      <c r="F577" s="571"/>
      <c r="G577" s="572"/>
    </row>
    <row r="578" spans="1:7" ht="13.8">
      <c r="A578" s="596"/>
      <c r="B578" s="609"/>
      <c r="D578" s="610"/>
      <c r="E578" s="571"/>
      <c r="F578" s="571"/>
      <c r="G578" s="572"/>
    </row>
    <row r="579" spans="1:7" ht="13.8">
      <c r="A579" s="596"/>
      <c r="B579" s="609"/>
      <c r="D579" s="610"/>
      <c r="E579" s="571"/>
      <c r="F579" s="571"/>
      <c r="G579" s="572"/>
    </row>
    <row r="580" spans="1:7" ht="13.8">
      <c r="A580" s="596"/>
      <c r="B580" s="609"/>
      <c r="D580" s="610"/>
      <c r="E580" s="571"/>
      <c r="F580" s="571"/>
      <c r="G580" s="572"/>
    </row>
    <row r="581" spans="1:7" ht="13.8">
      <c r="A581" s="596"/>
      <c r="B581" s="609"/>
      <c r="D581" s="610"/>
      <c r="E581" s="571"/>
      <c r="F581" s="571"/>
      <c r="G581" s="572"/>
    </row>
    <row r="582" spans="1:7" ht="13.8">
      <c r="A582" s="596"/>
      <c r="B582" s="609"/>
      <c r="D582" s="610"/>
      <c r="E582" s="571"/>
      <c r="F582" s="571"/>
      <c r="G582" s="572"/>
    </row>
    <row r="583" spans="1:7" ht="13.8">
      <c r="A583" s="596"/>
      <c r="B583" s="609"/>
      <c r="D583" s="610"/>
      <c r="E583" s="571"/>
      <c r="F583" s="571"/>
      <c r="G583" s="572"/>
    </row>
    <row r="584" spans="1:7" ht="13.8">
      <c r="A584" s="596"/>
      <c r="B584" s="609"/>
      <c r="D584" s="610"/>
      <c r="E584" s="571"/>
      <c r="F584" s="571"/>
      <c r="G584" s="572"/>
    </row>
    <row r="585" spans="1:7" ht="13.8">
      <c r="A585" s="596"/>
      <c r="B585" s="609"/>
      <c r="D585" s="610"/>
      <c r="E585" s="571"/>
      <c r="F585" s="571"/>
      <c r="G585" s="572"/>
    </row>
    <row r="586" spans="1:7" ht="13.8">
      <c r="A586" s="596"/>
      <c r="B586" s="609"/>
      <c r="D586" s="610"/>
      <c r="E586" s="571"/>
      <c r="F586" s="571"/>
      <c r="G586" s="572"/>
    </row>
    <row r="587" spans="1:7" ht="13.8">
      <c r="A587" s="596"/>
      <c r="B587" s="609"/>
      <c r="D587" s="610"/>
      <c r="E587" s="571"/>
      <c r="F587" s="571"/>
      <c r="G587" s="572"/>
    </row>
    <row r="588" spans="1:7" ht="13.8">
      <c r="A588" s="596"/>
      <c r="B588" s="609"/>
      <c r="D588" s="610"/>
      <c r="E588" s="571"/>
      <c r="F588" s="571"/>
      <c r="G588" s="572"/>
    </row>
    <row r="589" spans="1:7" ht="13.8">
      <c r="A589" s="596"/>
      <c r="B589" s="609"/>
      <c r="D589" s="610"/>
      <c r="E589" s="571"/>
      <c r="F589" s="571"/>
      <c r="G589" s="572"/>
    </row>
    <row r="590" spans="1:7" ht="13.8">
      <c r="A590" s="596"/>
      <c r="B590" s="609"/>
      <c r="D590" s="610"/>
      <c r="E590" s="571"/>
      <c r="F590" s="571"/>
      <c r="G590" s="572"/>
    </row>
    <row r="591" spans="1:7" ht="13.8">
      <c r="A591" s="596"/>
      <c r="B591" s="609"/>
      <c r="D591" s="610"/>
      <c r="E591" s="571"/>
      <c r="F591" s="571"/>
      <c r="G591" s="572"/>
    </row>
    <row r="592" spans="1:7" ht="13.8">
      <c r="A592" s="596"/>
      <c r="B592" s="609"/>
      <c r="D592" s="610"/>
      <c r="E592" s="571"/>
      <c r="F592" s="571"/>
      <c r="G592" s="572"/>
    </row>
    <row r="593" spans="1:7" ht="13.8">
      <c r="A593" s="596"/>
      <c r="B593" s="609"/>
      <c r="D593" s="610"/>
      <c r="E593" s="571"/>
      <c r="F593" s="571"/>
      <c r="G593" s="572"/>
    </row>
    <row r="594" spans="1:7" ht="13.8">
      <c r="A594" s="596"/>
      <c r="B594" s="609"/>
      <c r="D594" s="610"/>
      <c r="E594" s="571"/>
      <c r="F594" s="571"/>
      <c r="G594" s="572"/>
    </row>
    <row r="595" spans="1:7" ht="13.8">
      <c r="A595" s="596"/>
      <c r="B595" s="609"/>
      <c r="D595" s="610"/>
      <c r="E595" s="571"/>
      <c r="F595" s="571"/>
      <c r="G595" s="572"/>
    </row>
    <row r="596" spans="1:7" ht="13.8">
      <c r="A596" s="596"/>
      <c r="B596" s="609"/>
      <c r="D596" s="610"/>
      <c r="E596" s="571"/>
      <c r="F596" s="571"/>
      <c r="G596" s="572"/>
    </row>
    <row r="597" spans="1:7" ht="13.8">
      <c r="A597" s="596"/>
      <c r="B597" s="609"/>
      <c r="D597" s="610"/>
      <c r="E597" s="571"/>
      <c r="F597" s="571"/>
      <c r="G597" s="572"/>
    </row>
    <row r="598" spans="1:7" ht="13.8">
      <c r="A598" s="596"/>
      <c r="B598" s="609"/>
      <c r="D598" s="610"/>
      <c r="E598" s="571"/>
      <c r="F598" s="571"/>
      <c r="G598" s="572"/>
    </row>
    <row r="599" spans="1:7" ht="13.8">
      <c r="A599" s="596"/>
      <c r="B599" s="609"/>
      <c r="D599" s="610"/>
      <c r="E599" s="571"/>
      <c r="F599" s="571"/>
      <c r="G599" s="572"/>
    </row>
    <row r="600" spans="1:7" ht="13.8">
      <c r="A600" s="596"/>
      <c r="B600" s="609"/>
      <c r="D600" s="610"/>
      <c r="E600" s="571"/>
      <c r="F600" s="571"/>
      <c r="G600" s="572"/>
    </row>
    <row r="601" spans="1:7" ht="13.8">
      <c r="A601" s="596"/>
      <c r="B601" s="609"/>
      <c r="D601" s="610"/>
      <c r="E601" s="571"/>
      <c r="F601" s="571"/>
      <c r="G601" s="572"/>
    </row>
    <row r="602" spans="1:7" ht="13.8">
      <c r="A602" s="596"/>
      <c r="B602" s="609"/>
      <c r="D602" s="610"/>
      <c r="E602" s="571"/>
      <c r="F602" s="571"/>
      <c r="G602" s="572"/>
    </row>
    <row r="603" spans="1:7" ht="13.8">
      <c r="A603" s="596"/>
      <c r="B603" s="609"/>
      <c r="D603" s="610"/>
      <c r="E603" s="571"/>
      <c r="F603" s="571"/>
      <c r="G603" s="572"/>
    </row>
    <row r="604" spans="1:7" ht="13.8">
      <c r="A604" s="596"/>
      <c r="B604" s="609"/>
      <c r="D604" s="610"/>
      <c r="E604" s="571"/>
      <c r="F604" s="571"/>
      <c r="G604" s="572"/>
    </row>
    <row r="605" spans="1:7" ht="13.8">
      <c r="A605" s="596"/>
      <c r="B605" s="609"/>
      <c r="D605" s="610"/>
      <c r="E605" s="571"/>
      <c r="F605" s="571"/>
      <c r="G605" s="572"/>
    </row>
    <row r="606" spans="1:7" ht="13.8">
      <c r="A606" s="596"/>
      <c r="B606" s="609"/>
      <c r="D606" s="610"/>
      <c r="E606" s="571"/>
      <c r="F606" s="571"/>
      <c r="G606" s="572"/>
    </row>
    <row r="607" spans="1:7" ht="13.8">
      <c r="A607" s="596"/>
      <c r="B607" s="609"/>
      <c r="D607" s="610"/>
      <c r="E607" s="571"/>
      <c r="F607" s="571"/>
      <c r="G607" s="572"/>
    </row>
    <row r="608" spans="1:7" ht="13.8">
      <c r="A608" s="596"/>
      <c r="B608" s="609"/>
      <c r="D608" s="610"/>
      <c r="E608" s="571"/>
      <c r="F608" s="571"/>
      <c r="G608" s="572"/>
    </row>
    <row r="609" spans="1:7" ht="13.8">
      <c r="A609" s="596"/>
      <c r="B609" s="609"/>
      <c r="D609" s="610"/>
      <c r="E609" s="571"/>
      <c r="F609" s="571"/>
      <c r="G609" s="572"/>
    </row>
    <row r="610" spans="1:7" ht="13.8">
      <c r="A610" s="596"/>
      <c r="B610" s="609"/>
      <c r="D610" s="610"/>
      <c r="E610" s="571"/>
      <c r="F610" s="571"/>
      <c r="G610" s="572"/>
    </row>
    <row r="611" spans="1:7" ht="13.8">
      <c r="A611" s="596"/>
      <c r="B611" s="609"/>
      <c r="D611" s="610"/>
      <c r="E611" s="571"/>
      <c r="F611" s="571"/>
      <c r="G611" s="572"/>
    </row>
    <row r="612" spans="1:7" ht="13.8">
      <c r="A612" s="596"/>
      <c r="B612" s="609"/>
      <c r="D612" s="610"/>
      <c r="E612" s="571"/>
      <c r="F612" s="571"/>
      <c r="G612" s="572"/>
    </row>
    <row r="613" spans="1:7" ht="13.8">
      <c r="A613" s="596"/>
      <c r="B613" s="609"/>
      <c r="D613" s="610"/>
      <c r="E613" s="571"/>
      <c r="F613" s="571"/>
      <c r="G613" s="572"/>
    </row>
    <row r="614" spans="1:7" ht="13.8">
      <c r="A614" s="596"/>
      <c r="B614" s="609"/>
      <c r="D614" s="610"/>
      <c r="E614" s="571"/>
      <c r="F614" s="571"/>
      <c r="G614" s="572"/>
    </row>
    <row r="615" spans="1:7" ht="13.8">
      <c r="A615" s="596"/>
      <c r="B615" s="609"/>
      <c r="D615" s="610"/>
      <c r="E615" s="571"/>
      <c r="F615" s="571"/>
      <c r="G615" s="572"/>
    </row>
    <row r="616" spans="1:7" ht="13.8">
      <c r="A616" s="596"/>
      <c r="B616" s="609"/>
      <c r="D616" s="610"/>
      <c r="E616" s="571"/>
      <c r="F616" s="571"/>
      <c r="G616" s="572"/>
    </row>
    <row r="617" spans="1:7" ht="13.8">
      <c r="A617" s="596"/>
      <c r="B617" s="609"/>
      <c r="D617" s="610"/>
      <c r="E617" s="571"/>
      <c r="F617" s="571"/>
      <c r="G617" s="572"/>
    </row>
    <row r="618" spans="1:7" ht="13.8">
      <c r="A618" s="596"/>
      <c r="B618" s="609"/>
      <c r="D618" s="610"/>
      <c r="E618" s="571"/>
      <c r="F618" s="571"/>
      <c r="G618" s="572"/>
    </row>
    <row r="619" spans="1:7" ht="13.8">
      <c r="A619" s="596"/>
      <c r="B619" s="609"/>
      <c r="D619" s="610"/>
      <c r="E619" s="571"/>
      <c r="F619" s="571"/>
      <c r="G619" s="572"/>
    </row>
    <row r="620" spans="1:7" ht="13.8">
      <c r="A620" s="596"/>
      <c r="B620" s="609"/>
      <c r="D620" s="610"/>
      <c r="E620" s="571"/>
      <c r="F620" s="571"/>
      <c r="G620" s="572"/>
    </row>
    <row r="621" spans="1:7" ht="13.8">
      <c r="A621" s="596"/>
      <c r="B621" s="609"/>
      <c r="D621" s="610"/>
      <c r="E621" s="571"/>
      <c r="F621" s="571"/>
      <c r="G621" s="572"/>
    </row>
    <row r="622" spans="1:7" ht="13.8">
      <c r="A622" s="596"/>
      <c r="B622" s="609"/>
      <c r="D622" s="610"/>
      <c r="E622" s="571"/>
      <c r="F622" s="571"/>
      <c r="G622" s="572"/>
    </row>
    <row r="623" spans="1:7" ht="13.8">
      <c r="A623" s="596"/>
      <c r="B623" s="609"/>
      <c r="D623" s="610"/>
      <c r="E623" s="571"/>
      <c r="F623" s="571"/>
      <c r="G623" s="572"/>
    </row>
    <row r="624" spans="1:7" ht="13.8">
      <c r="A624" s="596"/>
      <c r="B624" s="609"/>
      <c r="D624" s="610"/>
      <c r="E624" s="571"/>
      <c r="F624" s="571"/>
      <c r="G624" s="572"/>
    </row>
    <row r="625" spans="1:7" ht="13.8">
      <c r="A625" s="596"/>
      <c r="B625" s="609"/>
      <c r="D625" s="610"/>
      <c r="E625" s="571"/>
      <c r="F625" s="571"/>
      <c r="G625" s="572"/>
    </row>
    <row r="626" spans="1:7" ht="13.8">
      <c r="A626" s="596"/>
      <c r="B626" s="609"/>
      <c r="D626" s="610"/>
      <c r="E626" s="571"/>
      <c r="F626" s="571"/>
      <c r="G626" s="572"/>
    </row>
    <row r="627" spans="1:7" ht="13.8">
      <c r="A627" s="596"/>
      <c r="B627" s="609"/>
      <c r="D627" s="610"/>
      <c r="E627" s="571"/>
      <c r="F627" s="571"/>
      <c r="G627" s="572"/>
    </row>
    <row r="628" spans="1:7" ht="13.8">
      <c r="A628" s="596"/>
      <c r="B628" s="609"/>
      <c r="D628" s="610"/>
      <c r="E628" s="571"/>
      <c r="F628" s="571"/>
      <c r="G628" s="572"/>
    </row>
    <row r="629" spans="1:7" ht="13.8">
      <c r="A629" s="596"/>
      <c r="B629" s="609"/>
      <c r="D629" s="610"/>
      <c r="E629" s="571"/>
      <c r="F629" s="571"/>
      <c r="G629" s="572"/>
    </row>
    <row r="630" spans="1:7" ht="13.8">
      <c r="A630" s="596"/>
      <c r="B630" s="609"/>
      <c r="D630" s="610"/>
      <c r="E630" s="571"/>
      <c r="F630" s="571"/>
      <c r="G630" s="572"/>
    </row>
    <row r="631" spans="1:7" ht="13.8">
      <c r="A631" s="596"/>
      <c r="B631" s="609"/>
      <c r="D631" s="610"/>
      <c r="E631" s="571"/>
      <c r="F631" s="571"/>
      <c r="G631" s="572"/>
    </row>
    <row r="632" spans="1:7" ht="13.8">
      <c r="A632" s="596"/>
      <c r="B632" s="609"/>
      <c r="D632" s="610"/>
      <c r="E632" s="571"/>
      <c r="F632" s="571"/>
      <c r="G632" s="572"/>
    </row>
    <row r="633" spans="1:7" ht="13.8">
      <c r="A633" s="596"/>
      <c r="B633" s="609"/>
      <c r="D633" s="610"/>
      <c r="E633" s="571"/>
      <c r="F633" s="571"/>
      <c r="G633" s="572"/>
    </row>
    <row r="634" spans="1:7" ht="13.8">
      <c r="A634" s="596"/>
      <c r="B634" s="609"/>
      <c r="D634" s="610"/>
      <c r="E634" s="571"/>
      <c r="F634" s="571"/>
      <c r="G634" s="572"/>
    </row>
    <row r="635" spans="1:7" ht="13.8">
      <c r="A635" s="596"/>
      <c r="B635" s="609"/>
      <c r="D635" s="610"/>
      <c r="E635" s="571"/>
      <c r="F635" s="571"/>
      <c r="G635" s="572"/>
    </row>
    <row r="636" spans="1:7" ht="13.8">
      <c r="A636" s="596"/>
      <c r="B636" s="609"/>
      <c r="D636" s="610"/>
      <c r="E636" s="571"/>
      <c r="F636" s="571"/>
      <c r="G636" s="572"/>
    </row>
    <row r="637" spans="1:7" ht="13.8">
      <c r="A637" s="596"/>
      <c r="B637" s="609"/>
      <c r="D637" s="610"/>
      <c r="E637" s="571"/>
      <c r="F637" s="571"/>
      <c r="G637" s="572"/>
    </row>
    <row r="638" spans="1:7" ht="13.8">
      <c r="A638" s="596"/>
      <c r="B638" s="609"/>
      <c r="D638" s="610"/>
      <c r="E638" s="571"/>
      <c r="F638" s="571"/>
      <c r="G638" s="572"/>
    </row>
    <row r="639" spans="1:7" ht="13.8">
      <c r="A639" s="596"/>
      <c r="B639" s="609"/>
      <c r="D639" s="610"/>
      <c r="E639" s="571"/>
      <c r="F639" s="571"/>
      <c r="G639" s="572"/>
    </row>
    <row r="640" spans="1:7" ht="13.8">
      <c r="A640" s="596"/>
      <c r="B640" s="609"/>
      <c r="D640" s="610"/>
      <c r="E640" s="571"/>
      <c r="F640" s="571"/>
      <c r="G640" s="572"/>
    </row>
    <row r="641" spans="1:7" ht="13.8">
      <c r="A641" s="596"/>
      <c r="B641" s="609"/>
      <c r="D641" s="610"/>
      <c r="E641" s="571"/>
      <c r="F641" s="571"/>
      <c r="G641" s="572"/>
    </row>
    <row r="642" spans="1:7" ht="13.8">
      <c r="A642" s="596"/>
      <c r="B642" s="609"/>
      <c r="D642" s="610"/>
      <c r="E642" s="571"/>
      <c r="F642" s="571"/>
      <c r="G642" s="572"/>
    </row>
    <row r="643" spans="1:7" ht="13.8">
      <c r="A643" s="596"/>
      <c r="B643" s="609"/>
      <c r="D643" s="610"/>
      <c r="E643" s="571"/>
      <c r="F643" s="571"/>
      <c r="G643" s="572"/>
    </row>
    <row r="644" spans="1:7" ht="13.8">
      <c r="A644" s="596"/>
      <c r="B644" s="609"/>
      <c r="D644" s="610"/>
      <c r="E644" s="571"/>
      <c r="F644" s="571"/>
      <c r="G644" s="572"/>
    </row>
    <row r="645" spans="1:7" ht="13.8">
      <c r="A645" s="596"/>
      <c r="B645" s="609"/>
      <c r="D645" s="610"/>
      <c r="E645" s="571"/>
      <c r="F645" s="571"/>
      <c r="G645" s="572"/>
    </row>
    <row r="646" spans="1:7" ht="13.8">
      <c r="A646" s="596"/>
      <c r="B646" s="609"/>
      <c r="D646" s="610"/>
      <c r="E646" s="571"/>
      <c r="F646" s="571"/>
      <c r="G646" s="572"/>
    </row>
    <row r="647" spans="1:7" ht="13.8">
      <c r="A647" s="596"/>
      <c r="B647" s="609"/>
      <c r="D647" s="610"/>
      <c r="E647" s="571"/>
      <c r="F647" s="571"/>
      <c r="G647" s="572"/>
    </row>
    <row r="648" spans="1:7" ht="13.8">
      <c r="A648" s="596"/>
      <c r="B648" s="609"/>
      <c r="D648" s="610"/>
      <c r="E648" s="571"/>
      <c r="F648" s="571"/>
      <c r="G648" s="572"/>
    </row>
    <row r="649" spans="1:7" ht="13.8">
      <c r="A649" s="596"/>
      <c r="B649" s="609"/>
      <c r="D649" s="610"/>
      <c r="E649" s="571"/>
      <c r="F649" s="571"/>
      <c r="G649" s="572"/>
    </row>
    <row r="650" spans="1:7" ht="13.8">
      <c r="A650" s="596"/>
      <c r="B650" s="609"/>
      <c r="D650" s="610"/>
      <c r="E650" s="571"/>
      <c r="F650" s="571"/>
      <c r="G650" s="572"/>
    </row>
    <row r="651" spans="1:7" ht="13.8">
      <c r="A651" s="596"/>
      <c r="B651" s="609"/>
      <c r="D651" s="610"/>
      <c r="E651" s="571"/>
      <c r="F651" s="571"/>
      <c r="G651" s="572"/>
    </row>
    <row r="652" spans="1:7" ht="13.8">
      <c r="A652" s="596"/>
      <c r="B652" s="609"/>
      <c r="D652" s="610"/>
      <c r="E652" s="571"/>
      <c r="F652" s="571"/>
      <c r="G652" s="572"/>
    </row>
    <row r="653" spans="1:7" ht="13.8">
      <c r="A653" s="596"/>
      <c r="B653" s="609"/>
      <c r="D653" s="610"/>
      <c r="E653" s="571"/>
      <c r="F653" s="571"/>
      <c r="G653" s="572"/>
    </row>
    <row r="654" spans="1:7" ht="13.8">
      <c r="A654" s="596"/>
      <c r="B654" s="609"/>
      <c r="D654" s="610"/>
      <c r="E654" s="571"/>
      <c r="F654" s="571"/>
      <c r="G654" s="572"/>
    </row>
    <row r="655" spans="1:7" ht="13.8">
      <c r="A655" s="596"/>
      <c r="B655" s="609"/>
      <c r="D655" s="610"/>
      <c r="E655" s="571"/>
      <c r="F655" s="571"/>
      <c r="G655" s="572"/>
    </row>
    <row r="656" spans="1:7" ht="13.8">
      <c r="A656" s="596"/>
      <c r="B656" s="609"/>
      <c r="D656" s="610"/>
      <c r="E656" s="571"/>
      <c r="F656" s="571"/>
      <c r="G656" s="572"/>
    </row>
    <row r="657" spans="1:7" ht="13.8">
      <c r="A657" s="596"/>
      <c r="B657" s="609"/>
      <c r="D657" s="610"/>
      <c r="E657" s="571"/>
      <c r="F657" s="571"/>
      <c r="G657" s="572"/>
    </row>
    <row r="658" spans="1:7" ht="13.8">
      <c r="A658" s="596"/>
      <c r="B658" s="609"/>
      <c r="D658" s="610"/>
      <c r="E658" s="571"/>
      <c r="F658" s="571"/>
      <c r="G658" s="572"/>
    </row>
    <row r="659" spans="1:7" ht="13.8">
      <c r="A659" s="596"/>
      <c r="B659" s="609"/>
      <c r="D659" s="610"/>
      <c r="E659" s="571"/>
      <c r="F659" s="571"/>
      <c r="G659" s="572"/>
    </row>
    <row r="660" spans="1:7" ht="13.8">
      <c r="A660" s="596"/>
      <c r="B660" s="609"/>
      <c r="D660" s="610"/>
      <c r="E660" s="571"/>
      <c r="F660" s="571"/>
      <c r="G660" s="572"/>
    </row>
    <row r="661" spans="1:7" ht="13.8">
      <c r="A661" s="596"/>
      <c r="B661" s="609"/>
      <c r="D661" s="610"/>
      <c r="E661" s="571"/>
      <c r="F661" s="571"/>
      <c r="G661" s="572"/>
    </row>
    <row r="662" spans="1:7" ht="13.8">
      <c r="A662" s="596"/>
      <c r="B662" s="609"/>
      <c r="D662" s="610"/>
      <c r="E662" s="571"/>
      <c r="F662" s="571"/>
      <c r="G662" s="572"/>
    </row>
    <row r="663" spans="1:7" ht="13.8">
      <c r="A663" s="596"/>
      <c r="B663" s="609"/>
      <c r="D663" s="610"/>
      <c r="E663" s="571"/>
      <c r="F663" s="571"/>
      <c r="G663" s="572"/>
    </row>
    <row r="664" spans="1:7" ht="13.8">
      <c r="A664" s="596"/>
      <c r="B664" s="609"/>
      <c r="D664" s="610"/>
      <c r="E664" s="571"/>
      <c r="F664" s="571"/>
      <c r="G664" s="572"/>
    </row>
    <row r="665" spans="1:7" ht="13.8">
      <c r="A665" s="596"/>
      <c r="B665" s="609"/>
      <c r="D665" s="610"/>
      <c r="E665" s="571"/>
      <c r="F665" s="571"/>
      <c r="G665" s="572"/>
    </row>
    <row r="666" spans="1:7" ht="13.8">
      <c r="A666" s="596"/>
      <c r="B666" s="609"/>
      <c r="D666" s="610"/>
      <c r="E666" s="571"/>
      <c r="F666" s="571"/>
      <c r="G666" s="572"/>
    </row>
    <row r="667" spans="1:7" ht="13.8">
      <c r="A667" s="596"/>
      <c r="B667" s="609"/>
      <c r="D667" s="610"/>
      <c r="E667" s="571"/>
      <c r="F667" s="571"/>
      <c r="G667" s="572"/>
    </row>
    <row r="668" spans="1:7" ht="13.8">
      <c r="A668" s="596"/>
      <c r="B668" s="609"/>
      <c r="D668" s="610"/>
      <c r="E668" s="571"/>
      <c r="F668" s="571"/>
      <c r="G668" s="572"/>
    </row>
    <row r="669" spans="1:7" ht="13.8">
      <c r="A669" s="596"/>
      <c r="B669" s="609"/>
      <c r="D669" s="610"/>
      <c r="E669" s="571"/>
      <c r="F669" s="571"/>
      <c r="G669" s="572"/>
    </row>
    <row r="670" spans="1:7" ht="13.8">
      <c r="A670" s="596"/>
      <c r="B670" s="609"/>
      <c r="D670" s="610"/>
      <c r="E670" s="571"/>
      <c r="F670" s="571"/>
      <c r="G670" s="572"/>
    </row>
    <row r="671" spans="1:7" ht="13.8">
      <c r="A671" s="596"/>
      <c r="B671" s="609"/>
      <c r="D671" s="610"/>
      <c r="E671" s="571"/>
      <c r="F671" s="571"/>
      <c r="G671" s="572"/>
    </row>
    <row r="672" spans="1:7" ht="13.8">
      <c r="A672" s="596"/>
      <c r="B672" s="609"/>
      <c r="D672" s="610"/>
      <c r="E672" s="571"/>
      <c r="F672" s="571"/>
      <c r="G672" s="572"/>
    </row>
    <row r="673" spans="1:7" ht="13.8">
      <c r="A673" s="596"/>
      <c r="B673" s="609"/>
      <c r="D673" s="610"/>
      <c r="E673" s="571"/>
      <c r="F673" s="571"/>
      <c r="G673" s="572"/>
    </row>
    <row r="674" spans="1:7" ht="13.8">
      <c r="A674" s="596"/>
      <c r="B674" s="609"/>
      <c r="D674" s="610"/>
      <c r="E674" s="571"/>
      <c r="F674" s="571"/>
      <c r="G674" s="572"/>
    </row>
    <row r="675" spans="1:7" ht="13.8">
      <c r="A675" s="596"/>
      <c r="B675" s="609"/>
      <c r="D675" s="610"/>
      <c r="E675" s="571"/>
      <c r="F675" s="571"/>
      <c r="G675" s="572"/>
    </row>
    <row r="676" spans="1:7" ht="13.8">
      <c r="A676" s="596"/>
      <c r="B676" s="609"/>
      <c r="D676" s="610"/>
      <c r="E676" s="571"/>
      <c r="F676" s="571"/>
      <c r="G676" s="572"/>
    </row>
    <row r="677" spans="1:7" ht="13.8">
      <c r="A677" s="596"/>
      <c r="B677" s="609"/>
      <c r="D677" s="610"/>
      <c r="E677" s="571"/>
      <c r="F677" s="571"/>
      <c r="G677" s="572"/>
    </row>
    <row r="678" spans="1:7" ht="13.8">
      <c r="A678" s="596"/>
      <c r="B678" s="609"/>
      <c r="D678" s="610"/>
      <c r="E678" s="571"/>
      <c r="F678" s="571"/>
      <c r="G678" s="572"/>
    </row>
    <row r="679" spans="1:7" ht="13.8">
      <c r="A679" s="596"/>
      <c r="B679" s="609"/>
      <c r="D679" s="610"/>
      <c r="E679" s="571"/>
      <c r="F679" s="571"/>
      <c r="G679" s="572"/>
    </row>
    <row r="680" spans="1:7" ht="13.8">
      <c r="A680" s="596"/>
      <c r="B680" s="609"/>
      <c r="D680" s="610"/>
      <c r="E680" s="571"/>
      <c r="F680" s="571"/>
      <c r="G680" s="572"/>
    </row>
    <row r="681" spans="1:7" ht="13.8">
      <c r="A681" s="596"/>
      <c r="B681" s="609"/>
      <c r="D681" s="610"/>
      <c r="E681" s="571"/>
      <c r="F681" s="571"/>
      <c r="G681" s="572"/>
    </row>
    <row r="682" spans="1:7" ht="13.8">
      <c r="A682" s="596"/>
      <c r="B682" s="609"/>
      <c r="D682" s="610"/>
      <c r="E682" s="571"/>
      <c r="F682" s="571"/>
      <c r="G682" s="572"/>
    </row>
    <row r="683" spans="1:7" ht="13.8">
      <c r="A683" s="596"/>
      <c r="B683" s="609"/>
      <c r="D683" s="610"/>
      <c r="E683" s="571"/>
      <c r="F683" s="571"/>
      <c r="G683" s="572"/>
    </row>
    <row r="684" spans="1:7" ht="13.8">
      <c r="A684" s="596"/>
      <c r="B684" s="609"/>
      <c r="D684" s="610"/>
      <c r="E684" s="571"/>
      <c r="F684" s="571"/>
      <c r="G684" s="572"/>
    </row>
    <row r="685" spans="1:7" ht="13.8">
      <c r="A685" s="596"/>
      <c r="B685" s="609"/>
      <c r="D685" s="610"/>
      <c r="E685" s="571"/>
      <c r="F685" s="571"/>
      <c r="G685" s="572"/>
    </row>
    <row r="686" spans="1:7" ht="13.8">
      <c r="A686" s="596"/>
      <c r="B686" s="609"/>
      <c r="D686" s="610"/>
      <c r="E686" s="571"/>
      <c r="F686" s="571"/>
      <c r="G686" s="572"/>
    </row>
    <row r="687" spans="1:7" ht="13.8">
      <c r="A687" s="596"/>
      <c r="B687" s="609"/>
      <c r="D687" s="610"/>
      <c r="E687" s="571"/>
      <c r="F687" s="571"/>
      <c r="G687" s="572"/>
    </row>
    <row r="688" spans="1:7" ht="13.8">
      <c r="A688" s="596"/>
      <c r="B688" s="609"/>
      <c r="D688" s="610"/>
      <c r="E688" s="571"/>
      <c r="F688" s="571"/>
      <c r="G688" s="572"/>
    </row>
    <row r="689" spans="1:7" ht="13.8">
      <c r="A689" s="596"/>
      <c r="B689" s="609"/>
      <c r="D689" s="610"/>
      <c r="E689" s="571"/>
      <c r="F689" s="571"/>
      <c r="G689" s="572"/>
    </row>
    <row r="690" spans="1:7" ht="13.8">
      <c r="A690" s="596"/>
      <c r="B690" s="609"/>
      <c r="D690" s="610"/>
      <c r="E690" s="571"/>
      <c r="F690" s="571"/>
      <c r="G690" s="572"/>
    </row>
    <row r="691" spans="1:7" ht="13.8">
      <c r="A691" s="596"/>
      <c r="B691" s="609"/>
      <c r="D691" s="610"/>
      <c r="E691" s="571"/>
      <c r="F691" s="571"/>
      <c r="G691" s="572"/>
    </row>
    <row r="692" spans="1:7" ht="13.8">
      <c r="A692" s="596"/>
      <c r="B692" s="609"/>
      <c r="D692" s="610"/>
      <c r="E692" s="571"/>
      <c r="F692" s="571"/>
      <c r="G692" s="572"/>
    </row>
    <row r="693" spans="1:7" ht="13.8">
      <c r="A693" s="596"/>
      <c r="B693" s="609"/>
      <c r="D693" s="610"/>
      <c r="E693" s="571"/>
      <c r="F693" s="571"/>
      <c r="G693" s="572"/>
    </row>
    <row r="694" spans="1:7" ht="13.8">
      <c r="A694" s="596"/>
      <c r="B694" s="609"/>
      <c r="D694" s="610"/>
      <c r="E694" s="571"/>
      <c r="F694" s="571"/>
      <c r="G694" s="572"/>
    </row>
    <row r="695" spans="1:7" ht="13.8">
      <c r="A695" s="596"/>
      <c r="B695" s="609"/>
      <c r="D695" s="610"/>
      <c r="E695" s="571"/>
      <c r="F695" s="571"/>
      <c r="G695" s="572"/>
    </row>
    <row r="696" spans="1:7" ht="13.8">
      <c r="A696" s="596"/>
      <c r="B696" s="609"/>
      <c r="D696" s="610"/>
      <c r="E696" s="571"/>
      <c r="F696" s="571"/>
      <c r="G696" s="572"/>
    </row>
    <row r="697" spans="1:7" ht="13.8">
      <c r="A697" s="596"/>
      <c r="B697" s="609"/>
      <c r="D697" s="610"/>
      <c r="E697" s="571"/>
      <c r="F697" s="571"/>
      <c r="G697" s="572"/>
    </row>
    <row r="698" spans="1:7" ht="13.8">
      <c r="A698" s="596"/>
      <c r="B698" s="609"/>
      <c r="D698" s="610"/>
      <c r="E698" s="571"/>
      <c r="F698" s="571"/>
      <c r="G698" s="572"/>
    </row>
    <row r="699" spans="1:7" ht="13.8">
      <c r="A699" s="596"/>
      <c r="B699" s="609"/>
      <c r="D699" s="610"/>
      <c r="E699" s="571"/>
      <c r="F699" s="571"/>
      <c r="G699" s="572"/>
    </row>
    <row r="700" spans="1:7" ht="13.8">
      <c r="A700" s="596"/>
      <c r="B700" s="609"/>
      <c r="D700" s="610"/>
      <c r="E700" s="571"/>
      <c r="F700" s="571"/>
      <c r="G700" s="572"/>
    </row>
    <row r="701" spans="1:7" ht="13.8">
      <c r="A701" s="596"/>
      <c r="B701" s="609"/>
      <c r="D701" s="610"/>
      <c r="E701" s="571"/>
      <c r="F701" s="571"/>
      <c r="G701" s="572"/>
    </row>
    <row r="702" spans="1:7" ht="13.8">
      <c r="A702" s="596"/>
      <c r="B702" s="609"/>
      <c r="D702" s="610"/>
      <c r="E702" s="571"/>
      <c r="F702" s="571"/>
      <c r="G702" s="572"/>
    </row>
    <row r="703" spans="1:7" ht="13.8">
      <c r="A703" s="596"/>
      <c r="B703" s="609"/>
      <c r="D703" s="610"/>
      <c r="E703" s="571"/>
      <c r="F703" s="571"/>
      <c r="G703" s="572"/>
    </row>
    <row r="704" spans="1:7" ht="13.8">
      <c r="A704" s="596"/>
      <c r="B704" s="609"/>
      <c r="D704" s="610"/>
      <c r="E704" s="571"/>
      <c r="F704" s="571"/>
      <c r="G704" s="572"/>
    </row>
    <row r="705" spans="1:7" ht="13.8">
      <c r="A705" s="596"/>
      <c r="B705" s="609"/>
      <c r="D705" s="610"/>
      <c r="E705" s="571"/>
      <c r="F705" s="571"/>
      <c r="G705" s="572"/>
    </row>
    <row r="706" spans="1:7" ht="13.8">
      <c r="A706" s="596"/>
      <c r="B706" s="609"/>
      <c r="D706" s="610"/>
      <c r="E706" s="571"/>
      <c r="F706" s="571"/>
      <c r="G706" s="572"/>
    </row>
    <row r="707" spans="1:7" ht="13.8">
      <c r="A707" s="596"/>
      <c r="B707" s="609"/>
      <c r="D707" s="610"/>
      <c r="E707" s="571"/>
      <c r="F707" s="571"/>
      <c r="G707" s="572"/>
    </row>
    <row r="708" spans="1:7" ht="13.8">
      <c r="A708" s="596"/>
      <c r="B708" s="609"/>
      <c r="D708" s="610"/>
      <c r="E708" s="571"/>
      <c r="F708" s="571"/>
      <c r="G708" s="572"/>
    </row>
    <row r="709" spans="1:7" ht="13.8">
      <c r="A709" s="596"/>
      <c r="B709" s="609"/>
      <c r="D709" s="610"/>
      <c r="E709" s="571"/>
      <c r="F709" s="571"/>
      <c r="G709" s="572"/>
    </row>
    <row r="710" spans="1:7" ht="13.8">
      <c r="A710" s="596"/>
      <c r="B710" s="609"/>
      <c r="D710" s="610"/>
      <c r="E710" s="571"/>
      <c r="F710" s="571"/>
      <c r="G710" s="572"/>
    </row>
    <row r="711" spans="1:7" ht="13.8">
      <c r="A711" s="596"/>
      <c r="B711" s="609"/>
      <c r="D711" s="610"/>
      <c r="E711" s="571"/>
      <c r="F711" s="571"/>
      <c r="G711" s="572"/>
    </row>
    <row r="712" spans="1:7" ht="13.8">
      <c r="A712" s="596"/>
      <c r="B712" s="609"/>
      <c r="D712" s="610"/>
      <c r="E712" s="571"/>
      <c r="F712" s="571"/>
      <c r="G712" s="572"/>
    </row>
    <row r="713" spans="1:7" ht="13.8">
      <c r="A713" s="596"/>
      <c r="B713" s="609"/>
      <c r="D713" s="610"/>
      <c r="E713" s="571"/>
      <c r="F713" s="571"/>
      <c r="G713" s="572"/>
    </row>
    <row r="714" spans="1:7" ht="13.8">
      <c r="A714" s="596"/>
      <c r="B714" s="609"/>
      <c r="D714" s="610"/>
      <c r="E714" s="571"/>
      <c r="F714" s="571"/>
      <c r="G714" s="572"/>
    </row>
    <row r="715" spans="1:7" ht="13.8">
      <c r="A715" s="596"/>
      <c r="B715" s="609"/>
      <c r="D715" s="610"/>
      <c r="E715" s="571"/>
      <c r="F715" s="571"/>
      <c r="G715" s="572"/>
    </row>
    <row r="716" spans="1:7" ht="13.8">
      <c r="A716" s="596"/>
      <c r="B716" s="609"/>
      <c r="D716" s="610"/>
      <c r="E716" s="571"/>
      <c r="F716" s="571"/>
      <c r="G716" s="572"/>
    </row>
    <row r="717" spans="1:7" ht="13.8">
      <c r="A717" s="596"/>
      <c r="B717" s="609"/>
      <c r="D717" s="610"/>
      <c r="E717" s="571"/>
      <c r="F717" s="571"/>
      <c r="G717" s="572"/>
    </row>
    <row r="718" spans="1:7" ht="13.8">
      <c r="A718" s="596"/>
      <c r="B718" s="609"/>
      <c r="D718" s="610"/>
      <c r="E718" s="571"/>
      <c r="F718" s="571"/>
      <c r="G718" s="572"/>
    </row>
    <row r="719" spans="1:7" ht="13.8">
      <c r="A719" s="596"/>
      <c r="B719" s="609"/>
      <c r="D719" s="610"/>
      <c r="E719" s="571"/>
      <c r="F719" s="571"/>
      <c r="G719" s="572"/>
    </row>
    <row r="720" spans="1:7" ht="13.8">
      <c r="A720" s="596"/>
      <c r="B720" s="609"/>
      <c r="D720" s="610"/>
      <c r="E720" s="571"/>
      <c r="F720" s="571"/>
      <c r="G720" s="572"/>
    </row>
    <row r="721" spans="1:7" ht="13.8">
      <c r="A721" s="596"/>
      <c r="B721" s="609"/>
      <c r="D721" s="610"/>
      <c r="E721" s="571"/>
      <c r="F721" s="571"/>
      <c r="G721" s="572"/>
    </row>
    <row r="722" spans="1:7" ht="13.8">
      <c r="A722" s="596"/>
      <c r="B722" s="609"/>
      <c r="D722" s="610"/>
      <c r="E722" s="571"/>
      <c r="F722" s="571"/>
      <c r="G722" s="572"/>
    </row>
    <row r="723" spans="1:7" ht="13.8">
      <c r="A723" s="596"/>
      <c r="B723" s="609"/>
      <c r="D723" s="610"/>
      <c r="E723" s="571"/>
      <c r="F723" s="571"/>
      <c r="G723" s="572"/>
    </row>
    <row r="724" spans="1:7" ht="13.8">
      <c r="A724" s="596"/>
      <c r="B724" s="609"/>
      <c r="D724" s="610"/>
      <c r="E724" s="571"/>
      <c r="F724" s="571"/>
      <c r="G724" s="572"/>
    </row>
    <row r="725" spans="1:7" ht="13.8">
      <c r="A725" s="596"/>
      <c r="B725" s="609"/>
      <c r="D725" s="610"/>
      <c r="E725" s="571"/>
      <c r="F725" s="571"/>
      <c r="G725" s="572"/>
    </row>
    <row r="726" spans="1:7" ht="13.8">
      <c r="A726" s="596"/>
      <c r="B726" s="609"/>
      <c r="D726" s="610"/>
      <c r="E726" s="571"/>
      <c r="F726" s="571"/>
      <c r="G726" s="572"/>
    </row>
    <row r="727" spans="1:7" ht="13.8">
      <c r="A727" s="596"/>
      <c r="B727" s="609"/>
      <c r="D727" s="610"/>
      <c r="E727" s="571"/>
      <c r="F727" s="571"/>
      <c r="G727" s="572"/>
    </row>
    <row r="728" spans="1:7" ht="13.8">
      <c r="A728" s="596"/>
      <c r="B728" s="609"/>
      <c r="D728" s="610"/>
      <c r="E728" s="571"/>
      <c r="F728" s="571"/>
      <c r="G728" s="572"/>
    </row>
    <row r="729" spans="1:7" ht="13.8">
      <c r="A729" s="596"/>
      <c r="B729" s="609"/>
      <c r="D729" s="610"/>
      <c r="E729" s="571"/>
      <c r="F729" s="571"/>
      <c r="G729" s="572"/>
    </row>
    <row r="730" spans="1:7" ht="13.8">
      <c r="A730" s="596"/>
      <c r="B730" s="609"/>
      <c r="D730" s="610"/>
      <c r="E730" s="571"/>
      <c r="F730" s="571"/>
      <c r="G730" s="572"/>
    </row>
    <row r="731" spans="1:7" ht="13.8">
      <c r="A731" s="596"/>
      <c r="B731" s="609"/>
      <c r="D731" s="610"/>
      <c r="E731" s="571"/>
      <c r="F731" s="571"/>
      <c r="G731" s="572"/>
    </row>
    <row r="732" spans="1:7" ht="13.8">
      <c r="A732" s="596"/>
      <c r="B732" s="609"/>
      <c r="D732" s="610"/>
      <c r="E732" s="571"/>
      <c r="F732" s="571"/>
      <c r="G732" s="572"/>
    </row>
    <row r="733" spans="1:7" ht="13.8">
      <c r="A733" s="596"/>
      <c r="B733" s="609"/>
      <c r="D733" s="610"/>
      <c r="E733" s="571"/>
      <c r="F733" s="571"/>
      <c r="G733" s="572"/>
    </row>
    <row r="734" spans="1:7" ht="13.8">
      <c r="A734" s="596"/>
      <c r="B734" s="609"/>
      <c r="D734" s="610"/>
      <c r="E734" s="571"/>
      <c r="F734" s="571"/>
      <c r="G734" s="572"/>
    </row>
    <row r="735" spans="1:7" ht="13.8">
      <c r="A735" s="596"/>
      <c r="B735" s="609"/>
      <c r="D735" s="610"/>
      <c r="E735" s="571"/>
      <c r="F735" s="571"/>
      <c r="G735" s="572"/>
    </row>
    <row r="736" spans="1:7" ht="13.8">
      <c r="A736" s="596"/>
      <c r="B736" s="609"/>
      <c r="D736" s="610"/>
      <c r="E736" s="571"/>
      <c r="F736" s="571"/>
      <c r="G736" s="572"/>
    </row>
    <row r="737" spans="1:7" ht="13.8">
      <c r="A737" s="596"/>
      <c r="B737" s="609"/>
      <c r="D737" s="610"/>
      <c r="E737" s="571"/>
      <c r="F737" s="571"/>
      <c r="G737" s="572"/>
    </row>
    <row r="738" spans="1:7" ht="13.8">
      <c r="A738" s="596"/>
      <c r="B738" s="609"/>
      <c r="D738" s="610"/>
      <c r="E738" s="571"/>
      <c r="F738" s="571"/>
      <c r="G738" s="572"/>
    </row>
    <row r="739" spans="1:7" ht="13.8">
      <c r="A739" s="596"/>
      <c r="B739" s="609"/>
      <c r="D739" s="610"/>
      <c r="E739" s="571"/>
      <c r="F739" s="571"/>
      <c r="G739" s="572"/>
    </row>
    <row r="740" spans="1:7" ht="13.8">
      <c r="A740" s="596"/>
      <c r="B740" s="609"/>
      <c r="D740" s="610"/>
      <c r="E740" s="571"/>
      <c r="F740" s="571"/>
      <c r="G740" s="572"/>
    </row>
    <row r="741" spans="1:7" ht="13.8">
      <c r="A741" s="596"/>
      <c r="B741" s="609"/>
      <c r="D741" s="610"/>
      <c r="E741" s="571"/>
      <c r="F741" s="571"/>
      <c r="G741" s="572"/>
    </row>
    <row r="742" spans="1:7" ht="13.8">
      <c r="A742" s="596"/>
      <c r="B742" s="609"/>
      <c r="D742" s="610"/>
      <c r="E742" s="571"/>
      <c r="F742" s="571"/>
      <c r="G742" s="572"/>
    </row>
    <row r="743" spans="1:7" ht="13.8">
      <c r="A743" s="596"/>
      <c r="B743" s="609"/>
      <c r="D743" s="610"/>
      <c r="E743" s="571"/>
      <c r="F743" s="571"/>
      <c r="G743" s="572"/>
    </row>
    <row r="744" spans="1:7" ht="13.8">
      <c r="A744" s="596"/>
      <c r="B744" s="609"/>
      <c r="D744" s="610"/>
      <c r="E744" s="571"/>
      <c r="F744" s="571"/>
      <c r="G744" s="572"/>
    </row>
    <row r="745" spans="1:7" ht="13.8">
      <c r="A745" s="596"/>
      <c r="B745" s="609"/>
      <c r="D745" s="610"/>
      <c r="E745" s="571"/>
      <c r="F745" s="571"/>
      <c r="G745" s="572"/>
    </row>
    <row r="746" spans="1:7" ht="13.8">
      <c r="A746" s="596"/>
      <c r="B746" s="609"/>
      <c r="D746" s="610"/>
      <c r="E746" s="571"/>
      <c r="F746" s="571"/>
      <c r="G746" s="572"/>
    </row>
    <row r="747" spans="1:7" ht="13.8">
      <c r="A747" s="596"/>
      <c r="B747" s="609"/>
      <c r="D747" s="610"/>
      <c r="E747" s="571"/>
      <c r="F747" s="571"/>
      <c r="G747" s="572"/>
    </row>
    <row r="748" spans="1:7" ht="13.8">
      <c r="A748" s="596"/>
      <c r="B748" s="609"/>
      <c r="D748" s="610"/>
      <c r="E748" s="571"/>
      <c r="F748" s="571"/>
      <c r="G748" s="572"/>
    </row>
    <row r="749" spans="1:7" ht="13.8">
      <c r="A749" s="596"/>
      <c r="B749" s="609"/>
      <c r="D749" s="610"/>
      <c r="E749" s="571"/>
      <c r="F749" s="571"/>
      <c r="G749" s="572"/>
    </row>
    <row r="750" spans="1:7" ht="13.8">
      <c r="A750" s="596"/>
      <c r="B750" s="609"/>
      <c r="D750" s="610"/>
      <c r="E750" s="571"/>
      <c r="F750" s="571"/>
      <c r="G750" s="572"/>
    </row>
    <row r="751" spans="1:7" ht="13.8">
      <c r="A751" s="596"/>
      <c r="B751" s="609"/>
      <c r="D751" s="610"/>
      <c r="E751" s="571"/>
      <c r="F751" s="571"/>
      <c r="G751" s="572"/>
    </row>
    <row r="752" spans="1:7" ht="13.8">
      <c r="A752" s="596"/>
      <c r="B752" s="609"/>
      <c r="D752" s="610"/>
      <c r="E752" s="571"/>
      <c r="F752" s="571"/>
      <c r="G752" s="572"/>
    </row>
    <row r="753" spans="1:7" ht="13.8">
      <c r="A753" s="596"/>
      <c r="B753" s="609"/>
      <c r="D753" s="610"/>
      <c r="E753" s="571"/>
      <c r="F753" s="571"/>
      <c r="G753" s="572"/>
    </row>
    <row r="754" spans="1:7" ht="13.8">
      <c r="A754" s="596"/>
      <c r="B754" s="609"/>
      <c r="D754" s="610"/>
      <c r="E754" s="571"/>
      <c r="F754" s="571"/>
      <c r="G754" s="572"/>
    </row>
    <row r="755" spans="1:7" ht="13.8">
      <c r="A755" s="596"/>
      <c r="B755" s="609"/>
      <c r="D755" s="610"/>
      <c r="E755" s="571"/>
      <c r="F755" s="571"/>
      <c r="G755" s="572"/>
    </row>
    <row r="756" spans="1:7" ht="13.8">
      <c r="A756" s="596"/>
      <c r="B756" s="609"/>
      <c r="D756" s="610"/>
      <c r="E756" s="571"/>
      <c r="F756" s="571"/>
      <c r="G756" s="572"/>
    </row>
    <row r="757" spans="1:7" ht="13.8">
      <c r="A757" s="596"/>
      <c r="B757" s="609"/>
      <c r="D757" s="610"/>
      <c r="E757" s="571"/>
      <c r="F757" s="571"/>
      <c r="G757" s="572"/>
    </row>
    <row r="758" spans="1:7" ht="13.8">
      <c r="A758" s="596"/>
      <c r="B758" s="609"/>
      <c r="D758" s="610"/>
      <c r="E758" s="571"/>
      <c r="F758" s="571"/>
      <c r="G758" s="572"/>
    </row>
    <row r="759" spans="1:7" ht="13.8">
      <c r="A759" s="596"/>
      <c r="B759" s="609"/>
      <c r="D759" s="610"/>
      <c r="E759" s="571"/>
      <c r="F759" s="571"/>
      <c r="G759" s="572"/>
    </row>
    <row r="760" spans="1:7" ht="13.8">
      <c r="A760" s="596"/>
      <c r="B760" s="609"/>
      <c r="D760" s="610"/>
      <c r="E760" s="571"/>
      <c r="F760" s="571"/>
      <c r="G760" s="572"/>
    </row>
    <row r="761" spans="1:7" ht="13.8">
      <c r="A761" s="596"/>
      <c r="B761" s="609"/>
      <c r="D761" s="610"/>
      <c r="E761" s="571"/>
      <c r="F761" s="571"/>
      <c r="G761" s="572"/>
    </row>
    <row r="762" spans="1:7" ht="13.8">
      <c r="A762" s="596"/>
      <c r="B762" s="609"/>
      <c r="D762" s="610"/>
      <c r="E762" s="571"/>
      <c r="F762" s="571"/>
      <c r="G762" s="572"/>
    </row>
    <row r="763" spans="1:7" ht="13.8">
      <c r="A763" s="596"/>
      <c r="B763" s="609"/>
      <c r="D763" s="610"/>
      <c r="E763" s="571"/>
      <c r="F763" s="571"/>
      <c r="G763" s="572"/>
    </row>
    <row r="764" spans="1:7" ht="13.8">
      <c r="A764" s="596"/>
      <c r="B764" s="609"/>
      <c r="D764" s="610"/>
      <c r="E764" s="571"/>
      <c r="F764" s="571"/>
      <c r="G764" s="572"/>
    </row>
    <row r="765" spans="1:7" ht="13.8">
      <c r="A765" s="596"/>
      <c r="B765" s="609"/>
      <c r="D765" s="610"/>
      <c r="E765" s="571"/>
      <c r="F765" s="571"/>
      <c r="G765" s="572"/>
    </row>
    <row r="766" spans="1:7" ht="13.8">
      <c r="A766" s="596"/>
      <c r="B766" s="609"/>
      <c r="D766" s="610"/>
      <c r="E766" s="571"/>
      <c r="F766" s="571"/>
      <c r="G766" s="572"/>
    </row>
    <row r="767" spans="1:7" ht="13.8">
      <c r="A767" s="596"/>
      <c r="B767" s="609"/>
      <c r="D767" s="610"/>
      <c r="E767" s="571"/>
      <c r="F767" s="571"/>
      <c r="G767" s="572"/>
    </row>
    <row r="768" spans="1:7" ht="13.8">
      <c r="A768" s="596"/>
      <c r="B768" s="609"/>
      <c r="D768" s="610"/>
      <c r="E768" s="571"/>
      <c r="F768" s="571"/>
      <c r="G768" s="572"/>
    </row>
    <row r="769" spans="1:7" ht="13.8">
      <c r="A769" s="596"/>
      <c r="B769" s="609"/>
      <c r="D769" s="610"/>
      <c r="E769" s="571"/>
      <c r="F769" s="571"/>
      <c r="G769" s="572"/>
    </row>
    <row r="770" spans="1:7" ht="13.8">
      <c r="A770" s="596"/>
      <c r="B770" s="609"/>
      <c r="D770" s="610"/>
      <c r="E770" s="571"/>
      <c r="F770" s="571"/>
      <c r="G770" s="572"/>
    </row>
    <row r="771" spans="1:7" ht="13.8">
      <c r="A771" s="596"/>
      <c r="B771" s="609"/>
      <c r="D771" s="610"/>
      <c r="E771" s="571"/>
      <c r="F771" s="571"/>
      <c r="G771" s="572"/>
    </row>
    <row r="772" spans="1:7" ht="13.8">
      <c r="A772" s="596"/>
      <c r="B772" s="609"/>
      <c r="D772" s="610"/>
      <c r="E772" s="571"/>
      <c r="F772" s="571"/>
      <c r="G772" s="572"/>
    </row>
    <row r="773" spans="1:7" ht="13.8">
      <c r="A773" s="596"/>
      <c r="B773" s="609"/>
      <c r="D773" s="610"/>
      <c r="E773" s="571"/>
      <c r="F773" s="571"/>
      <c r="G773" s="572"/>
    </row>
    <row r="774" spans="1:7" ht="13.8">
      <c r="A774" s="596"/>
      <c r="B774" s="609"/>
      <c r="D774" s="610"/>
      <c r="E774" s="571"/>
      <c r="F774" s="571"/>
      <c r="G774" s="572"/>
    </row>
    <row r="775" spans="1:7" ht="13.8">
      <c r="A775" s="596"/>
      <c r="B775" s="609"/>
      <c r="D775" s="610"/>
      <c r="E775" s="571"/>
      <c r="F775" s="571"/>
      <c r="G775" s="572"/>
    </row>
    <row r="776" spans="1:7" ht="13.8">
      <c r="A776" s="596"/>
      <c r="B776" s="609"/>
      <c r="D776" s="610"/>
      <c r="E776" s="571"/>
      <c r="F776" s="571"/>
      <c r="G776" s="572"/>
    </row>
    <row r="777" spans="1:7" ht="13.8">
      <c r="A777" s="596"/>
      <c r="B777" s="609"/>
      <c r="D777" s="610"/>
      <c r="E777" s="571"/>
      <c r="F777" s="571"/>
      <c r="G777" s="572"/>
    </row>
    <row r="778" spans="1:7" ht="13.8">
      <c r="A778" s="596"/>
      <c r="B778" s="609"/>
      <c r="D778" s="610"/>
      <c r="E778" s="571"/>
      <c r="F778" s="571"/>
      <c r="G778" s="572"/>
    </row>
    <row r="779" spans="1:7" ht="13.8">
      <c r="A779" s="596"/>
      <c r="B779" s="609"/>
      <c r="D779" s="610"/>
      <c r="E779" s="571"/>
      <c r="F779" s="571"/>
      <c r="G779" s="572"/>
    </row>
    <row r="780" spans="1:7" ht="13.8">
      <c r="A780" s="596"/>
      <c r="B780" s="609"/>
      <c r="D780" s="610"/>
      <c r="E780" s="571"/>
      <c r="F780" s="571"/>
      <c r="G780" s="572"/>
    </row>
    <row r="781" spans="1:7" ht="13.8">
      <c r="A781" s="596"/>
      <c r="B781" s="609"/>
      <c r="D781" s="610"/>
      <c r="E781" s="571"/>
      <c r="F781" s="571"/>
      <c r="G781" s="572"/>
    </row>
    <row r="782" spans="1:7" ht="13.8">
      <c r="A782" s="596"/>
      <c r="B782" s="609"/>
      <c r="D782" s="610"/>
      <c r="E782" s="571"/>
      <c r="F782" s="571"/>
      <c r="G782" s="572"/>
    </row>
    <row r="783" spans="1:7" ht="13.8">
      <c r="A783" s="596"/>
      <c r="B783" s="609"/>
      <c r="D783" s="610"/>
      <c r="E783" s="571"/>
      <c r="F783" s="571"/>
      <c r="G783" s="572"/>
    </row>
    <row r="784" spans="1:7" ht="13.8">
      <c r="A784" s="596"/>
      <c r="B784" s="609"/>
      <c r="D784" s="610"/>
      <c r="E784" s="571"/>
      <c r="F784" s="571"/>
      <c r="G784" s="572"/>
    </row>
    <row r="785" spans="1:7" ht="13.8">
      <c r="A785" s="596"/>
      <c r="B785" s="609"/>
      <c r="D785" s="610"/>
      <c r="E785" s="571"/>
      <c r="F785" s="571"/>
      <c r="G785" s="572"/>
    </row>
    <row r="786" spans="1:7" ht="13.8">
      <c r="A786" s="596"/>
      <c r="B786" s="609"/>
      <c r="D786" s="610"/>
      <c r="E786" s="571"/>
      <c r="F786" s="571"/>
      <c r="G786" s="572"/>
    </row>
    <row r="787" spans="1:7" ht="13.8">
      <c r="A787" s="596"/>
      <c r="B787" s="609"/>
      <c r="D787" s="610"/>
      <c r="E787" s="571"/>
      <c r="F787" s="571"/>
      <c r="G787" s="572"/>
    </row>
    <row r="788" spans="1:7" ht="13.8">
      <c r="A788" s="596"/>
      <c r="B788" s="609"/>
      <c r="D788" s="610"/>
      <c r="E788" s="571"/>
      <c r="F788" s="571"/>
      <c r="G788" s="572"/>
    </row>
    <row r="789" spans="1:7" ht="13.8">
      <c r="A789" s="596"/>
      <c r="B789" s="609"/>
      <c r="D789" s="610"/>
      <c r="E789" s="571"/>
      <c r="F789" s="571"/>
      <c r="G789" s="572"/>
    </row>
    <row r="790" spans="1:7" ht="13.8">
      <c r="A790" s="596"/>
      <c r="B790" s="609"/>
      <c r="D790" s="610"/>
      <c r="E790" s="571"/>
      <c r="F790" s="571"/>
      <c r="G790" s="572"/>
    </row>
    <row r="791" spans="1:7" ht="13.8">
      <c r="A791" s="596"/>
      <c r="B791" s="609"/>
      <c r="D791" s="610"/>
      <c r="E791" s="571"/>
      <c r="F791" s="571"/>
      <c r="G791" s="572"/>
    </row>
    <row r="792" spans="1:7" ht="13.8">
      <c r="A792" s="596"/>
      <c r="B792" s="609"/>
      <c r="D792" s="610"/>
      <c r="E792" s="571"/>
      <c r="F792" s="571"/>
      <c r="G792" s="572"/>
    </row>
    <row r="793" spans="1:7" ht="13.8">
      <c r="A793" s="596"/>
      <c r="B793" s="609"/>
      <c r="D793" s="610"/>
      <c r="E793" s="571"/>
      <c r="F793" s="571"/>
      <c r="G793" s="572"/>
    </row>
    <row r="794" spans="1:7" ht="13.8">
      <c r="A794" s="596"/>
      <c r="B794" s="609"/>
      <c r="D794" s="610"/>
      <c r="E794" s="571"/>
      <c r="F794" s="571"/>
      <c r="G794" s="572"/>
    </row>
    <row r="795" spans="1:7" ht="13.8">
      <c r="A795" s="596"/>
      <c r="B795" s="609"/>
      <c r="D795" s="610"/>
      <c r="E795" s="571"/>
      <c r="F795" s="571"/>
      <c r="G795" s="572"/>
    </row>
    <row r="796" spans="1:7" ht="13.8">
      <c r="A796" s="596"/>
      <c r="B796" s="609"/>
      <c r="D796" s="610"/>
      <c r="E796" s="571"/>
      <c r="F796" s="571"/>
      <c r="G796" s="572"/>
    </row>
    <row r="797" spans="1:7" ht="13.8">
      <c r="A797" s="596"/>
      <c r="B797" s="609"/>
      <c r="D797" s="610"/>
      <c r="E797" s="571"/>
      <c r="F797" s="571"/>
      <c r="G797" s="572"/>
    </row>
    <row r="798" spans="1:7" ht="13.8">
      <c r="A798" s="596"/>
      <c r="B798" s="609"/>
      <c r="D798" s="610"/>
      <c r="E798" s="571"/>
      <c r="F798" s="571"/>
      <c r="G798" s="572"/>
    </row>
    <row r="799" spans="1:7" ht="13.8">
      <c r="A799" s="596"/>
      <c r="B799" s="609"/>
      <c r="D799" s="610"/>
      <c r="E799" s="571"/>
      <c r="F799" s="571"/>
      <c r="G799" s="572"/>
    </row>
    <row r="800" spans="1:7" ht="13.8">
      <c r="A800" s="596"/>
      <c r="B800" s="609"/>
      <c r="D800" s="610"/>
      <c r="E800" s="571"/>
      <c r="F800" s="571"/>
      <c r="G800" s="572"/>
    </row>
    <row r="801" spans="1:7" ht="13.8">
      <c r="A801" s="596"/>
      <c r="B801" s="609"/>
      <c r="D801" s="610"/>
      <c r="E801" s="571"/>
      <c r="F801" s="571"/>
      <c r="G801" s="572"/>
    </row>
    <row r="802" spans="1:7" ht="13.8">
      <c r="A802" s="596"/>
      <c r="B802" s="609"/>
      <c r="D802" s="610"/>
      <c r="E802" s="571"/>
      <c r="F802" s="571"/>
      <c r="G802" s="572"/>
    </row>
    <row r="803" spans="1:7" ht="13.8">
      <c r="A803" s="596"/>
      <c r="B803" s="609"/>
      <c r="D803" s="610"/>
      <c r="E803" s="571"/>
      <c r="F803" s="571"/>
      <c r="G803" s="572"/>
    </row>
    <row r="804" spans="1:7" ht="13.8">
      <c r="A804" s="596"/>
      <c r="B804" s="609"/>
      <c r="D804" s="610"/>
      <c r="E804" s="571"/>
      <c r="F804" s="571"/>
      <c r="G804" s="572"/>
    </row>
    <row r="805" spans="1:7" ht="13.8">
      <c r="A805" s="596"/>
      <c r="B805" s="609"/>
      <c r="D805" s="610"/>
      <c r="E805" s="571"/>
      <c r="F805" s="571"/>
      <c r="G805" s="572"/>
    </row>
    <row r="806" spans="1:7" ht="13.8">
      <c r="A806" s="596"/>
      <c r="B806" s="609"/>
      <c r="D806" s="610"/>
      <c r="E806" s="571"/>
      <c r="F806" s="571"/>
      <c r="G806" s="572"/>
    </row>
    <row r="807" spans="1:7" ht="13.8">
      <c r="A807" s="596"/>
      <c r="B807" s="609"/>
      <c r="D807" s="610"/>
      <c r="E807" s="571"/>
      <c r="F807" s="571"/>
      <c r="G807" s="572"/>
    </row>
    <row r="808" spans="1:7" ht="13.8">
      <c r="A808" s="596"/>
      <c r="B808" s="609"/>
      <c r="D808" s="610"/>
      <c r="E808" s="571"/>
      <c r="F808" s="571"/>
      <c r="G808" s="572"/>
    </row>
    <row r="809" spans="1:7" ht="13.8">
      <c r="A809" s="596"/>
      <c r="B809" s="609"/>
      <c r="D809" s="610"/>
      <c r="E809" s="571"/>
      <c r="F809" s="571"/>
      <c r="G809" s="572"/>
    </row>
    <row r="810" spans="1:7" ht="13.8">
      <c r="A810" s="596"/>
      <c r="B810" s="609"/>
      <c r="D810" s="610"/>
      <c r="E810" s="571"/>
      <c r="F810" s="571"/>
      <c r="G810" s="572"/>
    </row>
    <row r="811" spans="1:7" ht="13.8">
      <c r="A811" s="596"/>
      <c r="B811" s="609"/>
      <c r="D811" s="610"/>
      <c r="E811" s="571"/>
      <c r="F811" s="571"/>
      <c r="G811" s="572"/>
    </row>
    <row r="812" spans="1:7" ht="13.8">
      <c r="A812" s="596"/>
      <c r="B812" s="609"/>
      <c r="D812" s="610"/>
      <c r="E812" s="571"/>
      <c r="F812" s="571"/>
      <c r="G812" s="572"/>
    </row>
    <row r="813" spans="1:7" ht="13.8">
      <c r="A813" s="596"/>
      <c r="B813" s="609"/>
      <c r="D813" s="610"/>
      <c r="E813" s="571"/>
      <c r="F813" s="571"/>
      <c r="G813" s="572"/>
    </row>
    <row r="814" spans="1:7" ht="13.8">
      <c r="A814" s="596"/>
      <c r="B814" s="609"/>
      <c r="D814" s="610"/>
      <c r="E814" s="571"/>
      <c r="F814" s="571"/>
      <c r="G814" s="572"/>
    </row>
    <row r="815" spans="1:7" ht="13.8">
      <c r="A815" s="596"/>
      <c r="B815" s="609"/>
      <c r="D815" s="610"/>
      <c r="E815" s="571"/>
      <c r="F815" s="571"/>
      <c r="G815" s="572"/>
    </row>
    <row r="816" spans="1:7" ht="13.8">
      <c r="A816" s="596"/>
      <c r="B816" s="609"/>
      <c r="D816" s="610"/>
      <c r="E816" s="571"/>
      <c r="F816" s="571"/>
      <c r="G816" s="572"/>
    </row>
    <row r="817" spans="1:7" ht="13.8">
      <c r="A817" s="596"/>
      <c r="B817" s="609"/>
      <c r="D817" s="610"/>
      <c r="E817" s="571"/>
      <c r="F817" s="571"/>
      <c r="G817" s="572"/>
    </row>
    <row r="818" spans="1:7" ht="13.8">
      <c r="A818" s="596"/>
      <c r="B818" s="609"/>
      <c r="D818" s="610"/>
      <c r="E818" s="571"/>
      <c r="F818" s="571"/>
      <c r="G818" s="572"/>
    </row>
    <row r="819" spans="1:7" ht="13.8">
      <c r="A819" s="596"/>
      <c r="B819" s="609"/>
      <c r="D819" s="610"/>
      <c r="E819" s="571"/>
      <c r="F819" s="571"/>
      <c r="G819" s="572"/>
    </row>
    <row r="820" spans="1:7" ht="13.8">
      <c r="A820" s="596"/>
      <c r="B820" s="609"/>
      <c r="D820" s="610"/>
      <c r="E820" s="571"/>
      <c r="F820" s="571"/>
      <c r="G820" s="572"/>
    </row>
    <row r="821" spans="1:7" ht="13.8">
      <c r="A821" s="596"/>
      <c r="B821" s="609"/>
      <c r="D821" s="610"/>
      <c r="E821" s="571"/>
      <c r="F821" s="571"/>
      <c r="G821" s="572"/>
    </row>
    <row r="822" spans="1:7" ht="13.8">
      <c r="A822" s="596"/>
      <c r="B822" s="609"/>
      <c r="D822" s="610"/>
      <c r="E822" s="571"/>
      <c r="F822" s="571"/>
      <c r="G822" s="572"/>
    </row>
    <row r="823" spans="1:7" ht="13.8">
      <c r="A823" s="596"/>
      <c r="B823" s="609"/>
      <c r="D823" s="610"/>
      <c r="E823" s="571"/>
      <c r="F823" s="571"/>
      <c r="G823" s="572"/>
    </row>
    <row r="824" spans="1:7" ht="13.8">
      <c r="A824" s="596"/>
      <c r="B824" s="609"/>
      <c r="D824" s="610"/>
      <c r="E824" s="571"/>
      <c r="F824" s="571"/>
      <c r="G824" s="572"/>
    </row>
    <row r="825" spans="1:7" ht="13.8">
      <c r="A825" s="596"/>
      <c r="B825" s="609"/>
      <c r="D825" s="610"/>
      <c r="E825" s="571"/>
      <c r="F825" s="571"/>
      <c r="G825" s="572"/>
    </row>
    <row r="826" spans="1:7" ht="13.8">
      <c r="A826" s="596"/>
      <c r="B826" s="609"/>
      <c r="D826" s="610"/>
      <c r="E826" s="571"/>
      <c r="F826" s="571"/>
      <c r="G826" s="572"/>
    </row>
    <row r="827" spans="1:7" ht="13.8">
      <c r="A827" s="596"/>
      <c r="B827" s="609"/>
      <c r="D827" s="610"/>
      <c r="E827" s="571"/>
      <c r="F827" s="571"/>
      <c r="G827" s="572"/>
    </row>
    <row r="828" spans="1:7" ht="13.8">
      <c r="A828" s="596"/>
      <c r="B828" s="609"/>
      <c r="D828" s="610"/>
      <c r="E828" s="571"/>
      <c r="F828" s="571"/>
      <c r="G828" s="572"/>
    </row>
    <row r="829" spans="1:7" ht="13.8">
      <c r="A829" s="596"/>
      <c r="B829" s="609"/>
      <c r="D829" s="610"/>
      <c r="E829" s="571"/>
      <c r="F829" s="571"/>
      <c r="G829" s="572"/>
    </row>
    <row r="830" spans="1:7" ht="13.8">
      <c r="A830" s="596"/>
      <c r="B830" s="609"/>
      <c r="D830" s="610"/>
      <c r="E830" s="571"/>
      <c r="F830" s="571"/>
      <c r="G830" s="572"/>
    </row>
    <row r="831" spans="1:7" ht="13.8">
      <c r="A831" s="596"/>
      <c r="B831" s="609"/>
      <c r="D831" s="610"/>
      <c r="E831" s="571"/>
      <c r="F831" s="571"/>
      <c r="G831" s="572"/>
    </row>
    <row r="832" spans="1:7" ht="13.8">
      <c r="A832" s="596"/>
      <c r="B832" s="609"/>
      <c r="D832" s="610"/>
      <c r="E832" s="571"/>
      <c r="F832" s="571"/>
      <c r="G832" s="572"/>
    </row>
    <row r="833" spans="1:7" ht="13.8">
      <c r="A833" s="596"/>
      <c r="B833" s="609"/>
      <c r="D833" s="610"/>
      <c r="E833" s="571"/>
      <c r="F833" s="571"/>
      <c r="G833" s="572"/>
    </row>
    <row r="834" spans="1:7" ht="13.8">
      <c r="A834" s="596"/>
      <c r="B834" s="609"/>
      <c r="D834" s="610"/>
      <c r="E834" s="571"/>
      <c r="F834" s="571"/>
      <c r="G834" s="572"/>
    </row>
    <row r="835" spans="1:7" ht="13.8">
      <c r="A835" s="596"/>
      <c r="B835" s="609"/>
      <c r="D835" s="610"/>
      <c r="E835" s="571"/>
      <c r="F835" s="571"/>
      <c r="G835" s="572"/>
    </row>
    <row r="836" spans="1:7" ht="13.8">
      <c r="A836" s="596"/>
      <c r="B836" s="609"/>
      <c r="D836" s="610"/>
      <c r="E836" s="571"/>
      <c r="F836" s="571"/>
      <c r="G836" s="572"/>
    </row>
    <row r="837" spans="1:7" ht="13.8">
      <c r="A837" s="596"/>
      <c r="B837" s="609"/>
      <c r="D837" s="610"/>
      <c r="E837" s="571"/>
      <c r="F837" s="571"/>
      <c r="G837" s="572"/>
    </row>
    <row r="838" spans="1:7" ht="13.8">
      <c r="A838" s="596"/>
      <c r="B838" s="609"/>
      <c r="D838" s="610"/>
      <c r="E838" s="571"/>
      <c r="F838" s="571"/>
      <c r="G838" s="572"/>
    </row>
    <row r="839" spans="1:7" ht="13.8">
      <c r="A839" s="596"/>
      <c r="B839" s="609"/>
      <c r="D839" s="610"/>
      <c r="E839" s="571"/>
      <c r="F839" s="571"/>
      <c r="G839" s="572"/>
    </row>
    <row r="840" spans="1:7" ht="13.8">
      <c r="A840" s="596"/>
      <c r="B840" s="609"/>
      <c r="D840" s="610"/>
      <c r="E840" s="571"/>
      <c r="F840" s="571"/>
      <c r="G840" s="572"/>
    </row>
    <row r="841" spans="1:7" ht="13.8">
      <c r="A841" s="596"/>
      <c r="B841" s="609"/>
      <c r="D841" s="610"/>
      <c r="E841" s="571"/>
      <c r="F841" s="571"/>
      <c r="G841" s="572"/>
    </row>
    <row r="842" spans="1:7" ht="13.8">
      <c r="A842" s="596"/>
      <c r="B842" s="609"/>
      <c r="D842" s="610"/>
      <c r="E842" s="571"/>
      <c r="F842" s="571"/>
      <c r="G842" s="572"/>
    </row>
    <row r="843" spans="1:7" ht="13.8">
      <c r="A843" s="596"/>
      <c r="B843" s="609"/>
      <c r="D843" s="610"/>
      <c r="E843" s="571"/>
      <c r="F843" s="571"/>
      <c r="G843" s="572"/>
    </row>
    <row r="844" spans="1:7" ht="13.8">
      <c r="A844" s="596"/>
      <c r="B844" s="609"/>
      <c r="D844" s="610"/>
      <c r="E844" s="571"/>
      <c r="F844" s="571"/>
      <c r="G844" s="572"/>
    </row>
    <row r="845" spans="1:7" ht="13.8">
      <c r="A845" s="596"/>
      <c r="B845" s="609"/>
      <c r="D845" s="610"/>
      <c r="E845" s="571"/>
      <c r="F845" s="571"/>
      <c r="G845" s="572"/>
    </row>
    <row r="846" spans="1:7" ht="13.8">
      <c r="A846" s="596"/>
      <c r="B846" s="609"/>
      <c r="D846" s="610"/>
      <c r="E846" s="571"/>
      <c r="F846" s="571"/>
      <c r="G846" s="572"/>
    </row>
    <row r="847" spans="1:7" ht="13.8">
      <c r="A847" s="596"/>
      <c r="B847" s="609"/>
      <c r="D847" s="610"/>
      <c r="E847" s="571"/>
      <c r="F847" s="571"/>
      <c r="G847" s="572"/>
    </row>
    <row r="848" spans="1:7" ht="13.8">
      <c r="A848" s="596"/>
      <c r="B848" s="609"/>
      <c r="D848" s="610"/>
      <c r="E848" s="571"/>
      <c r="F848" s="571"/>
      <c r="G848" s="572"/>
    </row>
    <row r="849" spans="1:7" ht="13.8">
      <c r="A849" s="596"/>
      <c r="B849" s="609"/>
      <c r="D849" s="610"/>
      <c r="E849" s="571"/>
      <c r="F849" s="571"/>
      <c r="G849" s="572"/>
    </row>
    <row r="850" spans="1:7" ht="13.8">
      <c r="A850" s="596"/>
      <c r="B850" s="609"/>
      <c r="D850" s="610"/>
      <c r="E850" s="571"/>
      <c r="F850" s="571"/>
      <c r="G850" s="572"/>
    </row>
    <row r="851" spans="1:7" ht="13.8">
      <c r="A851" s="596"/>
      <c r="B851" s="609"/>
      <c r="D851" s="610"/>
      <c r="E851" s="571"/>
      <c r="F851" s="571"/>
      <c r="G851" s="572"/>
    </row>
    <row r="852" spans="1:7" ht="13.8">
      <c r="A852" s="596"/>
      <c r="B852" s="609"/>
      <c r="D852" s="610"/>
      <c r="E852" s="571"/>
      <c r="F852" s="571"/>
      <c r="G852" s="572"/>
    </row>
    <row r="853" spans="1:7" ht="13.8">
      <c r="A853" s="596"/>
      <c r="B853" s="609"/>
      <c r="D853" s="610"/>
      <c r="E853" s="571"/>
      <c r="F853" s="571"/>
      <c r="G853" s="572"/>
    </row>
    <row r="854" spans="1:7" ht="13.8">
      <c r="A854" s="596"/>
      <c r="B854" s="609"/>
      <c r="D854" s="610"/>
      <c r="E854" s="571"/>
      <c r="F854" s="571"/>
      <c r="G854" s="572"/>
    </row>
    <row r="855" spans="1:7" ht="13.8">
      <c r="A855" s="596"/>
      <c r="B855" s="609"/>
      <c r="D855" s="610"/>
      <c r="E855" s="571"/>
      <c r="F855" s="571"/>
      <c r="G855" s="572"/>
    </row>
    <row r="856" spans="1:7" ht="13.8">
      <c r="A856" s="596"/>
      <c r="B856" s="609"/>
      <c r="D856" s="610"/>
      <c r="E856" s="571"/>
      <c r="F856" s="571"/>
      <c r="G856" s="572"/>
    </row>
    <row r="857" spans="1:7" ht="13.8">
      <c r="A857" s="596"/>
      <c r="B857" s="609"/>
      <c r="D857" s="610"/>
      <c r="E857" s="571"/>
      <c r="F857" s="571"/>
      <c r="G857" s="572"/>
    </row>
    <row r="858" spans="1:7" ht="13.8">
      <c r="A858" s="596"/>
      <c r="B858" s="609"/>
      <c r="D858" s="610"/>
      <c r="E858" s="571"/>
      <c r="F858" s="571"/>
      <c r="G858" s="572"/>
    </row>
    <row r="859" spans="1:7" ht="13.8">
      <c r="A859" s="596"/>
      <c r="B859" s="609"/>
      <c r="D859" s="610"/>
      <c r="E859" s="571"/>
      <c r="F859" s="571"/>
      <c r="G859" s="572"/>
    </row>
    <row r="860" spans="1:7" ht="13.8">
      <c r="A860" s="596"/>
      <c r="B860" s="609"/>
      <c r="D860" s="610"/>
      <c r="E860" s="571"/>
      <c r="F860" s="571"/>
      <c r="G860" s="572"/>
    </row>
    <row r="861" spans="1:7" ht="13.8">
      <c r="A861" s="596"/>
      <c r="B861" s="609"/>
      <c r="D861" s="610"/>
      <c r="E861" s="571"/>
      <c r="F861" s="571"/>
      <c r="G861" s="572"/>
    </row>
    <row r="862" spans="1:7" ht="13.8">
      <c r="A862" s="596"/>
      <c r="B862" s="609"/>
      <c r="D862" s="610"/>
      <c r="E862" s="571"/>
      <c r="F862" s="571"/>
      <c r="G862" s="572"/>
    </row>
    <row r="863" spans="1:7" ht="13.8">
      <c r="A863" s="596"/>
      <c r="B863" s="609"/>
      <c r="D863" s="610"/>
      <c r="E863" s="571"/>
      <c r="F863" s="571"/>
      <c r="G863" s="572"/>
    </row>
    <row r="864" spans="1:7" ht="13.8">
      <c r="A864" s="596"/>
      <c r="B864" s="609"/>
      <c r="D864" s="610"/>
      <c r="E864" s="571"/>
      <c r="F864" s="571"/>
      <c r="G864" s="572"/>
    </row>
    <row r="865" spans="1:7" ht="13.8">
      <c r="A865" s="596"/>
      <c r="B865" s="609"/>
      <c r="D865" s="610"/>
      <c r="E865" s="571"/>
      <c r="F865" s="571"/>
      <c r="G865" s="572"/>
    </row>
    <row r="866" spans="1:7" ht="13.8">
      <c r="A866" s="596"/>
      <c r="B866" s="609"/>
      <c r="D866" s="610"/>
      <c r="E866" s="571"/>
      <c r="F866" s="571"/>
      <c r="G866" s="572"/>
    </row>
    <row r="867" spans="1:7" ht="13.8">
      <c r="A867" s="596"/>
      <c r="B867" s="609"/>
      <c r="D867" s="610"/>
      <c r="E867" s="571"/>
      <c r="F867" s="571"/>
      <c r="G867" s="572"/>
    </row>
    <row r="868" spans="1:7" ht="13.8">
      <c r="A868" s="596"/>
      <c r="B868" s="609"/>
      <c r="D868" s="610"/>
      <c r="E868" s="571"/>
      <c r="F868" s="571"/>
      <c r="G868" s="572"/>
    </row>
    <row r="869" spans="1:7" ht="13.8">
      <c r="A869" s="596"/>
      <c r="B869" s="609"/>
      <c r="D869" s="610"/>
      <c r="E869" s="571"/>
      <c r="F869" s="571"/>
      <c r="G869" s="572"/>
    </row>
    <row r="870" spans="1:7" ht="13.8">
      <c r="A870" s="596"/>
      <c r="B870" s="609"/>
      <c r="D870" s="610"/>
      <c r="E870" s="571"/>
      <c r="F870" s="571"/>
      <c r="G870" s="572"/>
    </row>
    <row r="871" spans="1:7" ht="13.8">
      <c r="A871" s="596"/>
      <c r="B871" s="609"/>
      <c r="D871" s="610"/>
      <c r="E871" s="571"/>
      <c r="F871" s="571"/>
      <c r="G871" s="572"/>
    </row>
    <row r="872" spans="1:7" ht="13.8">
      <c r="A872" s="596"/>
      <c r="B872" s="609"/>
      <c r="D872" s="610"/>
      <c r="E872" s="571"/>
      <c r="F872" s="571"/>
      <c r="G872" s="572"/>
    </row>
    <row r="873" spans="1:7" ht="13.8">
      <c r="A873" s="596"/>
      <c r="B873" s="609"/>
      <c r="D873" s="610"/>
      <c r="E873" s="571"/>
      <c r="F873" s="571"/>
      <c r="G873" s="572"/>
    </row>
    <row r="874" spans="1:7" ht="13.8">
      <c r="A874" s="596"/>
      <c r="B874" s="609"/>
      <c r="D874" s="610"/>
      <c r="E874" s="571"/>
      <c r="F874" s="571"/>
      <c r="G874" s="572"/>
    </row>
    <row r="875" spans="1:7" ht="13.8">
      <c r="A875" s="596"/>
      <c r="B875" s="609"/>
      <c r="D875" s="610"/>
      <c r="E875" s="571"/>
      <c r="F875" s="571"/>
      <c r="G875" s="572"/>
    </row>
    <row r="876" spans="1:7" ht="13.8">
      <c r="A876" s="596"/>
      <c r="B876" s="609"/>
      <c r="D876" s="610"/>
      <c r="E876" s="571"/>
      <c r="F876" s="571"/>
      <c r="G876" s="572"/>
    </row>
    <row r="877" spans="1:7" ht="13.8">
      <c r="A877" s="596"/>
      <c r="B877" s="609"/>
      <c r="D877" s="610"/>
      <c r="E877" s="571"/>
      <c r="F877" s="571"/>
      <c r="G877" s="572"/>
    </row>
    <row r="878" spans="1:7" ht="13.8">
      <c r="A878" s="596"/>
      <c r="B878" s="609"/>
      <c r="D878" s="610"/>
      <c r="E878" s="571"/>
      <c r="F878" s="571"/>
      <c r="G878" s="572"/>
    </row>
    <row r="879" spans="1:7" ht="13.8">
      <c r="A879" s="596"/>
      <c r="B879" s="609"/>
      <c r="D879" s="610"/>
      <c r="E879" s="571"/>
      <c r="F879" s="571"/>
      <c r="G879" s="572"/>
    </row>
    <row r="880" spans="1:7" ht="13.8">
      <c r="A880" s="596"/>
      <c r="B880" s="609"/>
      <c r="D880" s="610"/>
      <c r="E880" s="571"/>
      <c r="F880" s="571"/>
      <c r="G880" s="572"/>
    </row>
    <row r="881" spans="1:7" ht="13.8">
      <c r="A881" s="596"/>
      <c r="B881" s="609"/>
      <c r="D881" s="610"/>
      <c r="E881" s="571"/>
      <c r="F881" s="571"/>
      <c r="G881" s="572"/>
    </row>
    <row r="882" spans="1:7" ht="13.8">
      <c r="A882" s="596"/>
      <c r="B882" s="609"/>
      <c r="D882" s="610"/>
      <c r="E882" s="571"/>
      <c r="F882" s="571"/>
      <c r="G882" s="572"/>
    </row>
    <row r="883" spans="1:7" ht="13.8">
      <c r="A883" s="596"/>
      <c r="B883" s="609"/>
      <c r="D883" s="610"/>
      <c r="E883" s="571"/>
      <c r="F883" s="571"/>
      <c r="G883" s="572"/>
    </row>
    <row r="884" spans="1:7" ht="13.8">
      <c r="A884" s="596"/>
      <c r="B884" s="609"/>
      <c r="D884" s="610"/>
      <c r="E884" s="571"/>
      <c r="F884" s="571"/>
      <c r="G884" s="572"/>
    </row>
    <row r="885" spans="1:7" ht="13.8">
      <c r="A885" s="596"/>
      <c r="B885" s="609"/>
      <c r="D885" s="610"/>
      <c r="E885" s="571"/>
      <c r="F885" s="571"/>
      <c r="G885" s="572"/>
    </row>
    <row r="886" spans="1:7" ht="13.8">
      <c r="A886" s="596"/>
      <c r="B886" s="609"/>
      <c r="D886" s="610"/>
      <c r="E886" s="571"/>
      <c r="F886" s="571"/>
      <c r="G886" s="572"/>
    </row>
    <row r="887" spans="1:7" ht="13.8">
      <c r="A887" s="596"/>
      <c r="B887" s="609"/>
      <c r="D887" s="610"/>
      <c r="E887" s="571"/>
      <c r="F887" s="571"/>
      <c r="G887" s="572"/>
    </row>
    <row r="888" spans="1:7" ht="13.8">
      <c r="A888" s="596"/>
      <c r="B888" s="609"/>
      <c r="D888" s="610"/>
      <c r="E888" s="571"/>
      <c r="F888" s="571"/>
      <c r="G888" s="572"/>
    </row>
    <row r="889" spans="1:7" ht="13.8">
      <c r="A889" s="596"/>
      <c r="B889" s="609"/>
      <c r="D889" s="610"/>
      <c r="E889" s="571"/>
      <c r="F889" s="571"/>
      <c r="G889" s="572"/>
    </row>
    <row r="890" spans="1:7" ht="13.8">
      <c r="A890" s="596"/>
      <c r="B890" s="609"/>
      <c r="D890" s="610"/>
      <c r="E890" s="571"/>
      <c r="F890" s="571"/>
      <c r="G890" s="572"/>
    </row>
    <row r="891" spans="1:7" ht="13.8">
      <c r="A891" s="596"/>
      <c r="B891" s="609"/>
      <c r="D891" s="610"/>
      <c r="E891" s="571"/>
      <c r="F891" s="571"/>
      <c r="G891" s="572"/>
    </row>
    <row r="892" spans="1:7" ht="13.8">
      <c r="A892" s="596"/>
      <c r="B892" s="609"/>
      <c r="D892" s="610"/>
      <c r="E892" s="571"/>
      <c r="F892" s="571"/>
      <c r="G892" s="572"/>
    </row>
    <row r="893" spans="1:7" ht="13.8">
      <c r="A893" s="596"/>
      <c r="B893" s="609"/>
      <c r="D893" s="610"/>
      <c r="E893" s="571"/>
      <c r="F893" s="571"/>
      <c r="G893" s="572"/>
    </row>
    <row r="894" spans="1:7" ht="13.8">
      <c r="A894" s="596"/>
      <c r="B894" s="609"/>
      <c r="D894" s="610"/>
      <c r="E894" s="571"/>
      <c r="F894" s="571"/>
      <c r="G894" s="572"/>
    </row>
    <row r="895" spans="1:7" ht="13.8">
      <c r="A895" s="596"/>
      <c r="B895" s="609"/>
      <c r="D895" s="610"/>
      <c r="E895" s="571"/>
      <c r="F895" s="571"/>
      <c r="G895" s="572"/>
    </row>
    <row r="896" spans="1:7" ht="13.8">
      <c r="A896" s="596"/>
      <c r="B896" s="609"/>
      <c r="D896" s="610"/>
      <c r="E896" s="571"/>
      <c r="F896" s="571"/>
      <c r="G896" s="572"/>
    </row>
    <row r="897" spans="1:7" ht="13.8">
      <c r="A897" s="596"/>
      <c r="B897" s="609"/>
      <c r="D897" s="610"/>
      <c r="E897" s="571"/>
      <c r="F897" s="571"/>
      <c r="G897" s="572"/>
    </row>
    <row r="898" spans="1:7" ht="13.8">
      <c r="A898" s="596"/>
      <c r="B898" s="609"/>
      <c r="D898" s="610"/>
      <c r="E898" s="571"/>
      <c r="F898" s="571"/>
      <c r="G898" s="572"/>
    </row>
    <row r="899" spans="1:7" ht="13.8">
      <c r="A899" s="596"/>
      <c r="B899" s="609"/>
      <c r="D899" s="610"/>
      <c r="E899" s="571"/>
      <c r="F899" s="571"/>
      <c r="G899" s="572"/>
    </row>
    <row r="900" spans="1:7" ht="13.8">
      <c r="A900" s="596"/>
      <c r="B900" s="609"/>
      <c r="D900" s="610"/>
      <c r="E900" s="571"/>
      <c r="F900" s="571"/>
      <c r="G900" s="572"/>
    </row>
    <row r="901" spans="1:7" ht="13.8">
      <c r="A901" s="596"/>
      <c r="B901" s="609"/>
      <c r="D901" s="610"/>
      <c r="E901" s="571"/>
      <c r="F901" s="571"/>
      <c r="G901" s="572"/>
    </row>
    <row r="902" spans="1:7" ht="13.8">
      <c r="A902" s="596"/>
      <c r="B902" s="609"/>
      <c r="D902" s="610"/>
      <c r="E902" s="571"/>
      <c r="F902" s="571"/>
      <c r="G902" s="572"/>
    </row>
    <row r="903" spans="1:7" ht="13.8">
      <c r="A903" s="596"/>
      <c r="B903" s="609"/>
      <c r="D903" s="610"/>
      <c r="E903" s="571"/>
      <c r="F903" s="571"/>
      <c r="G903" s="572"/>
    </row>
    <row r="904" spans="1:7" ht="13.8">
      <c r="A904" s="596"/>
      <c r="B904" s="609"/>
      <c r="D904" s="610"/>
      <c r="E904" s="571"/>
      <c r="F904" s="571"/>
      <c r="G904" s="572"/>
    </row>
    <row r="905" spans="1:7" ht="13.8">
      <c r="A905" s="596"/>
      <c r="B905" s="609"/>
      <c r="D905" s="610"/>
      <c r="E905" s="571"/>
      <c r="F905" s="571"/>
      <c r="G905" s="572"/>
    </row>
    <row r="906" spans="1:7" ht="13.8">
      <c r="A906" s="596"/>
      <c r="B906" s="609"/>
      <c r="D906" s="610"/>
      <c r="E906" s="571"/>
      <c r="F906" s="571"/>
      <c r="G906" s="572"/>
    </row>
    <row r="907" spans="1:7" ht="13.8">
      <c r="A907" s="596"/>
      <c r="B907" s="609"/>
      <c r="D907" s="610"/>
      <c r="E907" s="571"/>
      <c r="F907" s="571"/>
      <c r="G907" s="572"/>
    </row>
    <row r="908" spans="1:7" ht="13.8">
      <c r="A908" s="596"/>
      <c r="B908" s="609"/>
      <c r="D908" s="610"/>
      <c r="E908" s="571"/>
      <c r="F908" s="571"/>
      <c r="G908" s="572"/>
    </row>
    <row r="909" spans="1:7" ht="13.8">
      <c r="A909" s="596"/>
      <c r="B909" s="609"/>
      <c r="D909" s="610"/>
      <c r="E909" s="571"/>
      <c r="F909" s="571"/>
      <c r="G909" s="572"/>
    </row>
    <row r="910" spans="1:7" ht="13.8">
      <c r="A910" s="596"/>
      <c r="B910" s="609"/>
      <c r="D910" s="610"/>
      <c r="E910" s="571"/>
      <c r="F910" s="571"/>
      <c r="G910" s="572"/>
    </row>
    <row r="911" spans="1:7" ht="13.8">
      <c r="A911" s="596"/>
      <c r="B911" s="609"/>
      <c r="D911" s="610"/>
      <c r="E911" s="571"/>
      <c r="F911" s="571"/>
      <c r="G911" s="572"/>
    </row>
    <row r="912" spans="1:7" ht="13.8">
      <c r="A912" s="596"/>
      <c r="B912" s="609"/>
      <c r="D912" s="610"/>
      <c r="E912" s="571"/>
      <c r="F912" s="571"/>
      <c r="G912" s="572"/>
    </row>
    <row r="913" spans="1:7" ht="13.8">
      <c r="A913" s="596"/>
      <c r="B913" s="609"/>
      <c r="D913" s="610"/>
      <c r="E913" s="571"/>
      <c r="F913" s="571"/>
      <c r="G913" s="572"/>
    </row>
    <row r="914" spans="1:7" ht="13.8">
      <c r="A914" s="596"/>
      <c r="B914" s="609"/>
      <c r="D914" s="610"/>
      <c r="E914" s="571"/>
      <c r="F914" s="571"/>
      <c r="G914" s="572"/>
    </row>
    <row r="915" spans="1:7" ht="13.8">
      <c r="A915" s="596"/>
      <c r="B915" s="609"/>
      <c r="D915" s="610"/>
      <c r="E915" s="571"/>
      <c r="F915" s="571"/>
      <c r="G915" s="572"/>
    </row>
    <row r="916" spans="1:7" ht="13.8">
      <c r="A916" s="596"/>
      <c r="B916" s="609"/>
      <c r="D916" s="610"/>
      <c r="E916" s="571"/>
      <c r="F916" s="571"/>
      <c r="G916" s="572"/>
    </row>
    <row r="917" spans="1:7" ht="13.8">
      <c r="A917" s="596"/>
      <c r="B917" s="609"/>
      <c r="D917" s="610"/>
      <c r="E917" s="571"/>
      <c r="F917" s="571"/>
      <c r="G917" s="572"/>
    </row>
    <row r="918" spans="1:7" ht="13.8">
      <c r="A918" s="596"/>
      <c r="B918" s="609"/>
      <c r="D918" s="610"/>
      <c r="E918" s="571"/>
      <c r="F918" s="571"/>
      <c r="G918" s="572"/>
    </row>
    <row r="919" spans="1:7" ht="13.8">
      <c r="A919" s="596"/>
      <c r="B919" s="609"/>
      <c r="D919" s="610"/>
      <c r="E919" s="571"/>
      <c r="F919" s="571"/>
      <c r="G919" s="572"/>
    </row>
    <row r="920" spans="1:7" ht="13.8">
      <c r="A920" s="596"/>
      <c r="B920" s="609"/>
      <c r="D920" s="610"/>
      <c r="E920" s="571"/>
      <c r="F920" s="571"/>
      <c r="G920" s="572"/>
    </row>
    <row r="921" spans="1:7" ht="13.8">
      <c r="A921" s="596"/>
      <c r="B921" s="609"/>
      <c r="D921" s="610"/>
      <c r="E921" s="571"/>
      <c r="F921" s="571"/>
      <c r="G921" s="572"/>
    </row>
    <row r="922" spans="1:7" ht="13.8">
      <c r="A922" s="596"/>
      <c r="B922" s="609"/>
      <c r="D922" s="610"/>
      <c r="E922" s="571"/>
      <c r="F922" s="571"/>
      <c r="G922" s="572"/>
    </row>
    <row r="923" spans="1:7" ht="13.8">
      <c r="A923" s="596"/>
      <c r="B923" s="609"/>
      <c r="D923" s="610"/>
      <c r="E923" s="571"/>
      <c r="F923" s="571"/>
      <c r="G923" s="572"/>
    </row>
    <row r="924" spans="1:7" ht="13.8">
      <c r="A924" s="596"/>
      <c r="B924" s="609"/>
      <c r="D924" s="610"/>
      <c r="E924" s="571"/>
      <c r="F924" s="571"/>
      <c r="G924" s="572"/>
    </row>
    <row r="925" spans="1:7" ht="13.8">
      <c r="A925" s="596"/>
      <c r="B925" s="609"/>
      <c r="D925" s="610"/>
      <c r="E925" s="571"/>
      <c r="F925" s="571"/>
      <c r="G925" s="572"/>
    </row>
    <row r="926" spans="1:7" ht="13.8">
      <c r="A926" s="596"/>
      <c r="B926" s="609"/>
      <c r="D926" s="610"/>
      <c r="E926" s="571"/>
      <c r="F926" s="571"/>
      <c r="G926" s="572"/>
    </row>
    <row r="927" spans="1:7" ht="13.8">
      <c r="A927" s="596"/>
      <c r="B927" s="609"/>
      <c r="D927" s="610"/>
      <c r="E927" s="571"/>
      <c r="F927" s="571"/>
      <c r="G927" s="572"/>
    </row>
    <row r="928" spans="1:7" ht="13.8">
      <c r="A928" s="596"/>
      <c r="B928" s="609"/>
      <c r="D928" s="610"/>
      <c r="E928" s="571"/>
      <c r="F928" s="571"/>
      <c r="G928" s="572"/>
    </row>
    <row r="929" spans="1:7" ht="13.8">
      <c r="A929" s="596"/>
      <c r="B929" s="609"/>
      <c r="D929" s="610"/>
      <c r="E929" s="571"/>
      <c r="F929" s="571"/>
      <c r="G929" s="572"/>
    </row>
    <row r="930" spans="1:7" ht="13.8">
      <c r="A930" s="596"/>
      <c r="B930" s="609"/>
      <c r="D930" s="610"/>
      <c r="E930" s="571"/>
      <c r="F930" s="571"/>
      <c r="G930" s="572"/>
    </row>
    <row r="931" spans="1:7" ht="13.8">
      <c r="A931" s="596"/>
      <c r="B931" s="609"/>
      <c r="D931" s="610"/>
      <c r="E931" s="571"/>
      <c r="F931" s="571"/>
      <c r="G931" s="572"/>
    </row>
    <row r="932" spans="1:7" ht="13.8">
      <c r="A932" s="596"/>
      <c r="B932" s="609"/>
      <c r="D932" s="610"/>
      <c r="E932" s="571"/>
      <c r="F932" s="571"/>
      <c r="G932" s="572"/>
    </row>
    <row r="933" spans="1:7" ht="13.8">
      <c r="A933" s="596"/>
      <c r="B933" s="609"/>
      <c r="D933" s="610"/>
      <c r="E933" s="571"/>
      <c r="F933" s="571"/>
      <c r="G933" s="572"/>
    </row>
    <row r="934" spans="1:7" ht="13.8">
      <c r="A934" s="596"/>
      <c r="B934" s="609"/>
      <c r="D934" s="610"/>
      <c r="E934" s="571"/>
      <c r="F934" s="571"/>
      <c r="G934" s="572"/>
    </row>
    <row r="935" spans="1:7" ht="13.8">
      <c r="A935" s="596"/>
      <c r="B935" s="609"/>
      <c r="D935" s="610"/>
      <c r="E935" s="571"/>
      <c r="F935" s="571"/>
      <c r="G935" s="572"/>
    </row>
    <row r="936" spans="1:7" ht="13.8">
      <c r="A936" s="596"/>
      <c r="B936" s="609"/>
      <c r="D936" s="610"/>
      <c r="E936" s="571"/>
      <c r="F936" s="571"/>
      <c r="G936" s="572"/>
    </row>
    <row r="937" spans="1:7" ht="13.8">
      <c r="A937" s="596"/>
      <c r="B937" s="609"/>
      <c r="D937" s="610"/>
      <c r="E937" s="571"/>
      <c r="F937" s="571"/>
      <c r="G937" s="572"/>
    </row>
    <row r="938" spans="1:7" ht="13.8">
      <c r="A938" s="596"/>
      <c r="B938" s="609"/>
      <c r="D938" s="610"/>
      <c r="E938" s="571"/>
      <c r="F938" s="571"/>
      <c r="G938" s="572"/>
    </row>
    <row r="939" spans="1:7" ht="13.8">
      <c r="A939" s="596"/>
      <c r="B939" s="609"/>
      <c r="D939" s="610"/>
      <c r="E939" s="571"/>
      <c r="F939" s="571"/>
      <c r="G939" s="572"/>
    </row>
    <row r="940" spans="1:7" ht="13.8">
      <c r="A940" s="596"/>
      <c r="B940" s="609"/>
      <c r="D940" s="610"/>
      <c r="E940" s="571"/>
      <c r="F940" s="571"/>
      <c r="G940" s="572"/>
    </row>
    <row r="941" spans="1:7" ht="13.8">
      <c r="A941" s="596"/>
      <c r="B941" s="609"/>
      <c r="D941" s="610"/>
      <c r="E941" s="571"/>
      <c r="F941" s="571"/>
      <c r="G941" s="572"/>
    </row>
    <row r="942" spans="1:7" ht="13.8">
      <c r="A942" s="596"/>
      <c r="B942" s="609"/>
      <c r="D942" s="610"/>
      <c r="E942" s="571"/>
      <c r="F942" s="571"/>
      <c r="G942" s="572"/>
    </row>
    <row r="943" spans="1:7" ht="13.8">
      <c r="A943" s="596"/>
      <c r="B943" s="609"/>
      <c r="D943" s="610"/>
      <c r="E943" s="571"/>
      <c r="F943" s="571"/>
      <c r="G943" s="572"/>
    </row>
    <row r="944" spans="1:7" ht="13.8">
      <c r="A944" s="596"/>
      <c r="B944" s="609"/>
      <c r="D944" s="610"/>
      <c r="E944" s="571"/>
      <c r="F944" s="571"/>
      <c r="G944" s="572"/>
    </row>
    <row r="945" spans="1:7" ht="13.8">
      <c r="A945" s="596"/>
      <c r="B945" s="609"/>
      <c r="D945" s="610"/>
      <c r="E945" s="571"/>
      <c r="F945" s="571"/>
      <c r="G945" s="572"/>
    </row>
    <row r="946" spans="1:7" ht="13.8">
      <c r="A946" s="596"/>
      <c r="B946" s="609"/>
      <c r="D946" s="610"/>
      <c r="E946" s="571"/>
      <c r="F946" s="571"/>
      <c r="G946" s="572"/>
    </row>
    <row r="947" spans="1:7" ht="13.8">
      <c r="A947" s="596"/>
      <c r="B947" s="609"/>
      <c r="D947" s="610"/>
      <c r="E947" s="571"/>
      <c r="F947" s="571"/>
      <c r="G947" s="572"/>
    </row>
    <row r="948" spans="1:7" ht="13.8">
      <c r="A948" s="596"/>
      <c r="B948" s="609"/>
      <c r="D948" s="610"/>
      <c r="E948" s="571"/>
      <c r="F948" s="571"/>
      <c r="G948" s="572"/>
    </row>
    <row r="949" spans="1:7" ht="13.8">
      <c r="A949" s="596"/>
      <c r="B949" s="609"/>
      <c r="D949" s="610"/>
      <c r="E949" s="571"/>
      <c r="F949" s="571"/>
      <c r="G949" s="572"/>
    </row>
    <row r="950" spans="1:7" ht="13.8">
      <c r="A950" s="596"/>
      <c r="B950" s="609"/>
      <c r="D950" s="610"/>
      <c r="E950" s="571"/>
      <c r="F950" s="571"/>
      <c r="G950" s="572"/>
    </row>
    <row r="951" spans="1:7" ht="13.8">
      <c r="A951" s="596"/>
      <c r="B951" s="609"/>
      <c r="D951" s="610"/>
      <c r="E951" s="571"/>
      <c r="F951" s="571"/>
      <c r="G951" s="572"/>
    </row>
    <row r="952" spans="1:7" ht="13.8">
      <c r="A952" s="596"/>
      <c r="B952" s="609"/>
      <c r="D952" s="610"/>
      <c r="E952" s="571"/>
      <c r="F952" s="571"/>
      <c r="G952" s="572"/>
    </row>
    <row r="953" spans="1:7" ht="13.8">
      <c r="A953" s="596"/>
      <c r="B953" s="609"/>
      <c r="D953" s="610"/>
      <c r="E953" s="571"/>
      <c r="F953" s="571"/>
      <c r="G953" s="572"/>
    </row>
    <row r="954" spans="1:7" ht="13.8">
      <c r="A954" s="596"/>
      <c r="B954" s="609"/>
      <c r="D954" s="610"/>
      <c r="E954" s="571"/>
      <c r="F954" s="571"/>
      <c r="G954" s="572"/>
    </row>
    <row r="955" spans="1:7" ht="13.8">
      <c r="A955" s="596"/>
      <c r="B955" s="609"/>
      <c r="D955" s="610"/>
      <c r="E955" s="571"/>
      <c r="F955" s="571"/>
      <c r="G955" s="572"/>
    </row>
    <row r="956" spans="1:7" ht="13.8">
      <c r="A956" s="596"/>
      <c r="B956" s="609"/>
      <c r="D956" s="610"/>
      <c r="E956" s="571"/>
      <c r="F956" s="571"/>
      <c r="G956" s="572"/>
    </row>
    <row r="957" spans="1:7" ht="13.8">
      <c r="A957" s="596"/>
      <c r="B957" s="609"/>
      <c r="D957" s="610"/>
      <c r="E957" s="571"/>
      <c r="F957" s="571"/>
      <c r="G957" s="572"/>
    </row>
    <row r="958" spans="1:7" ht="13.8">
      <c r="A958" s="596"/>
      <c r="B958" s="609"/>
      <c r="D958" s="610"/>
      <c r="E958" s="571"/>
      <c r="F958" s="571"/>
      <c r="G958" s="572"/>
    </row>
    <row r="959" spans="1:7" ht="13.8">
      <c r="A959" s="596"/>
      <c r="B959" s="609"/>
      <c r="D959" s="610"/>
      <c r="E959" s="571"/>
      <c r="F959" s="571"/>
      <c r="G959" s="572"/>
    </row>
    <row r="960" spans="1:7" ht="13.8">
      <c r="A960" s="596"/>
      <c r="B960" s="609"/>
      <c r="D960" s="610"/>
      <c r="E960" s="571"/>
      <c r="F960" s="571"/>
      <c r="G960" s="572"/>
    </row>
    <row r="961" spans="1:7" ht="13.8">
      <c r="A961" s="596"/>
      <c r="B961" s="609"/>
      <c r="D961" s="610"/>
      <c r="E961" s="571"/>
      <c r="F961" s="571"/>
      <c r="G961" s="572"/>
    </row>
    <row r="962" spans="1:7" ht="13.8">
      <c r="A962" s="596"/>
      <c r="B962" s="609"/>
      <c r="D962" s="610"/>
      <c r="E962" s="571"/>
      <c r="F962" s="571"/>
      <c r="G962" s="572"/>
    </row>
    <row r="963" spans="1:7" ht="13.8">
      <c r="A963" s="596"/>
      <c r="B963" s="609"/>
      <c r="D963" s="610"/>
      <c r="E963" s="571"/>
      <c r="F963" s="571"/>
      <c r="G963" s="572"/>
    </row>
    <row r="964" spans="1:7" ht="13.8">
      <c r="A964" s="596"/>
      <c r="B964" s="609"/>
      <c r="D964" s="610"/>
      <c r="E964" s="571"/>
      <c r="F964" s="571"/>
      <c r="G964" s="572"/>
    </row>
    <row r="965" spans="1:7" ht="13.8">
      <c r="A965" s="596"/>
      <c r="B965" s="609"/>
      <c r="D965" s="610"/>
      <c r="E965" s="571"/>
      <c r="F965" s="571"/>
      <c r="G965" s="572"/>
    </row>
    <row r="966" spans="1:7" ht="13.8">
      <c r="A966" s="596"/>
      <c r="B966" s="609"/>
      <c r="D966" s="610"/>
      <c r="E966" s="571"/>
      <c r="F966" s="571"/>
      <c r="G966" s="572"/>
    </row>
    <row r="967" spans="1:7" ht="13.8">
      <c r="A967" s="596"/>
      <c r="B967" s="609"/>
      <c r="D967" s="610"/>
      <c r="E967" s="571"/>
      <c r="F967" s="571"/>
      <c r="G967" s="572"/>
    </row>
    <row r="968" spans="1:7" ht="13.8">
      <c r="A968" s="596"/>
      <c r="B968" s="609"/>
      <c r="D968" s="610"/>
      <c r="E968" s="571"/>
      <c r="F968" s="571"/>
      <c r="G968" s="572"/>
    </row>
    <row r="969" spans="1:7" ht="13.8">
      <c r="A969" s="596"/>
      <c r="B969" s="609"/>
      <c r="D969" s="610"/>
      <c r="E969" s="571"/>
      <c r="F969" s="571"/>
      <c r="G969" s="572"/>
    </row>
    <row r="970" spans="1:7" ht="13.8">
      <c r="A970" s="596"/>
      <c r="B970" s="609"/>
      <c r="D970" s="610"/>
      <c r="E970" s="571"/>
      <c r="F970" s="571"/>
      <c r="G970" s="572"/>
    </row>
    <row r="971" spans="1:7" ht="13.8">
      <c r="A971" s="596"/>
      <c r="B971" s="609"/>
      <c r="D971" s="610"/>
      <c r="E971" s="571"/>
      <c r="F971" s="571"/>
      <c r="G971" s="572"/>
    </row>
    <row r="972" spans="1:7" ht="13.8">
      <c r="A972" s="596"/>
      <c r="B972" s="609"/>
      <c r="D972" s="610"/>
      <c r="E972" s="571"/>
      <c r="F972" s="571"/>
      <c r="G972" s="572"/>
    </row>
    <row r="973" spans="1:7" ht="13.8">
      <c r="A973" s="596"/>
      <c r="B973" s="609"/>
      <c r="D973" s="610"/>
      <c r="E973" s="571"/>
      <c r="F973" s="571"/>
      <c r="G973" s="572"/>
    </row>
    <row r="974" spans="1:7" ht="13.8">
      <c r="A974" s="596"/>
      <c r="B974" s="609"/>
      <c r="D974" s="610"/>
      <c r="E974" s="571"/>
      <c r="F974" s="571"/>
      <c r="G974" s="572"/>
    </row>
    <row r="975" spans="1:7" ht="13.8">
      <c r="A975" s="596"/>
      <c r="B975" s="609"/>
      <c r="D975" s="610"/>
      <c r="E975" s="571"/>
      <c r="F975" s="571"/>
      <c r="G975" s="572"/>
    </row>
    <row r="976" spans="1:7" ht="13.8">
      <c r="A976" s="596"/>
      <c r="B976" s="609"/>
      <c r="D976" s="610"/>
      <c r="E976" s="571"/>
      <c r="F976" s="571"/>
      <c r="G976" s="572"/>
    </row>
    <row r="977" spans="1:7" ht="13.8">
      <c r="A977" s="596"/>
      <c r="B977" s="609"/>
      <c r="D977" s="610"/>
      <c r="E977" s="571"/>
      <c r="F977" s="571"/>
      <c r="G977" s="572"/>
    </row>
    <row r="978" spans="1:7" ht="13.8">
      <c r="A978" s="596"/>
      <c r="B978" s="609"/>
      <c r="D978" s="610"/>
      <c r="E978" s="571"/>
      <c r="F978" s="571"/>
      <c r="G978" s="572"/>
    </row>
    <row r="979" spans="1:7" ht="13.8">
      <c r="A979" s="596"/>
      <c r="B979" s="609"/>
      <c r="D979" s="610"/>
      <c r="E979" s="571"/>
      <c r="F979" s="571"/>
      <c r="G979" s="572"/>
    </row>
    <row r="980" spans="1:7" ht="13.8">
      <c r="A980" s="596"/>
      <c r="B980" s="609"/>
      <c r="D980" s="610"/>
      <c r="E980" s="571"/>
      <c r="F980" s="571"/>
      <c r="G980" s="572"/>
    </row>
    <row r="981" spans="1:7" ht="13.8">
      <c r="A981" s="596"/>
      <c r="B981" s="609"/>
      <c r="D981" s="610"/>
      <c r="E981" s="571"/>
      <c r="F981" s="571"/>
      <c r="G981" s="572"/>
    </row>
    <row r="982" spans="1:7" ht="13.8">
      <c r="A982" s="596"/>
      <c r="B982" s="609"/>
      <c r="D982" s="610"/>
      <c r="E982" s="571"/>
      <c r="F982" s="571"/>
      <c r="G982" s="572"/>
    </row>
    <row r="983" spans="1:7" ht="13.8">
      <c r="A983" s="596"/>
      <c r="B983" s="609"/>
      <c r="D983" s="610"/>
      <c r="E983" s="571"/>
      <c r="F983" s="571"/>
      <c r="G983" s="572"/>
    </row>
    <row r="984" spans="1:7" ht="13.8">
      <c r="A984" s="596"/>
      <c r="B984" s="609"/>
      <c r="D984" s="610"/>
      <c r="E984" s="571"/>
      <c r="F984" s="571"/>
      <c r="G984" s="572"/>
    </row>
    <row r="985" spans="1:7" ht="13.8">
      <c r="A985" s="596"/>
      <c r="B985" s="609"/>
      <c r="D985" s="610"/>
      <c r="E985" s="571"/>
      <c r="F985" s="571"/>
      <c r="G985" s="572"/>
    </row>
    <row r="986" spans="1:7" ht="13.8">
      <c r="A986" s="596"/>
      <c r="B986" s="609"/>
      <c r="D986" s="610"/>
      <c r="E986" s="571"/>
      <c r="F986" s="571"/>
      <c r="G986" s="572"/>
    </row>
    <row r="987" spans="1:7" ht="13.8">
      <c r="A987" s="596"/>
      <c r="B987" s="609"/>
      <c r="D987" s="610"/>
      <c r="E987" s="571"/>
      <c r="F987" s="571"/>
      <c r="G987" s="572"/>
    </row>
    <row r="988" spans="1:7" ht="13.8">
      <c r="A988" s="596"/>
      <c r="B988" s="609"/>
      <c r="D988" s="610"/>
      <c r="E988" s="571"/>
      <c r="F988" s="571"/>
      <c r="G988" s="572"/>
    </row>
    <row r="989" spans="1:7" ht="13.8">
      <c r="A989" s="596"/>
      <c r="B989" s="609"/>
      <c r="D989" s="610"/>
      <c r="E989" s="571"/>
      <c r="F989" s="571"/>
      <c r="G989" s="572"/>
    </row>
    <row r="990" spans="1:7" ht="13.8">
      <c r="A990" s="596"/>
      <c r="B990" s="609"/>
      <c r="D990" s="610"/>
      <c r="E990" s="571"/>
      <c r="F990" s="571"/>
      <c r="G990" s="572"/>
    </row>
    <row r="991" spans="1:7" ht="13.8">
      <c r="A991" s="596"/>
      <c r="B991" s="609"/>
      <c r="D991" s="610"/>
      <c r="E991" s="571"/>
      <c r="F991" s="571"/>
      <c r="G991" s="572"/>
    </row>
    <row r="992" spans="1:7" ht="13.8">
      <c r="A992" s="596"/>
      <c r="B992" s="609"/>
      <c r="D992" s="610"/>
      <c r="E992" s="571"/>
      <c r="F992" s="571"/>
      <c r="G992" s="572"/>
    </row>
    <row r="993" spans="1:7" ht="13.8">
      <c r="A993" s="596"/>
      <c r="B993" s="609"/>
      <c r="D993" s="610"/>
      <c r="E993" s="571"/>
      <c r="F993" s="571"/>
      <c r="G993" s="572"/>
    </row>
    <row r="994" spans="1:7" ht="13.8">
      <c r="A994" s="596"/>
      <c r="B994" s="609"/>
      <c r="D994" s="610"/>
      <c r="E994" s="571"/>
      <c r="F994" s="571"/>
      <c r="G994" s="572"/>
    </row>
    <row r="995" spans="1:7" ht="13.8">
      <c r="A995" s="596"/>
      <c r="B995" s="609"/>
      <c r="D995" s="610"/>
      <c r="E995" s="571"/>
      <c r="F995" s="571"/>
      <c r="G995" s="572"/>
    </row>
    <row r="996" spans="1:7" ht="13.8">
      <c r="A996" s="596"/>
      <c r="B996" s="609"/>
      <c r="D996" s="610"/>
      <c r="E996" s="571"/>
      <c r="F996" s="571"/>
      <c r="G996" s="572"/>
    </row>
    <row r="997" spans="1:7" ht="13.8">
      <c r="A997" s="596"/>
      <c r="B997" s="609"/>
      <c r="D997" s="610"/>
      <c r="E997" s="571"/>
      <c r="F997" s="571"/>
      <c r="G997" s="572"/>
    </row>
    <row r="998" spans="1:7" ht="13.8">
      <c r="A998" s="596"/>
      <c r="B998" s="609"/>
      <c r="D998" s="610"/>
      <c r="E998" s="571"/>
      <c r="F998" s="571"/>
      <c r="G998" s="572"/>
    </row>
    <row r="999" spans="1:7" ht="13.8">
      <c r="A999" s="596"/>
      <c r="B999" s="609"/>
      <c r="D999" s="610"/>
      <c r="E999" s="571"/>
      <c r="F999" s="571"/>
      <c r="G999" s="572"/>
    </row>
    <row r="1000" spans="1:7" ht="13.8">
      <c r="A1000" s="596"/>
      <c r="B1000" s="609"/>
      <c r="D1000" s="610"/>
      <c r="E1000" s="571"/>
      <c r="F1000" s="571"/>
      <c r="G1000" s="572"/>
    </row>
    <row r="1001" spans="1:7" ht="13.8">
      <c r="A1001" s="596"/>
      <c r="B1001" s="609"/>
      <c r="D1001" s="610"/>
      <c r="E1001" s="571"/>
      <c r="F1001" s="571"/>
      <c r="G1001" s="572"/>
    </row>
    <row r="1002" spans="1:7" ht="13.8">
      <c r="A1002" s="596"/>
      <c r="B1002" s="609"/>
      <c r="D1002" s="610"/>
      <c r="E1002" s="571"/>
      <c r="F1002" s="571"/>
      <c r="G1002" s="572"/>
    </row>
    <row r="1003" spans="1:7" ht="13.8">
      <c r="A1003" s="596"/>
      <c r="B1003" s="609"/>
      <c r="D1003" s="610"/>
      <c r="E1003" s="571"/>
      <c r="F1003" s="571"/>
      <c r="G1003" s="572"/>
    </row>
    <row r="1004" spans="1:7" ht="13.8">
      <c r="A1004" s="596"/>
      <c r="B1004" s="609"/>
      <c r="D1004" s="610"/>
      <c r="E1004" s="571"/>
      <c r="F1004" s="571"/>
      <c r="G1004" s="572"/>
    </row>
    <row r="1005" spans="1:7" ht="13.8">
      <c r="A1005" s="596"/>
      <c r="B1005" s="609"/>
      <c r="D1005" s="610"/>
      <c r="E1005" s="571"/>
      <c r="F1005" s="571"/>
      <c r="G1005" s="572"/>
    </row>
    <row r="1006" spans="1:7" ht="13.8">
      <c r="A1006" s="596"/>
      <c r="B1006" s="609"/>
      <c r="D1006" s="610"/>
      <c r="E1006" s="571"/>
      <c r="F1006" s="571"/>
      <c r="G1006" s="572"/>
    </row>
    <row r="1007" spans="1:7" ht="13.8">
      <c r="A1007" s="596"/>
      <c r="B1007" s="609"/>
      <c r="D1007" s="610"/>
      <c r="E1007" s="571"/>
      <c r="F1007" s="571"/>
      <c r="G1007" s="572"/>
    </row>
    <row r="1008" spans="1:7" ht="13.8">
      <c r="A1008" s="596"/>
      <c r="B1008" s="609"/>
      <c r="D1008" s="610"/>
      <c r="E1008" s="571"/>
      <c r="F1008" s="571"/>
      <c r="G1008" s="572"/>
    </row>
    <row r="1009" spans="1:7" ht="13.8">
      <c r="A1009" s="596"/>
      <c r="B1009" s="609"/>
      <c r="D1009" s="610"/>
      <c r="E1009" s="571"/>
      <c r="F1009" s="571"/>
      <c r="G1009" s="572"/>
    </row>
    <row r="1010" spans="1:7" ht="13.8">
      <c r="A1010" s="596"/>
      <c r="B1010" s="609"/>
      <c r="D1010" s="610"/>
      <c r="E1010" s="571"/>
      <c r="F1010" s="571"/>
      <c r="G1010" s="572"/>
    </row>
    <row r="1011" spans="1:7" ht="13.8">
      <c r="A1011" s="596"/>
      <c r="B1011" s="609"/>
      <c r="D1011" s="610"/>
      <c r="E1011" s="571"/>
      <c r="F1011" s="571"/>
      <c r="G1011" s="572"/>
    </row>
    <row r="1012" spans="1:7" ht="13.8">
      <c r="A1012" s="596"/>
      <c r="B1012" s="609"/>
      <c r="D1012" s="610"/>
      <c r="E1012" s="571"/>
      <c r="F1012" s="571"/>
      <c r="G1012" s="572"/>
    </row>
    <row r="1013" spans="1:7" ht="13.8">
      <c r="A1013" s="596"/>
      <c r="B1013" s="609"/>
      <c r="D1013" s="610"/>
      <c r="E1013" s="571"/>
      <c r="F1013" s="571"/>
      <c r="G1013" s="572"/>
    </row>
    <row r="1014" spans="1:7" ht="13.8">
      <c r="A1014" s="596"/>
      <c r="B1014" s="609"/>
      <c r="D1014" s="610"/>
      <c r="E1014" s="571"/>
      <c r="F1014" s="571"/>
      <c r="G1014" s="572"/>
    </row>
    <row r="1015" spans="1:7" ht="13.8">
      <c r="A1015" s="596"/>
      <c r="B1015" s="609"/>
      <c r="D1015" s="610"/>
      <c r="E1015" s="571"/>
      <c r="F1015" s="571"/>
      <c r="G1015" s="572"/>
    </row>
    <row r="1016" spans="1:7" ht="13.8">
      <c r="A1016" s="596"/>
      <c r="B1016" s="609"/>
      <c r="D1016" s="610"/>
      <c r="E1016" s="571"/>
      <c r="F1016" s="571"/>
      <c r="G1016" s="572"/>
    </row>
    <row r="1017" spans="1:7" ht="13.8">
      <c r="A1017" s="596"/>
      <c r="B1017" s="609"/>
      <c r="D1017" s="610"/>
      <c r="E1017" s="571"/>
      <c r="F1017" s="571"/>
      <c r="G1017" s="572"/>
    </row>
    <row r="1018" spans="1:7" ht="13.8">
      <c r="A1018" s="596"/>
      <c r="B1018" s="609"/>
      <c r="D1018" s="610"/>
      <c r="E1018" s="571"/>
      <c r="F1018" s="571"/>
      <c r="G1018" s="572"/>
    </row>
    <row r="1019" spans="1:7" ht="13.8">
      <c r="A1019" s="596"/>
      <c r="B1019" s="609"/>
      <c r="D1019" s="610"/>
      <c r="E1019" s="571"/>
      <c r="F1019" s="571"/>
      <c r="G1019" s="572"/>
    </row>
    <row r="1020" spans="1:7" ht="13.8">
      <c r="A1020" s="596"/>
      <c r="B1020" s="609"/>
      <c r="D1020" s="610"/>
      <c r="E1020" s="571"/>
      <c r="F1020" s="571"/>
      <c r="G1020" s="572"/>
    </row>
    <row r="1021" spans="1:7" ht="13.8">
      <c r="A1021" s="596"/>
      <c r="B1021" s="609"/>
      <c r="D1021" s="610"/>
      <c r="E1021" s="571"/>
      <c r="F1021" s="571"/>
      <c r="G1021" s="572"/>
    </row>
    <row r="1022" spans="1:7" ht="13.8">
      <c r="A1022" s="596"/>
      <c r="B1022" s="609"/>
      <c r="D1022" s="610"/>
      <c r="E1022" s="571"/>
      <c r="F1022" s="571"/>
      <c r="G1022" s="572"/>
    </row>
    <row r="1023" spans="1:7" ht="13.8">
      <c r="A1023" s="596"/>
      <c r="B1023" s="609"/>
      <c r="D1023" s="610"/>
      <c r="E1023" s="571"/>
      <c r="F1023" s="571"/>
      <c r="G1023" s="572"/>
    </row>
    <row r="1024" spans="1:7" ht="13.8">
      <c r="A1024" s="596"/>
      <c r="B1024" s="609"/>
      <c r="D1024" s="610"/>
      <c r="E1024" s="571"/>
      <c r="F1024" s="571"/>
      <c r="G1024" s="572"/>
    </row>
    <row r="1025" spans="1:7" ht="13.8">
      <c r="A1025" s="596"/>
      <c r="B1025" s="609"/>
      <c r="D1025" s="610"/>
      <c r="E1025" s="571"/>
      <c r="F1025" s="571"/>
      <c r="G1025" s="572"/>
    </row>
    <row r="1026" spans="1:7" ht="13.8">
      <c r="A1026" s="596"/>
      <c r="B1026" s="609"/>
      <c r="D1026" s="610"/>
      <c r="E1026" s="571"/>
      <c r="F1026" s="571"/>
      <c r="G1026" s="572"/>
    </row>
    <row r="1027" spans="1:7" ht="13.8">
      <c r="A1027" s="596"/>
      <c r="B1027" s="609"/>
      <c r="D1027" s="610"/>
      <c r="E1027" s="571"/>
      <c r="F1027" s="571"/>
      <c r="G1027" s="572"/>
    </row>
    <row r="1028" spans="1:7" ht="13.8">
      <c r="A1028" s="596"/>
      <c r="B1028" s="609"/>
      <c r="D1028" s="610"/>
      <c r="E1028" s="571"/>
      <c r="F1028" s="571"/>
      <c r="G1028" s="572"/>
    </row>
  </sheetData>
  <mergeCells count="10">
    <mergeCell ref="A101:A103"/>
    <mergeCell ref="A51:A64"/>
    <mergeCell ref="A65:A81"/>
    <mergeCell ref="A82:A92"/>
    <mergeCell ref="A93:A100"/>
    <mergeCell ref="A4:A24"/>
    <mergeCell ref="A25:A32"/>
    <mergeCell ref="A33:A41"/>
    <mergeCell ref="A42:A50"/>
    <mergeCell ref="I1:J1"/>
  </mergeCells>
  <phoneticPr fontId="29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8DA1A-1B9F-47F0-877E-80D1CCF8367F}">
  <sheetPr codeName="Лист9" filterMode="1">
    <pageSetUpPr fitToPage="1"/>
  </sheetPr>
  <dimension ref="A1:AB1163"/>
  <sheetViews>
    <sheetView zoomScaleNormal="100" workbookViewId="0">
      <pane xSplit="4" ySplit="1" topLeftCell="E78" activePane="bottomRight" state="frozen"/>
      <selection pane="topRight" activeCell="E1" sqref="E1"/>
      <selection pane="bottomLeft" activeCell="A2" sqref="A2"/>
      <selection pane="bottomRight" activeCell="G1147" sqref="G1147:H1150"/>
    </sheetView>
  </sheetViews>
  <sheetFormatPr defaultRowHeight="13.2"/>
  <cols>
    <col min="1" max="1" width="21.88671875" style="86" customWidth="1"/>
    <col min="2" max="2" width="23.88671875" style="86" customWidth="1"/>
    <col min="3" max="3" width="30.6640625" style="86" customWidth="1"/>
    <col min="4" max="4" width="36.33203125" style="86" customWidth="1"/>
    <col min="5" max="5" width="44.6640625" style="86" customWidth="1"/>
    <col min="6" max="6" width="12.6640625" style="145" customWidth="1"/>
    <col min="7" max="7" width="14.44140625" style="145" customWidth="1"/>
    <col min="8" max="8" width="13.5546875" customWidth="1"/>
    <col min="9" max="9" width="12" customWidth="1"/>
    <col min="10" max="10" width="21.33203125" customWidth="1"/>
    <col min="11" max="11" width="12.5546875" customWidth="1"/>
    <col min="12" max="12" width="12.88671875" customWidth="1"/>
    <col min="14" max="14" width="20" customWidth="1"/>
    <col min="15" max="15" width="10" customWidth="1"/>
    <col min="16" max="16" width="9.109375" bestFit="1" customWidth="1"/>
    <col min="17" max="17" width="11.6640625" customWidth="1"/>
    <col min="18" max="18" width="9.109375" bestFit="1" customWidth="1"/>
    <col min="19" max="19" width="10.109375" bestFit="1" customWidth="1"/>
    <col min="20" max="20" width="9.109375" bestFit="1" customWidth="1"/>
    <col min="22" max="22" width="8.88671875" style="611"/>
    <col min="23" max="23" width="8.88671875" style="597"/>
    <col min="25" max="25" width="8.88671875" style="597"/>
    <col min="27" max="27" width="8.88671875" style="611"/>
    <col min="28" max="28" width="8.88671875" style="597"/>
  </cols>
  <sheetData>
    <row r="1" spans="1:28" s="723" customFormat="1" ht="14.4" thickBot="1">
      <c r="A1" s="712"/>
      <c r="B1" s="713"/>
      <c r="C1" s="714"/>
      <c r="D1" s="715"/>
      <c r="E1" s="716"/>
      <c r="F1" s="713"/>
      <c r="G1" s="717"/>
      <c r="H1" s="718"/>
      <c r="I1" s="717"/>
      <c r="J1" s="719"/>
      <c r="K1" s="717"/>
      <c r="L1" s="720"/>
      <c r="M1" s="713"/>
      <c r="N1" s="718"/>
      <c r="O1" s="721"/>
      <c r="P1" s="721"/>
      <c r="Q1" s="721"/>
      <c r="R1" s="721"/>
      <c r="S1" s="722"/>
      <c r="T1" s="721"/>
      <c r="U1" s="720"/>
      <c r="V1" s="737" t="s">
        <v>575</v>
      </c>
      <c r="W1" s="753"/>
      <c r="Y1" s="753"/>
      <c r="AA1" s="767"/>
      <c r="AB1" s="753"/>
    </row>
    <row r="2" spans="1:28" ht="14.4" thickBot="1">
      <c r="A2" s="707"/>
      <c r="B2" s="708"/>
      <c r="C2" s="709"/>
      <c r="D2" s="710"/>
      <c r="E2" s="707"/>
      <c r="F2" s="708"/>
      <c r="G2" s="1875" t="s">
        <v>575</v>
      </c>
      <c r="H2" s="1876"/>
      <c r="I2" s="1876"/>
      <c r="J2" s="1876"/>
      <c r="K2" s="1877"/>
      <c r="L2" s="1878"/>
      <c r="M2" s="711"/>
      <c r="N2" s="711"/>
      <c r="O2" s="1875" t="s">
        <v>639</v>
      </c>
      <c r="P2" s="1876"/>
      <c r="Q2" s="1876"/>
      <c r="R2" s="1876"/>
      <c r="S2" s="1876"/>
      <c r="T2" s="1876"/>
      <c r="U2" s="1878"/>
      <c r="V2" s="738">
        <v>2025</v>
      </c>
    </row>
    <row r="3" spans="1:28" ht="55.8" thickBot="1">
      <c r="A3" s="412" t="s">
        <v>640</v>
      </c>
      <c r="B3" s="413" t="s">
        <v>641</v>
      </c>
      <c r="C3" s="414" t="s">
        <v>642</v>
      </c>
      <c r="D3" s="415" t="s">
        <v>643</v>
      </c>
      <c r="E3" s="412" t="s">
        <v>644</v>
      </c>
      <c r="F3" s="413" t="s">
        <v>644</v>
      </c>
      <c r="G3" s="416" t="s">
        <v>978</v>
      </c>
      <c r="H3" s="417" t="s">
        <v>646</v>
      </c>
      <c r="I3" s="416" t="s">
        <v>647</v>
      </c>
      <c r="J3" s="419" t="s">
        <v>206</v>
      </c>
      <c r="K3" s="683" t="s">
        <v>648</v>
      </c>
      <c r="L3" s="681" t="s">
        <v>649</v>
      </c>
      <c r="M3" s="413" t="s">
        <v>643</v>
      </c>
      <c r="N3" s="417" t="s">
        <v>650</v>
      </c>
      <c r="O3" s="419" t="s">
        <v>645</v>
      </c>
      <c r="P3" s="419" t="s">
        <v>646</v>
      </c>
      <c r="Q3" s="419" t="s">
        <v>651</v>
      </c>
      <c r="R3" s="419" t="s">
        <v>647</v>
      </c>
      <c r="S3" s="419" t="s">
        <v>206</v>
      </c>
      <c r="T3" s="419" t="s">
        <v>648</v>
      </c>
      <c r="U3" s="418" t="s">
        <v>649</v>
      </c>
      <c r="V3" s="739" t="s">
        <v>206</v>
      </c>
    </row>
    <row r="4" spans="1:28" ht="15" customHeight="1" thickBot="1">
      <c r="A4" s="1847" t="s">
        <v>652</v>
      </c>
      <c r="B4" s="1850" t="s">
        <v>653</v>
      </c>
      <c r="C4" s="421" t="s">
        <v>654</v>
      </c>
      <c r="D4" s="422">
        <v>1</v>
      </c>
      <c r="E4" s="423"/>
      <c r="F4" s="424"/>
      <c r="G4" s="1863">
        <v>870135</v>
      </c>
      <c r="H4" s="1863">
        <f>G4/0.87+G4/0.87*7.8%</f>
        <v>1078167.2758620691</v>
      </c>
      <c r="I4" s="1863">
        <v>1078167</v>
      </c>
      <c r="J4" s="1856">
        <v>1078167</v>
      </c>
      <c r="K4" s="1853">
        <f>J4+J7+J12+J13+J17+J20+J27</f>
        <v>3289154.9908045977</v>
      </c>
      <c r="L4" s="1879">
        <f>K4*L53/K53</f>
        <v>33.455271846233515</v>
      </c>
      <c r="M4" s="427">
        <v>1</v>
      </c>
      <c r="N4" s="1863">
        <f>O4/M4</f>
        <v>870135</v>
      </c>
      <c r="O4" s="1872">
        <v>870135</v>
      </c>
      <c r="P4" s="1869">
        <f>Q4/M4</f>
        <v>1078167</v>
      </c>
      <c r="Q4" s="1866">
        <v>1078167</v>
      </c>
      <c r="R4" s="1856">
        <f>SUM(Q4:Q6)</f>
        <v>1078167</v>
      </c>
      <c r="S4" s="1856">
        <f>SUM(R4:R6)</f>
        <v>1078167</v>
      </c>
      <c r="T4" s="1885">
        <f>S4+S7+S12+S13+S17+S20+J27</f>
        <v>3289154.9908045977</v>
      </c>
      <c r="U4" s="1882">
        <f>T4*U53/T53</f>
        <v>40.214597572070616</v>
      </c>
      <c r="V4" s="821">
        <f>R4</f>
        <v>1078167</v>
      </c>
    </row>
    <row r="5" spans="1:28" ht="23.4" customHeight="1" thickBot="1">
      <c r="A5" s="1848"/>
      <c r="B5" s="1851"/>
      <c r="C5" s="433" t="s">
        <v>655</v>
      </c>
      <c r="D5" s="434">
        <v>1</v>
      </c>
      <c r="E5" s="435"/>
      <c r="F5" s="436"/>
      <c r="G5" s="1864"/>
      <c r="H5" s="1864"/>
      <c r="I5" s="1864"/>
      <c r="J5" s="1857"/>
      <c r="K5" s="1854"/>
      <c r="L5" s="1880"/>
      <c r="M5" s="440">
        <v>1</v>
      </c>
      <c r="N5" s="1864"/>
      <c r="O5" s="1873"/>
      <c r="P5" s="1870"/>
      <c r="Q5" s="1867"/>
      <c r="R5" s="1857"/>
      <c r="S5" s="1857"/>
      <c r="T5" s="1857"/>
      <c r="U5" s="1883"/>
      <c r="V5" s="822"/>
    </row>
    <row r="6" spans="1:28" ht="16.2" customHeight="1" thickBot="1">
      <c r="A6" s="1848"/>
      <c r="B6" s="1852"/>
      <c r="C6" s="443" t="s">
        <v>656</v>
      </c>
      <c r="D6" s="444">
        <v>1</v>
      </c>
      <c r="E6" s="445"/>
      <c r="F6" s="446"/>
      <c r="G6" s="1865"/>
      <c r="H6" s="1865"/>
      <c r="I6" s="1865"/>
      <c r="J6" s="1858"/>
      <c r="K6" s="1854"/>
      <c r="L6" s="1880"/>
      <c r="M6" s="440">
        <v>1</v>
      </c>
      <c r="N6" s="1865"/>
      <c r="O6" s="1874"/>
      <c r="P6" s="1871"/>
      <c r="Q6" s="1868"/>
      <c r="R6" s="1858"/>
      <c r="S6" s="1858"/>
      <c r="T6" s="1857"/>
      <c r="U6" s="1883"/>
      <c r="V6" s="823"/>
    </row>
    <row r="7" spans="1:28" ht="28.2" thickBot="1">
      <c r="A7" s="1848"/>
      <c r="B7" s="1859" t="s">
        <v>657</v>
      </c>
      <c r="C7" s="613" t="s">
        <v>658</v>
      </c>
      <c r="D7" s="614">
        <v>1</v>
      </c>
      <c r="E7" s="615"/>
      <c r="F7" s="616"/>
      <c r="G7" s="617">
        <v>100000</v>
      </c>
      <c r="H7" s="618">
        <f t="shared" ref="H7:H52" si="0">G7/0.87+G7/0.87*7.8%</f>
        <v>123908.04597701148</v>
      </c>
      <c r="I7" s="617">
        <f t="shared" ref="I7:I52" si="1">D7*H7</f>
        <v>123908.04597701148</v>
      </c>
      <c r="J7" s="1860">
        <f>SUM(I7:I11)</f>
        <v>434272.91954022984</v>
      </c>
      <c r="K7" s="1854"/>
      <c r="L7" s="1880"/>
      <c r="M7" s="619">
        <v>1</v>
      </c>
      <c r="N7" s="620">
        <f t="shared" ref="N7:N52" si="2">O7/M7</f>
        <v>100000</v>
      </c>
      <c r="O7" s="621">
        <v>100000</v>
      </c>
      <c r="P7" s="622">
        <f t="shared" ref="P7:P52" si="3">Q7/M7</f>
        <v>123908.04597701148</v>
      </c>
      <c r="Q7" s="617">
        <f t="shared" ref="Q7:Q52" si="4">O7/0.87+O7/0.87*7.8%</f>
        <v>123908.04597701148</v>
      </c>
      <c r="R7" s="1860">
        <f>SUM(Q7:Q11)</f>
        <v>434272.91954022984</v>
      </c>
      <c r="S7" s="1860">
        <f>SUM(R7:R11)</f>
        <v>434272.91954022984</v>
      </c>
      <c r="T7" s="1857"/>
      <c r="U7" s="1883"/>
      <c r="V7" s="824">
        <f>S7</f>
        <v>434272.91954022984</v>
      </c>
    </row>
    <row r="8" spans="1:28" ht="28.2" thickBot="1">
      <c r="A8" s="1848"/>
      <c r="B8" s="1851"/>
      <c r="C8" s="433" t="s">
        <v>659</v>
      </c>
      <c r="D8" s="434">
        <v>1</v>
      </c>
      <c r="E8" s="435"/>
      <c r="F8" s="436"/>
      <c r="G8" s="437">
        <v>90480</v>
      </c>
      <c r="H8" s="438">
        <f t="shared" si="0"/>
        <v>112112</v>
      </c>
      <c r="I8" s="437">
        <f t="shared" si="1"/>
        <v>112112</v>
      </c>
      <c r="J8" s="1857"/>
      <c r="K8" s="1854"/>
      <c r="L8" s="1880"/>
      <c r="M8" s="440">
        <v>1</v>
      </c>
      <c r="N8" s="439">
        <f t="shared" si="2"/>
        <v>90480</v>
      </c>
      <c r="O8" s="441">
        <v>90480</v>
      </c>
      <c r="P8" s="430">
        <f t="shared" si="3"/>
        <v>112112</v>
      </c>
      <c r="Q8" s="437">
        <f t="shared" si="4"/>
        <v>112112</v>
      </c>
      <c r="R8" s="1857"/>
      <c r="S8" s="1857"/>
      <c r="T8" s="1857"/>
      <c r="U8" s="1883"/>
      <c r="V8" s="822"/>
    </row>
    <row r="9" spans="1:28" ht="14.4" customHeight="1" thickBot="1">
      <c r="A9" s="1848"/>
      <c r="B9" s="1851"/>
      <c r="C9" s="433" t="s">
        <v>660</v>
      </c>
      <c r="D9" s="434">
        <v>1</v>
      </c>
      <c r="E9" s="435"/>
      <c r="F9" s="436"/>
      <c r="G9" s="437">
        <v>60000</v>
      </c>
      <c r="H9" s="438">
        <f t="shared" si="0"/>
        <v>74344.827586206884</v>
      </c>
      <c r="I9" s="437">
        <f t="shared" si="1"/>
        <v>74344.827586206884</v>
      </c>
      <c r="J9" s="1857"/>
      <c r="K9" s="1854"/>
      <c r="L9" s="1880"/>
      <c r="M9" s="440">
        <v>1</v>
      </c>
      <c r="N9" s="439">
        <f t="shared" si="2"/>
        <v>60000</v>
      </c>
      <c r="O9" s="441">
        <v>60000</v>
      </c>
      <c r="P9" s="430">
        <f t="shared" si="3"/>
        <v>74344.827586206884</v>
      </c>
      <c r="Q9" s="437">
        <f t="shared" si="4"/>
        <v>74344.827586206884</v>
      </c>
      <c r="R9" s="1857"/>
      <c r="S9" s="1857"/>
      <c r="T9" s="1857"/>
      <c r="U9" s="1883"/>
      <c r="V9" s="822"/>
    </row>
    <row r="10" spans="1:28" ht="14.4" thickBot="1">
      <c r="A10" s="1848"/>
      <c r="B10" s="1851"/>
      <c r="C10" s="433" t="s">
        <v>661</v>
      </c>
      <c r="D10" s="434">
        <v>1</v>
      </c>
      <c r="E10" s="435"/>
      <c r="F10" s="436"/>
      <c r="G10" s="437">
        <v>50000</v>
      </c>
      <c r="H10" s="438">
        <f t="shared" si="0"/>
        <v>61954.022988505742</v>
      </c>
      <c r="I10" s="437">
        <f t="shared" si="1"/>
        <v>61954.022988505742</v>
      </c>
      <c r="J10" s="1857"/>
      <c r="K10" s="1854"/>
      <c r="L10" s="1880"/>
      <c r="M10" s="440">
        <v>1</v>
      </c>
      <c r="N10" s="439">
        <f t="shared" si="2"/>
        <v>50000</v>
      </c>
      <c r="O10" s="441">
        <v>50000</v>
      </c>
      <c r="P10" s="430">
        <f t="shared" si="3"/>
        <v>61954.022988505742</v>
      </c>
      <c r="Q10" s="437">
        <f t="shared" si="4"/>
        <v>61954.022988505742</v>
      </c>
      <c r="R10" s="1857"/>
      <c r="S10" s="1857"/>
      <c r="T10" s="1857"/>
      <c r="U10" s="1883"/>
      <c r="V10" s="822"/>
    </row>
    <row r="11" spans="1:28" ht="14.4" thickBot="1">
      <c r="A11" s="1848"/>
      <c r="B11" s="1852"/>
      <c r="C11" s="453" t="s">
        <v>662</v>
      </c>
      <c r="D11" s="454">
        <v>1</v>
      </c>
      <c r="E11" s="455"/>
      <c r="F11" s="456"/>
      <c r="G11" s="457">
        <v>50000</v>
      </c>
      <c r="H11" s="458">
        <f t="shared" si="0"/>
        <v>61954.022988505742</v>
      </c>
      <c r="I11" s="457">
        <f t="shared" si="1"/>
        <v>61954.022988505742</v>
      </c>
      <c r="J11" s="1858"/>
      <c r="K11" s="1854"/>
      <c r="L11" s="1880"/>
      <c r="M11" s="459">
        <v>1</v>
      </c>
      <c r="N11" s="460">
        <f t="shared" si="2"/>
        <v>50000</v>
      </c>
      <c r="O11" s="461">
        <v>50000</v>
      </c>
      <c r="P11" s="462">
        <v>50000</v>
      </c>
      <c r="Q11" s="457">
        <f t="shared" si="4"/>
        <v>61954.022988505742</v>
      </c>
      <c r="R11" s="1858"/>
      <c r="S11" s="1858"/>
      <c r="T11" s="1857"/>
      <c r="U11" s="1883"/>
      <c r="V11" s="823"/>
    </row>
    <row r="12" spans="1:28" ht="14.4" thickBot="1">
      <c r="A12" s="1848"/>
      <c r="B12" s="432" t="s">
        <v>663</v>
      </c>
      <c r="C12" s="463" t="s">
        <v>664</v>
      </c>
      <c r="D12" s="464">
        <v>1</v>
      </c>
      <c r="E12" s="465"/>
      <c r="F12" s="466"/>
      <c r="G12" s="467">
        <v>60000</v>
      </c>
      <c r="H12" s="468">
        <f t="shared" si="0"/>
        <v>74344.827586206884</v>
      </c>
      <c r="I12" s="467">
        <f t="shared" si="1"/>
        <v>74344.827586206884</v>
      </c>
      <c r="J12" s="442">
        <f>I12</f>
        <v>74344.827586206884</v>
      </c>
      <c r="K12" s="1854"/>
      <c r="L12" s="1880"/>
      <c r="M12" s="440">
        <v>1</v>
      </c>
      <c r="N12" s="439">
        <f t="shared" si="2"/>
        <v>60000</v>
      </c>
      <c r="O12" s="469">
        <v>60000</v>
      </c>
      <c r="P12" s="470">
        <f t="shared" si="3"/>
        <v>74344.827586206884</v>
      </c>
      <c r="Q12" s="467">
        <f t="shared" si="4"/>
        <v>74344.827586206884</v>
      </c>
      <c r="R12" s="442">
        <f>Q12</f>
        <v>74344.827586206884</v>
      </c>
      <c r="S12" s="442">
        <f>R12</f>
        <v>74344.827586206884</v>
      </c>
      <c r="T12" s="1857"/>
      <c r="U12" s="1883"/>
      <c r="V12" s="741">
        <f>S12</f>
        <v>74344.827586206884</v>
      </c>
    </row>
    <row r="13" spans="1:28" ht="14.4" thickBot="1">
      <c r="A13" s="1848"/>
      <c r="B13" s="1850" t="s">
        <v>340</v>
      </c>
      <c r="C13" s="421" t="s">
        <v>665</v>
      </c>
      <c r="D13" s="422">
        <v>1</v>
      </c>
      <c r="E13" s="423"/>
      <c r="F13" s="424"/>
      <c r="G13" s="425">
        <v>140070</v>
      </c>
      <c r="H13" s="426">
        <f>G13/0.87+G13/0.87*7.8%</f>
        <v>173558</v>
      </c>
      <c r="I13" s="425">
        <f>D13*H13</f>
        <v>173558</v>
      </c>
      <c r="J13" s="1856">
        <f>SUM(I13:I16)</f>
        <v>324808.8344827586</v>
      </c>
      <c r="K13" s="1854"/>
      <c r="L13" s="1880"/>
      <c r="M13" s="451">
        <v>1</v>
      </c>
      <c r="N13" s="428">
        <f t="shared" si="2"/>
        <v>140070</v>
      </c>
      <c r="O13" s="429">
        <v>140070</v>
      </c>
      <c r="P13" s="452">
        <f t="shared" si="3"/>
        <v>173558</v>
      </c>
      <c r="Q13" s="425">
        <f>O13/0.87+O13/0.87*7.8%</f>
        <v>173558</v>
      </c>
      <c r="R13" s="1856">
        <f>SUM(Q13:Q16)</f>
        <v>324808.8344827586</v>
      </c>
      <c r="S13" s="1856">
        <f>SUM(R13:R16)</f>
        <v>324808.8344827586</v>
      </c>
      <c r="T13" s="1857"/>
      <c r="U13" s="1883"/>
      <c r="V13" s="821">
        <f>S13</f>
        <v>324808.8344827586</v>
      </c>
    </row>
    <row r="14" spans="1:28" ht="28.2" thickBot="1">
      <c r="A14" s="1848"/>
      <c r="B14" s="1851"/>
      <c r="C14" s="433" t="s">
        <v>666</v>
      </c>
      <c r="D14" s="471">
        <v>1</v>
      </c>
      <c r="E14" s="472"/>
      <c r="F14" s="473"/>
      <c r="G14" s="437">
        <v>47067</v>
      </c>
      <c r="H14" s="438">
        <f>G14/0.87+G14/0.87*7.8%</f>
        <v>58319.8</v>
      </c>
      <c r="I14" s="437">
        <f t="shared" si="1"/>
        <v>58319.8</v>
      </c>
      <c r="J14" s="1857"/>
      <c r="K14" s="1854"/>
      <c r="L14" s="1880"/>
      <c r="M14" s="440">
        <v>1</v>
      </c>
      <c r="N14" s="439">
        <f t="shared" si="2"/>
        <v>47067</v>
      </c>
      <c r="O14" s="441">
        <v>47067</v>
      </c>
      <c r="P14" s="430">
        <f t="shared" si="3"/>
        <v>58319.8</v>
      </c>
      <c r="Q14" s="437">
        <f t="shared" si="4"/>
        <v>58319.8</v>
      </c>
      <c r="R14" s="1857"/>
      <c r="S14" s="1857"/>
      <c r="T14" s="1857"/>
      <c r="U14" s="1883"/>
      <c r="V14" s="822"/>
    </row>
    <row r="15" spans="1:28" ht="14.4" thickBot="1">
      <c r="A15" s="1848"/>
      <c r="B15" s="1851"/>
      <c r="C15" s="433" t="s">
        <v>340</v>
      </c>
      <c r="D15" s="471">
        <v>1</v>
      </c>
      <c r="E15" s="472"/>
      <c r="F15" s="473"/>
      <c r="G15" s="437">
        <v>75000</v>
      </c>
      <c r="H15" s="438">
        <f t="shared" si="0"/>
        <v>92931.034482758623</v>
      </c>
      <c r="I15" s="437">
        <f t="shared" si="1"/>
        <v>92931.034482758623</v>
      </c>
      <c r="J15" s="1857"/>
      <c r="K15" s="1854"/>
      <c r="L15" s="1880"/>
      <c r="M15" s="440">
        <v>1</v>
      </c>
      <c r="N15" s="439">
        <f t="shared" si="2"/>
        <v>75000</v>
      </c>
      <c r="O15" s="441">
        <v>75000</v>
      </c>
      <c r="P15" s="430">
        <f t="shared" si="3"/>
        <v>92931.034482758623</v>
      </c>
      <c r="Q15" s="437">
        <f t="shared" si="4"/>
        <v>92931.034482758623</v>
      </c>
      <c r="R15" s="1857"/>
      <c r="S15" s="1857"/>
      <c r="T15" s="1857"/>
      <c r="U15" s="1883"/>
      <c r="V15" s="822"/>
    </row>
    <row r="16" spans="1:28" ht="14.4" thickBot="1">
      <c r="A16" s="1848"/>
      <c r="B16" s="1852"/>
      <c r="C16" s="443" t="s">
        <v>667</v>
      </c>
      <c r="D16" s="474">
        <v>1</v>
      </c>
      <c r="E16" s="475"/>
      <c r="F16" s="476"/>
      <c r="G16" s="447"/>
      <c r="H16" s="448">
        <f t="shared" si="0"/>
        <v>0</v>
      </c>
      <c r="I16" s="447">
        <f t="shared" si="1"/>
        <v>0</v>
      </c>
      <c r="J16" s="1858"/>
      <c r="K16" s="1854"/>
      <c r="L16" s="1880"/>
      <c r="M16" s="440">
        <v>0</v>
      </c>
      <c r="N16" s="439"/>
      <c r="O16" s="449"/>
      <c r="P16" s="450">
        <v>0</v>
      </c>
      <c r="Q16" s="447">
        <f t="shared" si="4"/>
        <v>0</v>
      </c>
      <c r="R16" s="1858"/>
      <c r="S16" s="1858"/>
      <c r="T16" s="1857"/>
      <c r="U16" s="1883"/>
      <c r="V16" s="823"/>
    </row>
    <row r="17" spans="1:22" ht="14.4" thickBot="1">
      <c r="A17" s="1848"/>
      <c r="B17" s="1850" t="s">
        <v>339</v>
      </c>
      <c r="C17" s="421" t="s">
        <v>668</v>
      </c>
      <c r="D17" s="477">
        <v>1</v>
      </c>
      <c r="E17" s="478"/>
      <c r="F17" s="479"/>
      <c r="G17" s="425">
        <v>60030</v>
      </c>
      <c r="H17" s="426">
        <f t="shared" si="0"/>
        <v>74382</v>
      </c>
      <c r="I17" s="425">
        <f t="shared" si="1"/>
        <v>74382</v>
      </c>
      <c r="J17" s="1856">
        <f>SUM(I17:I19)</f>
        <v>122417.43218390804</v>
      </c>
      <c r="K17" s="1854"/>
      <c r="L17" s="1880"/>
      <c r="M17" s="451">
        <v>1</v>
      </c>
      <c r="N17" s="428">
        <f t="shared" si="2"/>
        <v>60030</v>
      </c>
      <c r="O17" s="429">
        <v>60030</v>
      </c>
      <c r="P17" s="452">
        <f t="shared" si="3"/>
        <v>74382</v>
      </c>
      <c r="Q17" s="425">
        <f t="shared" si="4"/>
        <v>74382</v>
      </c>
      <c r="R17" s="1856">
        <f>SUM(Q17:Q19)</f>
        <v>122417.43218390804</v>
      </c>
      <c r="S17" s="1856">
        <f>SUM(R17:R19)</f>
        <v>122417.43218390804</v>
      </c>
      <c r="T17" s="1857"/>
      <c r="U17" s="1883"/>
      <c r="V17" s="821">
        <f>S17</f>
        <v>122417.43218390804</v>
      </c>
    </row>
    <row r="18" spans="1:22" ht="14.4" thickBot="1">
      <c r="A18" s="1848"/>
      <c r="B18" s="1851"/>
      <c r="C18" s="433" t="s">
        <v>670</v>
      </c>
      <c r="D18" s="471">
        <v>1</v>
      </c>
      <c r="E18" s="472"/>
      <c r="F18" s="473"/>
      <c r="G18" s="437">
        <v>8765</v>
      </c>
      <c r="H18" s="438">
        <f t="shared" si="0"/>
        <v>10860.540229885059</v>
      </c>
      <c r="I18" s="437">
        <f t="shared" si="1"/>
        <v>10860.540229885059</v>
      </c>
      <c r="J18" s="1857"/>
      <c r="K18" s="1854"/>
      <c r="L18" s="1880"/>
      <c r="M18" s="440">
        <v>1</v>
      </c>
      <c r="N18" s="439">
        <f t="shared" si="2"/>
        <v>8765</v>
      </c>
      <c r="O18" s="441">
        <v>8765</v>
      </c>
      <c r="P18" s="430">
        <f t="shared" si="3"/>
        <v>10860.540229885059</v>
      </c>
      <c r="Q18" s="437">
        <f t="shared" si="4"/>
        <v>10860.540229885059</v>
      </c>
      <c r="R18" s="1857"/>
      <c r="S18" s="1857"/>
      <c r="T18" s="1857"/>
      <c r="U18" s="1883"/>
      <c r="V18" s="822"/>
    </row>
    <row r="19" spans="1:22" ht="14.4" thickBot="1">
      <c r="A19" s="1848"/>
      <c r="B19" s="1852"/>
      <c r="C19" s="443" t="s">
        <v>671</v>
      </c>
      <c r="D19" s="474">
        <v>1</v>
      </c>
      <c r="E19" s="475"/>
      <c r="F19" s="476"/>
      <c r="G19" s="447">
        <v>30002</v>
      </c>
      <c r="H19" s="448">
        <f t="shared" si="0"/>
        <v>37174.891954022984</v>
      </c>
      <c r="I19" s="447">
        <f t="shared" si="1"/>
        <v>37174.891954022984</v>
      </c>
      <c r="J19" s="1858"/>
      <c r="K19" s="1854"/>
      <c r="L19" s="1880"/>
      <c r="M19" s="440">
        <v>1</v>
      </c>
      <c r="N19" s="439">
        <f t="shared" si="2"/>
        <v>30002</v>
      </c>
      <c r="O19" s="449">
        <v>30002</v>
      </c>
      <c r="P19" s="450">
        <f t="shared" si="3"/>
        <v>37174.891954022984</v>
      </c>
      <c r="Q19" s="447">
        <f t="shared" si="4"/>
        <v>37174.891954022984</v>
      </c>
      <c r="R19" s="1858"/>
      <c r="S19" s="1858"/>
      <c r="T19" s="1857"/>
      <c r="U19" s="1883"/>
      <c r="V19" s="823"/>
    </row>
    <row r="20" spans="1:22" ht="14.4" thickBot="1">
      <c r="A20" s="1848"/>
      <c r="B20" s="1850" t="s">
        <v>672</v>
      </c>
      <c r="C20" s="421" t="s">
        <v>673</v>
      </c>
      <c r="D20" s="422">
        <v>1</v>
      </c>
      <c r="E20" s="423"/>
      <c r="F20" s="424"/>
      <c r="G20" s="425">
        <v>140070</v>
      </c>
      <c r="H20" s="426">
        <f>G20/0.87+G20/0.87*7.8%</f>
        <v>173558</v>
      </c>
      <c r="I20" s="425">
        <f>D20*H20</f>
        <v>173558</v>
      </c>
      <c r="J20" s="1856">
        <f>SUM(I20:I26)</f>
        <v>753186.28735632182</v>
      </c>
      <c r="K20" s="1854"/>
      <c r="L20" s="1880"/>
      <c r="M20" s="451">
        <v>1</v>
      </c>
      <c r="N20" s="428">
        <f t="shared" si="2"/>
        <v>140070</v>
      </c>
      <c r="O20" s="429">
        <v>140070</v>
      </c>
      <c r="P20" s="452">
        <f t="shared" si="3"/>
        <v>173558</v>
      </c>
      <c r="Q20" s="425">
        <f>O20/0.87+O20/0.87*7.8%</f>
        <v>173558</v>
      </c>
      <c r="R20" s="1856">
        <f>SUM(Q20:Q26)</f>
        <v>753186.28735632182</v>
      </c>
      <c r="S20" s="1856">
        <f>SUM(R20:R26)</f>
        <v>753186.28735632182</v>
      </c>
      <c r="T20" s="1857"/>
      <c r="U20" s="1883"/>
      <c r="V20" s="821">
        <f>S20</f>
        <v>753186.28735632182</v>
      </c>
    </row>
    <row r="21" spans="1:22" ht="14.4" thickBot="1">
      <c r="A21" s="1848"/>
      <c r="B21" s="1851"/>
      <c r="C21" s="433" t="s">
        <v>674</v>
      </c>
      <c r="D21" s="471">
        <v>1</v>
      </c>
      <c r="E21" s="472"/>
      <c r="F21" s="473"/>
      <c r="G21" s="437">
        <v>80040</v>
      </c>
      <c r="H21" s="438">
        <f t="shared" si="0"/>
        <v>99176</v>
      </c>
      <c r="I21" s="437">
        <f t="shared" si="1"/>
        <v>99176</v>
      </c>
      <c r="J21" s="1857"/>
      <c r="K21" s="1854"/>
      <c r="L21" s="1880"/>
      <c r="M21" s="440">
        <v>1</v>
      </c>
      <c r="N21" s="439">
        <f t="shared" si="2"/>
        <v>80040</v>
      </c>
      <c r="O21" s="441">
        <v>80040</v>
      </c>
      <c r="P21" s="430">
        <f t="shared" si="3"/>
        <v>99176</v>
      </c>
      <c r="Q21" s="437">
        <f t="shared" si="4"/>
        <v>99176</v>
      </c>
      <c r="R21" s="1857"/>
      <c r="S21" s="1857"/>
      <c r="T21" s="1857"/>
      <c r="U21" s="1883"/>
      <c r="V21" s="822"/>
    </row>
    <row r="22" spans="1:22" ht="14.4" thickBot="1">
      <c r="A22" s="1848"/>
      <c r="B22" s="1851"/>
      <c r="C22" s="433" t="s">
        <v>675</v>
      </c>
      <c r="D22" s="471">
        <v>1</v>
      </c>
      <c r="E22" s="472"/>
      <c r="F22" s="473"/>
      <c r="G22" s="437">
        <v>110000</v>
      </c>
      <c r="H22" s="438">
        <f t="shared" si="0"/>
        <v>136298.85057471265</v>
      </c>
      <c r="I22" s="437">
        <f t="shared" si="1"/>
        <v>136298.85057471265</v>
      </c>
      <c r="J22" s="1857"/>
      <c r="K22" s="1854"/>
      <c r="L22" s="1880"/>
      <c r="M22" s="440">
        <v>1</v>
      </c>
      <c r="N22" s="439">
        <f t="shared" si="2"/>
        <v>110000</v>
      </c>
      <c r="O22" s="441">
        <v>110000</v>
      </c>
      <c r="P22" s="430">
        <f t="shared" si="3"/>
        <v>136298.85057471265</v>
      </c>
      <c r="Q22" s="437">
        <f t="shared" si="4"/>
        <v>136298.85057471265</v>
      </c>
      <c r="R22" s="1857"/>
      <c r="S22" s="1857"/>
      <c r="T22" s="1857"/>
      <c r="U22" s="1883"/>
      <c r="V22" s="822"/>
    </row>
    <row r="23" spans="1:22" ht="14.4" thickBot="1">
      <c r="A23" s="1848"/>
      <c r="B23" s="1851"/>
      <c r="C23" s="433" t="s">
        <v>676</v>
      </c>
      <c r="D23" s="471">
        <v>1</v>
      </c>
      <c r="E23" s="472"/>
      <c r="F23" s="473"/>
      <c r="G23" s="437">
        <v>80000</v>
      </c>
      <c r="H23" s="438">
        <f t="shared" si="0"/>
        <v>99126.436781609198</v>
      </c>
      <c r="I23" s="437">
        <f t="shared" si="1"/>
        <v>99126.436781609198</v>
      </c>
      <c r="J23" s="1857"/>
      <c r="K23" s="1854"/>
      <c r="L23" s="1880"/>
      <c r="M23" s="440">
        <v>1</v>
      </c>
      <c r="N23" s="439">
        <f t="shared" si="2"/>
        <v>80000</v>
      </c>
      <c r="O23" s="441">
        <v>80000</v>
      </c>
      <c r="P23" s="430">
        <f t="shared" si="3"/>
        <v>99126.436781609198</v>
      </c>
      <c r="Q23" s="437">
        <f t="shared" si="4"/>
        <v>99126.436781609198</v>
      </c>
      <c r="R23" s="1857"/>
      <c r="S23" s="1857"/>
      <c r="T23" s="1857"/>
      <c r="U23" s="1883"/>
      <c r="V23" s="822"/>
    </row>
    <row r="24" spans="1:22" ht="28.2" thickBot="1">
      <c r="A24" s="1848"/>
      <c r="B24" s="1851"/>
      <c r="C24" s="480" t="s">
        <v>677</v>
      </c>
      <c r="D24" s="471">
        <v>1</v>
      </c>
      <c r="E24" s="472"/>
      <c r="F24" s="473"/>
      <c r="G24" s="437">
        <v>83955</v>
      </c>
      <c r="H24" s="438">
        <f t="shared" si="0"/>
        <v>104027</v>
      </c>
      <c r="I24" s="437">
        <f t="shared" si="1"/>
        <v>104027</v>
      </c>
      <c r="J24" s="1857"/>
      <c r="K24" s="1854"/>
      <c r="L24" s="1880"/>
      <c r="M24" s="440">
        <v>1</v>
      </c>
      <c r="N24" s="439">
        <f t="shared" si="2"/>
        <v>83955</v>
      </c>
      <c r="O24" s="441">
        <v>83955</v>
      </c>
      <c r="P24" s="430">
        <f t="shared" si="3"/>
        <v>104027</v>
      </c>
      <c r="Q24" s="437">
        <f t="shared" si="4"/>
        <v>104027</v>
      </c>
      <c r="R24" s="1857"/>
      <c r="S24" s="1857"/>
      <c r="T24" s="1857"/>
      <c r="U24" s="1883"/>
      <c r="V24" s="822"/>
    </row>
    <row r="25" spans="1:22" ht="14.4" thickBot="1">
      <c r="A25" s="1848"/>
      <c r="B25" s="1851"/>
      <c r="C25" s="433" t="s">
        <v>678</v>
      </c>
      <c r="D25" s="471">
        <v>1</v>
      </c>
      <c r="E25" s="472"/>
      <c r="F25" s="473"/>
      <c r="G25" s="437">
        <v>24000</v>
      </c>
      <c r="H25" s="438">
        <v>24000</v>
      </c>
      <c r="I25" s="437">
        <f t="shared" si="1"/>
        <v>24000</v>
      </c>
      <c r="J25" s="1857"/>
      <c r="K25" s="1854"/>
      <c r="L25" s="1880"/>
      <c r="M25" s="440">
        <v>1</v>
      </c>
      <c r="N25" s="439">
        <f t="shared" si="2"/>
        <v>24000</v>
      </c>
      <c r="O25" s="441">
        <v>24000</v>
      </c>
      <c r="P25" s="430">
        <v>24000</v>
      </c>
      <c r="Q25" s="437">
        <v>24000</v>
      </c>
      <c r="R25" s="1857"/>
      <c r="S25" s="1857"/>
      <c r="T25" s="1857"/>
      <c r="U25" s="1883"/>
      <c r="V25" s="822"/>
    </row>
    <row r="26" spans="1:22" ht="14.4" thickBot="1">
      <c r="A26" s="1848"/>
      <c r="B26" s="1852"/>
      <c r="C26" s="481" t="s">
        <v>679</v>
      </c>
      <c r="D26" s="474">
        <v>1</v>
      </c>
      <c r="E26" s="475"/>
      <c r="F26" s="476"/>
      <c r="G26" s="447">
        <v>110000</v>
      </c>
      <c r="H26" s="448">
        <v>117000</v>
      </c>
      <c r="I26" s="447">
        <f t="shared" si="1"/>
        <v>117000</v>
      </c>
      <c r="J26" s="1858"/>
      <c r="K26" s="1854"/>
      <c r="L26" s="1880"/>
      <c r="M26" s="440">
        <v>1</v>
      </c>
      <c r="N26" s="439">
        <f t="shared" si="2"/>
        <v>110000</v>
      </c>
      <c r="O26" s="449">
        <v>110000</v>
      </c>
      <c r="P26" s="450">
        <v>117000</v>
      </c>
      <c r="Q26" s="447">
        <v>117000</v>
      </c>
      <c r="R26" s="1858"/>
      <c r="S26" s="1858"/>
      <c r="T26" s="1857"/>
      <c r="U26" s="1883"/>
      <c r="V26" s="823"/>
    </row>
    <row r="27" spans="1:22" ht="14.4" thickBot="1">
      <c r="A27" s="1848"/>
      <c r="B27" s="1850" t="s">
        <v>680</v>
      </c>
      <c r="C27" s="421" t="s">
        <v>681</v>
      </c>
      <c r="D27" s="477">
        <v>1</v>
      </c>
      <c r="E27" s="478"/>
      <c r="F27" s="479">
        <v>150000</v>
      </c>
      <c r="G27" s="425">
        <v>150075</v>
      </c>
      <c r="H27" s="426">
        <f t="shared" si="0"/>
        <v>185955</v>
      </c>
      <c r="I27" s="425">
        <f t="shared" si="1"/>
        <v>185955</v>
      </c>
      <c r="J27" s="1856">
        <f>SUM(I27:I31)</f>
        <v>501957.68965517241</v>
      </c>
      <c r="K27" s="1854"/>
      <c r="L27" s="1880"/>
      <c r="M27" s="451">
        <v>1</v>
      </c>
      <c r="N27" s="428">
        <f t="shared" si="2"/>
        <v>150075</v>
      </c>
      <c r="O27" s="429">
        <v>150075</v>
      </c>
      <c r="P27" s="452">
        <f t="shared" si="3"/>
        <v>185955</v>
      </c>
      <c r="Q27" s="425">
        <f t="shared" si="4"/>
        <v>185955</v>
      </c>
      <c r="R27" s="1856">
        <f>SUM(Q27:Q31)</f>
        <v>328486.42528735631</v>
      </c>
      <c r="S27" s="1856">
        <f>SUM(R27:R31)</f>
        <v>328486.42528735631</v>
      </c>
      <c r="T27" s="1857"/>
      <c r="U27" s="1883"/>
      <c r="V27" s="821">
        <f>J27</f>
        <v>501957.68965517241</v>
      </c>
    </row>
    <row r="28" spans="1:22" ht="14.4" thickBot="1">
      <c r="A28" s="1848"/>
      <c r="B28" s="1851"/>
      <c r="C28" s="433" t="s">
        <v>682</v>
      </c>
      <c r="D28" s="471">
        <v>1</v>
      </c>
      <c r="E28" s="472"/>
      <c r="F28" s="473">
        <v>75000</v>
      </c>
      <c r="G28" s="437">
        <v>75000</v>
      </c>
      <c r="H28" s="438">
        <f t="shared" si="0"/>
        <v>92931.034482758623</v>
      </c>
      <c r="I28" s="437">
        <f t="shared" si="1"/>
        <v>92931.034482758623</v>
      </c>
      <c r="J28" s="1857"/>
      <c r="K28" s="1854"/>
      <c r="L28" s="1880"/>
      <c r="M28" s="440">
        <v>0</v>
      </c>
      <c r="N28" s="439"/>
      <c r="O28" s="482"/>
      <c r="P28" s="430"/>
      <c r="Q28" s="437">
        <f t="shared" si="4"/>
        <v>0</v>
      </c>
      <c r="R28" s="1857"/>
      <c r="S28" s="1857"/>
      <c r="T28" s="1857"/>
      <c r="U28" s="1883"/>
      <c r="V28" s="822"/>
    </row>
    <row r="29" spans="1:22" ht="14.4" thickBot="1">
      <c r="A29" s="1848"/>
      <c r="B29" s="1851"/>
      <c r="C29" s="433" t="s">
        <v>683</v>
      </c>
      <c r="D29" s="471">
        <v>1</v>
      </c>
      <c r="E29" s="472"/>
      <c r="F29" s="473">
        <v>65000</v>
      </c>
      <c r="G29" s="437">
        <v>65000</v>
      </c>
      <c r="H29" s="438">
        <f t="shared" si="0"/>
        <v>80540.229885057473</v>
      </c>
      <c r="I29" s="437">
        <f t="shared" si="1"/>
        <v>80540.229885057473</v>
      </c>
      <c r="J29" s="1857"/>
      <c r="K29" s="1854"/>
      <c r="L29" s="1880"/>
      <c r="M29" s="440">
        <v>0</v>
      </c>
      <c r="N29" s="439"/>
      <c r="O29" s="482"/>
      <c r="P29" s="430"/>
      <c r="Q29" s="437">
        <f t="shared" si="4"/>
        <v>0</v>
      </c>
      <c r="R29" s="1857"/>
      <c r="S29" s="1857"/>
      <c r="T29" s="1857"/>
      <c r="U29" s="1883"/>
      <c r="V29" s="822"/>
    </row>
    <row r="30" spans="1:22" ht="14.4" thickBot="1">
      <c r="A30" s="1848"/>
      <c r="B30" s="1851"/>
      <c r="C30" s="433" t="s">
        <v>684</v>
      </c>
      <c r="D30" s="471">
        <v>1</v>
      </c>
      <c r="E30" s="472"/>
      <c r="F30" s="473">
        <v>55000</v>
      </c>
      <c r="G30" s="437">
        <v>55000</v>
      </c>
      <c r="H30" s="438">
        <f t="shared" si="0"/>
        <v>68149.425287356324</v>
      </c>
      <c r="I30" s="437">
        <f t="shared" si="1"/>
        <v>68149.425287356324</v>
      </c>
      <c r="J30" s="1857"/>
      <c r="K30" s="1854"/>
      <c r="L30" s="1880"/>
      <c r="M30" s="440">
        <v>1</v>
      </c>
      <c r="N30" s="439">
        <f t="shared" si="2"/>
        <v>55000</v>
      </c>
      <c r="O30" s="482">
        <v>55000</v>
      </c>
      <c r="P30" s="430">
        <f t="shared" si="3"/>
        <v>68149.425287356324</v>
      </c>
      <c r="Q30" s="437">
        <f t="shared" si="4"/>
        <v>68149.425287356324</v>
      </c>
      <c r="R30" s="1857"/>
      <c r="S30" s="1857"/>
      <c r="T30" s="1857"/>
      <c r="U30" s="1883"/>
      <c r="V30" s="822"/>
    </row>
    <row r="31" spans="1:22" ht="14.4" thickBot="1">
      <c r="A31" s="1849"/>
      <c r="B31" s="1861"/>
      <c r="C31" s="623" t="s">
        <v>685</v>
      </c>
      <c r="D31" s="624">
        <v>1</v>
      </c>
      <c r="E31" s="625"/>
      <c r="F31" s="626">
        <v>60000</v>
      </c>
      <c r="G31" s="627">
        <v>60030</v>
      </c>
      <c r="H31" s="628">
        <f t="shared" si="0"/>
        <v>74382</v>
      </c>
      <c r="I31" s="627">
        <f t="shared" si="1"/>
        <v>74382</v>
      </c>
      <c r="J31" s="1862"/>
      <c r="K31" s="1855"/>
      <c r="L31" s="1881"/>
      <c r="M31" s="629">
        <v>1</v>
      </c>
      <c r="N31" s="630">
        <f t="shared" si="2"/>
        <v>60030</v>
      </c>
      <c r="O31" s="631">
        <v>60030</v>
      </c>
      <c r="P31" s="632">
        <f t="shared" si="3"/>
        <v>74382</v>
      </c>
      <c r="Q31" s="627">
        <f t="shared" si="4"/>
        <v>74382</v>
      </c>
      <c r="R31" s="1862"/>
      <c r="S31" s="1862"/>
      <c r="T31" s="1886"/>
      <c r="U31" s="1884"/>
      <c r="V31" s="825"/>
    </row>
    <row r="32" spans="1:22" ht="14.4" customHeight="1" thickBot="1">
      <c r="A32" s="1847" t="s">
        <v>686</v>
      </c>
      <c r="B32" s="1850" t="s">
        <v>687</v>
      </c>
      <c r="C32" s="633" t="s">
        <v>688</v>
      </c>
      <c r="D32" s="634">
        <v>3</v>
      </c>
      <c r="E32" s="635"/>
      <c r="F32" s="636">
        <v>100000</v>
      </c>
      <c r="G32" s="637">
        <v>130000</v>
      </c>
      <c r="H32" s="638">
        <f t="shared" si="0"/>
        <v>161080.45977011495</v>
      </c>
      <c r="I32" s="637">
        <f>D32*H32</f>
        <v>483241.37931034481</v>
      </c>
      <c r="J32" s="1856">
        <f>SUM(I32:I36)</f>
        <v>2973793.1034482759</v>
      </c>
      <c r="K32" s="1853">
        <f>J32+J37+J38+J41+J46+J50</f>
        <v>6542344.8275862057</v>
      </c>
      <c r="L32" s="1879">
        <f>K32*L53/K53</f>
        <v>66.544728153766485</v>
      </c>
      <c r="M32" s="639">
        <v>3</v>
      </c>
      <c r="N32" s="439">
        <f t="shared" si="2"/>
        <v>113390</v>
      </c>
      <c r="O32" s="640">
        <f>113390*3</f>
        <v>340170</v>
      </c>
      <c r="P32" s="641">
        <f t="shared" si="3"/>
        <v>140499.33333333334</v>
      </c>
      <c r="Q32" s="637">
        <f t="shared" si="4"/>
        <v>421498</v>
      </c>
      <c r="R32" s="1856">
        <f>SUM(Q32:Q36)</f>
        <v>1969613.8</v>
      </c>
      <c r="S32" s="1856">
        <f>SUM(R32:R36)</f>
        <v>1969613.8</v>
      </c>
      <c r="T32" s="1885">
        <f>S32+S37+S38+S41+S46+S50</f>
        <v>4889852.6068965513</v>
      </c>
      <c r="U32" s="1882">
        <f>T32*U53/T53</f>
        <v>59.785402427929377</v>
      </c>
      <c r="V32" s="1888">
        <f>S32</f>
        <v>1969613.8</v>
      </c>
    </row>
    <row r="33" spans="1:22" ht="14.4" thickBot="1">
      <c r="A33" s="1848"/>
      <c r="B33" s="1851"/>
      <c r="C33" s="433" t="s">
        <v>689</v>
      </c>
      <c r="D33" s="471">
        <v>2</v>
      </c>
      <c r="E33" s="472"/>
      <c r="F33" s="473">
        <v>80000</v>
      </c>
      <c r="G33" s="437">
        <v>130000</v>
      </c>
      <c r="H33" s="438">
        <f t="shared" si="0"/>
        <v>161080.45977011495</v>
      </c>
      <c r="I33" s="437">
        <f t="shared" si="1"/>
        <v>322160.91954022989</v>
      </c>
      <c r="J33" s="1857"/>
      <c r="K33" s="1854"/>
      <c r="L33" s="1880"/>
      <c r="M33" s="440">
        <v>2</v>
      </c>
      <c r="N33" s="439">
        <f t="shared" si="2"/>
        <v>110055</v>
      </c>
      <c r="O33" s="441">
        <v>220110</v>
      </c>
      <c r="P33" s="430">
        <f t="shared" si="3"/>
        <v>136367</v>
      </c>
      <c r="Q33" s="437">
        <f t="shared" si="4"/>
        <v>272734</v>
      </c>
      <c r="R33" s="1857"/>
      <c r="S33" s="1857"/>
      <c r="T33" s="1857"/>
      <c r="U33" s="1883"/>
      <c r="V33" s="1889"/>
    </row>
    <row r="34" spans="1:22" ht="14.4" thickBot="1">
      <c r="A34" s="1848"/>
      <c r="B34" s="1851"/>
      <c r="C34" s="433" t="s">
        <v>690</v>
      </c>
      <c r="D34" s="471">
        <v>14</v>
      </c>
      <c r="E34" s="472"/>
      <c r="F34" s="473">
        <v>60000</v>
      </c>
      <c r="G34" s="437">
        <v>100000</v>
      </c>
      <c r="H34" s="438">
        <f t="shared" si="0"/>
        <v>123908.04597701148</v>
      </c>
      <c r="I34" s="437">
        <f t="shared" si="1"/>
        <v>1734712.6436781608</v>
      </c>
      <c r="J34" s="1857"/>
      <c r="K34" s="1854"/>
      <c r="L34" s="1880"/>
      <c r="M34" s="440">
        <v>8</v>
      </c>
      <c r="N34" s="439">
        <f t="shared" si="2"/>
        <v>76342.5</v>
      </c>
      <c r="O34" s="441">
        <v>610740</v>
      </c>
      <c r="P34" s="430">
        <f t="shared" si="3"/>
        <v>94594.5</v>
      </c>
      <c r="Q34" s="437">
        <f t="shared" si="4"/>
        <v>756756</v>
      </c>
      <c r="R34" s="1857"/>
      <c r="S34" s="1857"/>
      <c r="T34" s="1857"/>
      <c r="U34" s="1883"/>
      <c r="V34" s="1889"/>
    </row>
    <row r="35" spans="1:22" ht="14.4" thickBot="1">
      <c r="A35" s="1848"/>
      <c r="B35" s="1851"/>
      <c r="C35" s="433" t="s">
        <v>691</v>
      </c>
      <c r="D35" s="471">
        <v>5</v>
      </c>
      <c r="E35" s="472"/>
      <c r="F35" s="473">
        <v>50000</v>
      </c>
      <c r="G35" s="437">
        <v>70000</v>
      </c>
      <c r="H35" s="438">
        <f t="shared" si="0"/>
        <v>86735.632183908048</v>
      </c>
      <c r="I35" s="437">
        <f t="shared" si="1"/>
        <v>433678.16091954021</v>
      </c>
      <c r="J35" s="1857"/>
      <c r="K35" s="1854"/>
      <c r="L35" s="1880"/>
      <c r="M35" s="440">
        <v>8</v>
      </c>
      <c r="N35" s="439">
        <f t="shared" si="2"/>
        <v>48567.75</v>
      </c>
      <c r="O35" s="441">
        <v>388542</v>
      </c>
      <c r="P35" s="430">
        <f t="shared" si="3"/>
        <v>60179.35</v>
      </c>
      <c r="Q35" s="437">
        <f t="shared" si="4"/>
        <v>481434.8</v>
      </c>
      <c r="R35" s="1857"/>
      <c r="S35" s="1857"/>
      <c r="T35" s="1857"/>
      <c r="U35" s="1883"/>
      <c r="V35" s="1889"/>
    </row>
    <row r="36" spans="1:22" ht="14.4" thickBot="1">
      <c r="A36" s="1848"/>
      <c r="B36" s="1852"/>
      <c r="C36" s="443" t="s">
        <v>692</v>
      </c>
      <c r="D36" s="474">
        <v>0</v>
      </c>
      <c r="E36" s="475"/>
      <c r="F36" s="476">
        <v>35000</v>
      </c>
      <c r="G36" s="447">
        <v>50000</v>
      </c>
      <c r="H36" s="448">
        <f t="shared" si="0"/>
        <v>61954.022988505742</v>
      </c>
      <c r="I36" s="447">
        <f t="shared" si="1"/>
        <v>0</v>
      </c>
      <c r="J36" s="1858"/>
      <c r="K36" s="1854"/>
      <c r="L36" s="1880"/>
      <c r="M36" s="440">
        <v>1</v>
      </c>
      <c r="N36" s="439">
        <f t="shared" si="2"/>
        <v>30015</v>
      </c>
      <c r="O36" s="449">
        <v>30015</v>
      </c>
      <c r="P36" s="450">
        <f t="shared" si="3"/>
        <v>37191</v>
      </c>
      <c r="Q36" s="447">
        <f t="shared" si="4"/>
        <v>37191</v>
      </c>
      <c r="R36" s="1858"/>
      <c r="S36" s="1858"/>
      <c r="T36" s="1857"/>
      <c r="U36" s="1883"/>
      <c r="V36" s="1890"/>
    </row>
    <row r="37" spans="1:22" ht="28.2" thickBot="1">
      <c r="A37" s="1848"/>
      <c r="B37" s="420" t="s">
        <v>693</v>
      </c>
      <c r="C37" s="483" t="s">
        <v>694</v>
      </c>
      <c r="D37" s="484">
        <v>3</v>
      </c>
      <c r="E37" s="485"/>
      <c r="F37" s="486">
        <v>55000</v>
      </c>
      <c r="G37" s="487">
        <v>120000</v>
      </c>
      <c r="H37" s="488">
        <f t="shared" si="0"/>
        <v>148689.65517241377</v>
      </c>
      <c r="I37" s="487">
        <f t="shared" si="1"/>
        <v>446068.96551724127</v>
      </c>
      <c r="J37" s="431">
        <f>I37</f>
        <v>446068.96551724127</v>
      </c>
      <c r="K37" s="1854"/>
      <c r="L37" s="1880"/>
      <c r="M37" s="451">
        <v>3</v>
      </c>
      <c r="N37" s="428">
        <f t="shared" si="2"/>
        <v>85115</v>
      </c>
      <c r="O37" s="489">
        <v>255345</v>
      </c>
      <c r="P37" s="490">
        <f t="shared" si="3"/>
        <v>105464.33333333333</v>
      </c>
      <c r="Q37" s="487">
        <f t="shared" si="4"/>
        <v>316393</v>
      </c>
      <c r="R37" s="431">
        <f>Q37</f>
        <v>316393</v>
      </c>
      <c r="S37" s="431">
        <f>R37</f>
        <v>316393</v>
      </c>
      <c r="T37" s="1857"/>
      <c r="U37" s="1883"/>
      <c r="V37" s="740">
        <f>S37</f>
        <v>316393</v>
      </c>
    </row>
    <row r="38" spans="1:22" ht="14.4" customHeight="1" thickBot="1">
      <c r="A38" s="1848"/>
      <c r="B38" s="1850" t="s">
        <v>695</v>
      </c>
      <c r="C38" s="421" t="s">
        <v>696</v>
      </c>
      <c r="D38" s="477">
        <v>1</v>
      </c>
      <c r="E38" s="478"/>
      <c r="F38" s="479">
        <v>80000</v>
      </c>
      <c r="G38" s="425">
        <v>110000</v>
      </c>
      <c r="H38" s="426">
        <f t="shared" si="0"/>
        <v>136298.85057471265</v>
      </c>
      <c r="I38" s="425">
        <f t="shared" si="1"/>
        <v>136298.85057471265</v>
      </c>
      <c r="J38" s="1856">
        <f>SUM(I38:I40)</f>
        <v>297379.31034482759</v>
      </c>
      <c r="K38" s="1854"/>
      <c r="L38" s="1880"/>
      <c r="M38" s="451">
        <v>1</v>
      </c>
      <c r="N38" s="428">
        <f t="shared" si="2"/>
        <v>100050</v>
      </c>
      <c r="O38" s="429">
        <v>100050</v>
      </c>
      <c r="P38" s="452">
        <f t="shared" si="3"/>
        <v>123970</v>
      </c>
      <c r="Q38" s="425">
        <f t="shared" si="4"/>
        <v>123970</v>
      </c>
      <c r="R38" s="1856">
        <f>SUM(Q38:Q40)</f>
        <v>260337</v>
      </c>
      <c r="S38" s="1856">
        <f>SUM(R38:R40)</f>
        <v>260337</v>
      </c>
      <c r="T38" s="1857"/>
      <c r="U38" s="1883"/>
      <c r="V38" s="1888">
        <f>S38</f>
        <v>260337</v>
      </c>
    </row>
    <row r="39" spans="1:22" ht="14.4" thickBot="1">
      <c r="A39" s="1848"/>
      <c r="B39" s="1851"/>
      <c r="C39" s="433" t="s">
        <v>697</v>
      </c>
      <c r="D39" s="471">
        <v>1</v>
      </c>
      <c r="E39" s="472"/>
      <c r="F39" s="473">
        <v>50000</v>
      </c>
      <c r="G39" s="437">
        <v>70000</v>
      </c>
      <c r="H39" s="438">
        <f t="shared" si="0"/>
        <v>86735.632183908048</v>
      </c>
      <c r="I39" s="437">
        <f t="shared" si="1"/>
        <v>86735.632183908048</v>
      </c>
      <c r="J39" s="1857"/>
      <c r="K39" s="1854"/>
      <c r="L39" s="1880"/>
      <c r="M39" s="440">
        <v>1</v>
      </c>
      <c r="N39" s="439">
        <f t="shared" si="2"/>
        <v>60030</v>
      </c>
      <c r="O39" s="441">
        <v>60030</v>
      </c>
      <c r="P39" s="430">
        <f t="shared" si="3"/>
        <v>74382</v>
      </c>
      <c r="Q39" s="437">
        <f t="shared" si="4"/>
        <v>74382</v>
      </c>
      <c r="R39" s="1857"/>
      <c r="S39" s="1857"/>
      <c r="T39" s="1857"/>
      <c r="U39" s="1883"/>
      <c r="V39" s="1889"/>
    </row>
    <row r="40" spans="1:22" ht="14.4" thickBot="1">
      <c r="A40" s="1848"/>
      <c r="B40" s="1852"/>
      <c r="C40" s="443" t="s">
        <v>698</v>
      </c>
      <c r="D40" s="474">
        <v>1</v>
      </c>
      <c r="E40" s="475"/>
      <c r="F40" s="476">
        <v>40000</v>
      </c>
      <c r="G40" s="447">
        <v>60000</v>
      </c>
      <c r="H40" s="448">
        <f t="shared" si="0"/>
        <v>74344.827586206884</v>
      </c>
      <c r="I40" s="447">
        <f t="shared" si="1"/>
        <v>74344.827586206884</v>
      </c>
      <c r="J40" s="1858"/>
      <c r="K40" s="1854"/>
      <c r="L40" s="1880"/>
      <c r="M40" s="440">
        <v>1</v>
      </c>
      <c r="N40" s="439">
        <f t="shared" si="2"/>
        <v>50025</v>
      </c>
      <c r="O40" s="449">
        <v>50025</v>
      </c>
      <c r="P40" s="450">
        <f t="shared" si="3"/>
        <v>61985</v>
      </c>
      <c r="Q40" s="447">
        <f t="shared" si="4"/>
        <v>61985</v>
      </c>
      <c r="R40" s="1858"/>
      <c r="S40" s="1858"/>
      <c r="T40" s="1857"/>
      <c r="U40" s="1883"/>
      <c r="V40" s="1890"/>
    </row>
    <row r="41" spans="1:22" ht="14.4" thickBot="1">
      <c r="A41" s="1848"/>
      <c r="B41" s="1850" t="s">
        <v>699</v>
      </c>
      <c r="C41" s="421" t="s">
        <v>700</v>
      </c>
      <c r="D41" s="477">
        <v>1</v>
      </c>
      <c r="E41" s="478"/>
      <c r="F41" s="479">
        <v>100000</v>
      </c>
      <c r="G41" s="425">
        <v>120000</v>
      </c>
      <c r="H41" s="426">
        <f t="shared" si="0"/>
        <v>148689.65517241377</v>
      </c>
      <c r="I41" s="425">
        <f t="shared" si="1"/>
        <v>148689.65517241377</v>
      </c>
      <c r="J41" s="1856">
        <f>SUM(I41:I45)</f>
        <v>1685149.4252873561</v>
      </c>
      <c r="K41" s="1854"/>
      <c r="L41" s="1880"/>
      <c r="M41" s="451">
        <v>1</v>
      </c>
      <c r="N41" s="428">
        <f>O41/M41</f>
        <v>130065</v>
      </c>
      <c r="O41" s="429">
        <v>130065</v>
      </c>
      <c r="P41" s="452">
        <f t="shared" si="3"/>
        <v>161161</v>
      </c>
      <c r="Q41" s="425">
        <f t="shared" si="4"/>
        <v>161161</v>
      </c>
      <c r="R41" s="1856">
        <f>SUM(Q41:Q45)</f>
        <v>1254567.7264367817</v>
      </c>
      <c r="S41" s="1856">
        <f>SUM(R41:R45)</f>
        <v>1254567.7264367817</v>
      </c>
      <c r="T41" s="1857"/>
      <c r="U41" s="1883"/>
      <c r="V41" s="1888">
        <f>S41</f>
        <v>1254567.7264367817</v>
      </c>
    </row>
    <row r="42" spans="1:22" ht="14.4" thickBot="1">
      <c r="A42" s="1848"/>
      <c r="B42" s="1851"/>
      <c r="C42" s="433" t="s">
        <v>688</v>
      </c>
      <c r="D42" s="471">
        <v>1</v>
      </c>
      <c r="E42" s="472"/>
      <c r="F42" s="473">
        <v>100000</v>
      </c>
      <c r="G42" s="437">
        <v>140000</v>
      </c>
      <c r="H42" s="438">
        <f t="shared" si="0"/>
        <v>173471.2643678161</v>
      </c>
      <c r="I42" s="437">
        <f t="shared" si="1"/>
        <v>173471.2643678161</v>
      </c>
      <c r="J42" s="1857"/>
      <c r="K42" s="1854"/>
      <c r="L42" s="1880"/>
      <c r="M42" s="440">
        <v>1</v>
      </c>
      <c r="N42" s="439">
        <f t="shared" si="2"/>
        <v>115014</v>
      </c>
      <c r="O42" s="441">
        <v>115014</v>
      </c>
      <c r="P42" s="430">
        <f t="shared" si="3"/>
        <v>142511.6</v>
      </c>
      <c r="Q42" s="437">
        <f t="shared" si="4"/>
        <v>142511.6</v>
      </c>
      <c r="R42" s="1857"/>
      <c r="S42" s="1857"/>
      <c r="T42" s="1857"/>
      <c r="U42" s="1883"/>
      <c r="V42" s="1889"/>
    </row>
    <row r="43" spans="1:22" ht="14.4" thickBot="1">
      <c r="A43" s="1848"/>
      <c r="B43" s="1851"/>
      <c r="C43" s="433" t="s">
        <v>689</v>
      </c>
      <c r="D43" s="471">
        <v>3</v>
      </c>
      <c r="E43" s="472"/>
      <c r="F43" s="473">
        <v>80000</v>
      </c>
      <c r="G43" s="437">
        <v>140000</v>
      </c>
      <c r="H43" s="438">
        <f t="shared" si="0"/>
        <v>173471.2643678161</v>
      </c>
      <c r="I43" s="437">
        <f t="shared" si="1"/>
        <v>520413.79310344829</v>
      </c>
      <c r="J43" s="1857"/>
      <c r="K43" s="1854"/>
      <c r="L43" s="1880"/>
      <c r="M43" s="440">
        <v>2</v>
      </c>
      <c r="N43" s="439">
        <f>O43/M43</f>
        <v>81127.5</v>
      </c>
      <c r="O43" s="441">
        <f>[8]расшифровка!D79+[8]расшифровка!D78</f>
        <v>162255</v>
      </c>
      <c r="P43" s="430">
        <f t="shared" si="3"/>
        <v>100523.5</v>
      </c>
      <c r="Q43" s="437">
        <f t="shared" si="4"/>
        <v>201047</v>
      </c>
      <c r="R43" s="1857"/>
      <c r="S43" s="1857"/>
      <c r="T43" s="1857"/>
      <c r="U43" s="1883"/>
      <c r="V43" s="1889"/>
    </row>
    <row r="44" spans="1:22" ht="14.4" thickBot="1">
      <c r="A44" s="1848"/>
      <c r="B44" s="1851"/>
      <c r="C44" s="433" t="s">
        <v>690</v>
      </c>
      <c r="D44" s="471">
        <v>6</v>
      </c>
      <c r="E44" s="472"/>
      <c r="F44" s="473">
        <v>50000</v>
      </c>
      <c r="G44" s="437">
        <v>90000</v>
      </c>
      <c r="H44" s="438">
        <f t="shared" si="0"/>
        <v>111517.24137931035</v>
      </c>
      <c r="I44" s="437">
        <f>D44*H44</f>
        <v>669103.44827586203</v>
      </c>
      <c r="J44" s="1857"/>
      <c r="K44" s="1854"/>
      <c r="L44" s="1880"/>
      <c r="M44" s="440">
        <v>6</v>
      </c>
      <c r="N44" s="439">
        <f t="shared" si="2"/>
        <v>66694.166666666672</v>
      </c>
      <c r="O44" s="441">
        <f>[8]расшифровка!D80+[8]расшифровка!D81+[8]расшифровка!D88+[8]расшифровка!D87+[8]расшифровка!D84+[8]расшифровка!D89</f>
        <v>400165</v>
      </c>
      <c r="P44" s="430">
        <f t="shared" si="3"/>
        <v>82639.438697318008</v>
      </c>
      <c r="Q44" s="437">
        <f t="shared" si="4"/>
        <v>495836.63218390802</v>
      </c>
      <c r="R44" s="1857"/>
      <c r="S44" s="1857"/>
      <c r="T44" s="1857"/>
      <c r="U44" s="1883"/>
      <c r="V44" s="1889"/>
    </row>
    <row r="45" spans="1:22" ht="14.4" thickBot="1">
      <c r="A45" s="1848"/>
      <c r="B45" s="1851"/>
      <c r="C45" s="433" t="s">
        <v>691</v>
      </c>
      <c r="D45" s="471">
        <v>2</v>
      </c>
      <c r="E45" s="472"/>
      <c r="F45" s="473">
        <v>40000</v>
      </c>
      <c r="G45" s="437">
        <v>70000</v>
      </c>
      <c r="H45" s="438">
        <f t="shared" si="0"/>
        <v>86735.632183908048</v>
      </c>
      <c r="I45" s="437">
        <f t="shared" si="1"/>
        <v>173471.2643678161</v>
      </c>
      <c r="J45" s="1857"/>
      <c r="K45" s="1854"/>
      <c r="L45" s="1880"/>
      <c r="M45" s="440">
        <v>3</v>
      </c>
      <c r="N45" s="439">
        <f t="shared" si="2"/>
        <v>68333.333333333328</v>
      </c>
      <c r="O45" s="441">
        <f>[8]расшифровка!D86+[8]расшифровка!D85+[8]расшифровка!D83</f>
        <v>205000</v>
      </c>
      <c r="P45" s="430">
        <f t="shared" si="3"/>
        <v>84670.49808429119</v>
      </c>
      <c r="Q45" s="437">
        <f t="shared" si="4"/>
        <v>254011.49425287358</v>
      </c>
      <c r="R45" s="1857"/>
      <c r="S45" s="1857"/>
      <c r="T45" s="1857"/>
      <c r="U45" s="1883"/>
      <c r="V45" s="1889"/>
    </row>
    <row r="46" spans="1:22" ht="14.4" thickBot="1">
      <c r="A46" s="1848"/>
      <c r="B46" s="1850" t="s">
        <v>703</v>
      </c>
      <c r="C46" s="421" t="s">
        <v>688</v>
      </c>
      <c r="D46" s="477">
        <v>1</v>
      </c>
      <c r="E46" s="478"/>
      <c r="F46" s="479">
        <v>80000</v>
      </c>
      <c r="G46" s="425">
        <v>100000</v>
      </c>
      <c r="H46" s="426">
        <f t="shared" si="0"/>
        <v>123908.04597701148</v>
      </c>
      <c r="I46" s="425">
        <f t="shared" si="1"/>
        <v>123908.04597701148</v>
      </c>
      <c r="J46" s="1856">
        <f>SUM(I46:I49)</f>
        <v>768229.88505747111</v>
      </c>
      <c r="K46" s="1854"/>
      <c r="L46" s="1880"/>
      <c r="M46" s="451">
        <v>1</v>
      </c>
      <c r="N46" s="428">
        <f t="shared" si="2"/>
        <v>95260</v>
      </c>
      <c r="O46" s="429">
        <f>[8]расшифровка!D94</f>
        <v>95260</v>
      </c>
      <c r="P46" s="452">
        <f t="shared" si="3"/>
        <v>118034.80459770115</v>
      </c>
      <c r="Q46" s="425">
        <f t="shared" si="4"/>
        <v>118034.80459770115</v>
      </c>
      <c r="R46" s="1856">
        <f>SUM(Q46:Q49)</f>
        <v>753206.03448275861</v>
      </c>
      <c r="S46" s="1856">
        <f>SUM(R46:R49)</f>
        <v>753206.03448275861</v>
      </c>
      <c r="T46" s="1857"/>
      <c r="U46" s="1883"/>
      <c r="V46" s="1888">
        <f>S46</f>
        <v>753206.03448275861</v>
      </c>
    </row>
    <row r="47" spans="1:22" ht="14.4" thickBot="1">
      <c r="A47" s="1848"/>
      <c r="B47" s="1851"/>
      <c r="C47" s="433" t="s">
        <v>704</v>
      </c>
      <c r="D47" s="471">
        <v>1</v>
      </c>
      <c r="E47" s="472"/>
      <c r="F47" s="473">
        <v>70000</v>
      </c>
      <c r="G47" s="437">
        <v>90000</v>
      </c>
      <c r="H47" s="438">
        <f t="shared" si="0"/>
        <v>111517.24137931035</v>
      </c>
      <c r="I47" s="437">
        <f t="shared" si="1"/>
        <v>111517.24137931035</v>
      </c>
      <c r="J47" s="1857"/>
      <c r="K47" s="1854"/>
      <c r="L47" s="1880"/>
      <c r="M47" s="440">
        <v>1</v>
      </c>
      <c r="N47" s="439">
        <f t="shared" si="2"/>
        <v>80040</v>
      </c>
      <c r="O47" s="441">
        <f>[8]расшифровка!D95</f>
        <v>80040</v>
      </c>
      <c r="P47" s="430">
        <f t="shared" si="3"/>
        <v>99176</v>
      </c>
      <c r="Q47" s="437">
        <f t="shared" si="4"/>
        <v>99176</v>
      </c>
      <c r="R47" s="1857"/>
      <c r="S47" s="1857"/>
      <c r="T47" s="1857"/>
      <c r="U47" s="1883"/>
      <c r="V47" s="1889"/>
    </row>
    <row r="48" spans="1:22" ht="14.4" thickBot="1">
      <c r="A48" s="1848"/>
      <c r="B48" s="1851"/>
      <c r="C48" s="433" t="s">
        <v>705</v>
      </c>
      <c r="D48" s="471">
        <v>1</v>
      </c>
      <c r="E48" s="472"/>
      <c r="F48" s="473">
        <v>50000</v>
      </c>
      <c r="G48" s="437">
        <v>70000</v>
      </c>
      <c r="H48" s="438">
        <f t="shared" si="0"/>
        <v>86735.632183908048</v>
      </c>
      <c r="I48" s="437">
        <f t="shared" si="1"/>
        <v>86735.632183908048</v>
      </c>
      <c r="J48" s="1857"/>
      <c r="K48" s="1854"/>
      <c r="L48" s="1880"/>
      <c r="M48" s="440">
        <v>1</v>
      </c>
      <c r="N48" s="439">
        <f t="shared" si="2"/>
        <v>70035</v>
      </c>
      <c r="O48" s="441">
        <f>[8]расшифровка!D97</f>
        <v>70035</v>
      </c>
      <c r="P48" s="430">
        <f t="shared" si="3"/>
        <v>86779</v>
      </c>
      <c r="Q48" s="437">
        <f t="shared" si="4"/>
        <v>86779</v>
      </c>
      <c r="R48" s="1857"/>
      <c r="S48" s="1857"/>
      <c r="T48" s="1857"/>
      <c r="U48" s="1883"/>
      <c r="V48" s="1889"/>
    </row>
    <row r="49" spans="1:28" ht="14.4" thickBot="1">
      <c r="A49" s="1848"/>
      <c r="B49" s="1852"/>
      <c r="C49" s="443" t="s">
        <v>706</v>
      </c>
      <c r="D49" s="474">
        <v>6</v>
      </c>
      <c r="E49" s="475"/>
      <c r="F49" s="476">
        <v>40000</v>
      </c>
      <c r="G49" s="447">
        <v>60000</v>
      </c>
      <c r="H49" s="448">
        <f t="shared" si="0"/>
        <v>74344.827586206884</v>
      </c>
      <c r="I49" s="447">
        <f t="shared" si="1"/>
        <v>446068.96551724127</v>
      </c>
      <c r="J49" s="1858"/>
      <c r="K49" s="1854"/>
      <c r="L49" s="1880"/>
      <c r="M49" s="440">
        <v>8</v>
      </c>
      <c r="N49" s="439">
        <f t="shared" si="2"/>
        <v>45317.5</v>
      </c>
      <c r="O49" s="449">
        <f>[8]расшифровка!D98+[8]расшифровка!D99+[8]расшифровка!D100+[8]расшифровка!D101+[8]расшифровка!D102+[8]расшифровка!D103+[8]расшифровка!D106+[8]расшифровка!D107</f>
        <v>362540</v>
      </c>
      <c r="P49" s="450">
        <f t="shared" si="3"/>
        <v>56152.028735632179</v>
      </c>
      <c r="Q49" s="447">
        <f t="shared" si="4"/>
        <v>449216.22988505743</v>
      </c>
      <c r="R49" s="1858"/>
      <c r="S49" s="1858"/>
      <c r="T49" s="1857"/>
      <c r="U49" s="1883"/>
      <c r="V49" s="1890"/>
    </row>
    <row r="50" spans="1:28" ht="28.2" thickBot="1">
      <c r="A50" s="1848"/>
      <c r="B50" s="1850" t="s">
        <v>707</v>
      </c>
      <c r="C50" s="483" t="s">
        <v>708</v>
      </c>
      <c r="D50" s="484">
        <v>1</v>
      </c>
      <c r="E50" s="485"/>
      <c r="F50" s="486">
        <v>80000</v>
      </c>
      <c r="G50" s="487">
        <v>100000</v>
      </c>
      <c r="H50" s="426">
        <f t="shared" si="0"/>
        <v>123908.04597701148</v>
      </c>
      <c r="I50" s="425">
        <f t="shared" si="1"/>
        <v>123908.04597701148</v>
      </c>
      <c r="J50" s="1856">
        <f>SUM(I50:I52)</f>
        <v>371724.13793103443</v>
      </c>
      <c r="K50" s="1854"/>
      <c r="L50" s="1880"/>
      <c r="M50" s="451">
        <v>1</v>
      </c>
      <c r="N50" s="428">
        <f t="shared" si="2"/>
        <v>100000</v>
      </c>
      <c r="O50" s="489">
        <f>[8]расшифровка!D113</f>
        <v>100000</v>
      </c>
      <c r="P50" s="452">
        <f t="shared" si="3"/>
        <v>123908.04597701148</v>
      </c>
      <c r="Q50" s="425">
        <f t="shared" si="4"/>
        <v>123908.04597701148</v>
      </c>
      <c r="R50" s="1856">
        <f>SUM(Q50:Q52)</f>
        <v>335735.0459770115</v>
      </c>
      <c r="S50" s="1856">
        <f>SUM(R50:R52)</f>
        <v>335735.0459770115</v>
      </c>
      <c r="T50" s="1857"/>
      <c r="U50" s="1883"/>
      <c r="V50" s="1888">
        <f>S50</f>
        <v>335735.0459770115</v>
      </c>
    </row>
    <row r="51" spans="1:28" ht="14.4" thickBot="1">
      <c r="A51" s="1848"/>
      <c r="B51" s="1851"/>
      <c r="C51" s="443" t="s">
        <v>709</v>
      </c>
      <c r="D51" s="474">
        <v>1</v>
      </c>
      <c r="E51" s="475"/>
      <c r="F51" s="476">
        <v>60000</v>
      </c>
      <c r="G51" s="447">
        <v>80000</v>
      </c>
      <c r="H51" s="438">
        <f t="shared" si="0"/>
        <v>99126.436781609198</v>
      </c>
      <c r="I51" s="437">
        <f t="shared" si="1"/>
        <v>99126.436781609198</v>
      </c>
      <c r="J51" s="1857"/>
      <c r="K51" s="1854"/>
      <c r="L51" s="1880"/>
      <c r="M51" s="440">
        <v>1</v>
      </c>
      <c r="N51" s="439">
        <f t="shared" si="2"/>
        <v>60465</v>
      </c>
      <c r="O51" s="449">
        <f>[8]расшифровка!D115</f>
        <v>60465</v>
      </c>
      <c r="P51" s="430">
        <f t="shared" si="3"/>
        <v>74921</v>
      </c>
      <c r="Q51" s="437">
        <f t="shared" si="4"/>
        <v>74921</v>
      </c>
      <c r="R51" s="1857"/>
      <c r="S51" s="1857"/>
      <c r="T51" s="1857"/>
      <c r="U51" s="1883"/>
      <c r="V51" s="1889"/>
    </row>
    <row r="52" spans="1:28" ht="14.4" thickBot="1">
      <c r="A52" s="1911"/>
      <c r="B52" s="1852"/>
      <c r="C52" s="453" t="s">
        <v>710</v>
      </c>
      <c r="D52" s="491">
        <v>2</v>
      </c>
      <c r="E52" s="492"/>
      <c r="F52" s="493">
        <v>40000</v>
      </c>
      <c r="G52" s="457">
        <v>60000</v>
      </c>
      <c r="H52" s="458">
        <f t="shared" si="0"/>
        <v>74344.827586206884</v>
      </c>
      <c r="I52" s="457">
        <f t="shared" si="1"/>
        <v>148689.65517241377</v>
      </c>
      <c r="J52" s="1858"/>
      <c r="K52" s="1912"/>
      <c r="L52" s="1887"/>
      <c r="M52" s="459">
        <v>2</v>
      </c>
      <c r="N52" s="460">
        <f t="shared" si="2"/>
        <v>55245</v>
      </c>
      <c r="O52" s="461">
        <f>[8]расшифровка!D116+[8]расшифровка!D117</f>
        <v>110490</v>
      </c>
      <c r="P52" s="462">
        <f t="shared" si="3"/>
        <v>68453</v>
      </c>
      <c r="Q52" s="457">
        <f t="shared" si="4"/>
        <v>136906</v>
      </c>
      <c r="R52" s="1858"/>
      <c r="S52" s="1858"/>
      <c r="T52" s="1903"/>
      <c r="U52" s="1904"/>
      <c r="V52" s="1890"/>
    </row>
    <row r="53" spans="1:28" ht="14.4" thickBot="1">
      <c r="A53" s="655"/>
      <c r="B53" s="656"/>
      <c r="C53" s="657"/>
      <c r="D53" s="658"/>
      <c r="E53" s="655"/>
      <c r="F53" s="656"/>
      <c r="G53" s="659"/>
      <c r="H53" s="660"/>
      <c r="I53" s="659" t="s">
        <v>206</v>
      </c>
      <c r="J53" s="662">
        <f>SUM(J4:J52)</f>
        <v>9831499.8183908034</v>
      </c>
      <c r="K53" s="684">
        <f>K32+K4</f>
        <v>9831499.8183908034</v>
      </c>
      <c r="L53" s="682">
        <v>100</v>
      </c>
      <c r="M53" s="656"/>
      <c r="N53" s="660"/>
      <c r="O53" s="662"/>
      <c r="P53" s="662"/>
      <c r="Q53" s="662"/>
      <c r="R53" s="662" t="s">
        <v>206</v>
      </c>
      <c r="S53" s="662">
        <f>SUM(S4:S52)</f>
        <v>8005536.333333333</v>
      </c>
      <c r="T53" s="662">
        <f>T32+T4</f>
        <v>8179007.5977011491</v>
      </c>
      <c r="U53" s="661">
        <v>100</v>
      </c>
      <c r="V53" s="742">
        <f>SUM(V4:V52)</f>
        <v>8179007.5977011491</v>
      </c>
    </row>
    <row r="54" spans="1:28" s="673" customFormat="1" ht="14.4" thickBot="1">
      <c r="A54" s="1894" t="s">
        <v>163</v>
      </c>
      <c r="B54" s="1905" t="s">
        <v>770</v>
      </c>
      <c r="C54" s="663" t="s">
        <v>669</v>
      </c>
      <c r="D54" s="664">
        <v>1</v>
      </c>
      <c r="E54" s="665"/>
      <c r="F54" s="666">
        <v>100000</v>
      </c>
      <c r="G54" s="667">
        <v>100050</v>
      </c>
      <c r="H54" s="668">
        <f>G54/0.87+G54/0.87*7.8%</f>
        <v>123970</v>
      </c>
      <c r="I54" s="667">
        <f>D54*H54</f>
        <v>123970</v>
      </c>
      <c r="J54" s="1908">
        <f>SUM(I54:I57)</f>
        <v>1059475.7471264368</v>
      </c>
      <c r="K54" s="1897">
        <f>J54</f>
        <v>1059475.7471264368</v>
      </c>
      <c r="L54" s="1900">
        <v>8</v>
      </c>
      <c r="M54" s="669">
        <v>1</v>
      </c>
      <c r="N54" s="670">
        <f>O54/M54</f>
        <v>100050</v>
      </c>
      <c r="O54" s="671">
        <v>100050</v>
      </c>
      <c r="P54" s="672">
        <f>Q54/M54</f>
        <v>123970</v>
      </c>
      <c r="Q54" s="667">
        <f>O54/0.87+O54/0.87*7.8%</f>
        <v>123970</v>
      </c>
      <c r="R54" s="1891">
        <f>SUM(Q54:Q57)</f>
        <v>1010757.5816091954</v>
      </c>
      <c r="S54" s="1908">
        <f>SUM(R54:R57)</f>
        <v>1010757.5816091954</v>
      </c>
      <c r="T54" s="1897">
        <f>S54</f>
        <v>1010757.5816091954</v>
      </c>
      <c r="U54" s="1916">
        <v>100</v>
      </c>
      <c r="V54" s="1891">
        <f>T54</f>
        <v>1010757.5816091954</v>
      </c>
      <c r="W54" s="754"/>
      <c r="Y54" s="754"/>
      <c r="AA54" s="768"/>
      <c r="AB54" s="754"/>
    </row>
    <row r="55" spans="1:28" s="31" customFormat="1" ht="14.4" thickBot="1">
      <c r="A55" s="1895"/>
      <c r="B55" s="1906"/>
      <c r="C55" s="642" t="s">
        <v>701</v>
      </c>
      <c r="D55" s="643">
        <v>3</v>
      </c>
      <c r="E55" s="644"/>
      <c r="F55" s="645">
        <v>80000</v>
      </c>
      <c r="G55" s="646">
        <v>95000</v>
      </c>
      <c r="H55" s="647">
        <f>G55/0.87+G55/0.87*7.8%</f>
        <v>117712.64367816092</v>
      </c>
      <c r="I55" s="646">
        <f>D55*H55</f>
        <v>353137.93103448278</v>
      </c>
      <c r="J55" s="1909"/>
      <c r="K55" s="1898"/>
      <c r="L55" s="1901"/>
      <c r="M55" s="648">
        <v>3</v>
      </c>
      <c r="N55" s="649">
        <v>118442.66666666667</v>
      </c>
      <c r="O55" s="650">
        <v>355328</v>
      </c>
      <c r="P55" s="651">
        <v>146759.99386973181</v>
      </c>
      <c r="Q55" s="646">
        <v>440279.98160919541</v>
      </c>
      <c r="R55" s="1892"/>
      <c r="S55" s="1909"/>
      <c r="T55" s="1898"/>
      <c r="U55" s="1917"/>
      <c r="V55" s="1892"/>
      <c r="W55" s="755"/>
      <c r="Y55" s="755"/>
      <c r="AA55" s="769"/>
      <c r="AB55" s="755"/>
    </row>
    <row r="56" spans="1:28" s="31" customFormat="1" ht="14.4" thickBot="1">
      <c r="A56" s="1895"/>
      <c r="B56" s="1906"/>
      <c r="C56" s="642" t="s">
        <v>769</v>
      </c>
      <c r="D56" s="643">
        <v>3</v>
      </c>
      <c r="E56" s="644"/>
      <c r="F56" s="645">
        <v>80000</v>
      </c>
      <c r="G56" s="646">
        <v>110000</v>
      </c>
      <c r="H56" s="647">
        <f>G56/0.87+G56/0.87*7.8%</f>
        <v>136298.85057471265</v>
      </c>
      <c r="I56" s="646">
        <f>D56*H56</f>
        <v>408896.55172413797</v>
      </c>
      <c r="J56" s="1909"/>
      <c r="K56" s="1898"/>
      <c r="L56" s="1901"/>
      <c r="M56" s="648">
        <v>3</v>
      </c>
      <c r="N56" s="649">
        <v>81780</v>
      </c>
      <c r="O56" s="650">
        <v>245340</v>
      </c>
      <c r="P56" s="651">
        <v>101332</v>
      </c>
      <c r="Q56" s="646">
        <v>303996</v>
      </c>
      <c r="R56" s="1892"/>
      <c r="S56" s="1909"/>
      <c r="T56" s="1898"/>
      <c r="U56" s="1917"/>
      <c r="V56" s="1892"/>
      <c r="W56" s="755"/>
      <c r="Y56" s="755"/>
      <c r="AA56" s="769"/>
      <c r="AB56" s="755"/>
    </row>
    <row r="57" spans="1:28" s="680" customFormat="1" ht="14.4" thickBot="1">
      <c r="A57" s="1896"/>
      <c r="B57" s="1907"/>
      <c r="C57" s="674" t="s">
        <v>702</v>
      </c>
      <c r="D57" s="675">
        <v>1</v>
      </c>
      <c r="E57" s="676"/>
      <c r="F57" s="677">
        <v>80000</v>
      </c>
      <c r="G57" s="678">
        <v>140000</v>
      </c>
      <c r="H57" s="679">
        <f>G57/0.87+G57/0.87*7.8%</f>
        <v>173471.2643678161</v>
      </c>
      <c r="I57" s="678">
        <f>D57*H57</f>
        <v>173471.2643678161</v>
      </c>
      <c r="J57" s="1910"/>
      <c r="K57" s="1899"/>
      <c r="L57" s="1902"/>
      <c r="M57" s="648">
        <v>1</v>
      </c>
      <c r="N57" s="649">
        <v>115014</v>
      </c>
      <c r="O57" s="653">
        <v>115014</v>
      </c>
      <c r="P57" s="654">
        <v>142511.6</v>
      </c>
      <c r="Q57" s="652">
        <v>142511.6</v>
      </c>
      <c r="R57" s="1893"/>
      <c r="S57" s="1910"/>
      <c r="T57" s="1899"/>
      <c r="U57" s="1918"/>
      <c r="V57" s="1893"/>
      <c r="W57" s="756"/>
      <c r="Y57" s="756"/>
      <c r="AA57" s="770"/>
      <c r="AB57" s="756"/>
    </row>
    <row r="58" spans="1:28" s="736" customFormat="1" ht="14.4" thickBot="1">
      <c r="A58" s="724" t="s">
        <v>206</v>
      </c>
      <c r="B58" s="725"/>
      <c r="C58" s="726"/>
      <c r="D58" s="727"/>
      <c r="E58" s="727"/>
      <c r="F58" s="727"/>
      <c r="G58" s="728"/>
      <c r="H58" s="728"/>
      <c r="I58" s="728"/>
      <c r="J58" s="729"/>
      <c r="K58" s="730">
        <f>K53+K54</f>
        <v>10890975.565517239</v>
      </c>
      <c r="L58" s="731"/>
      <c r="M58" s="732"/>
      <c r="N58" s="733"/>
      <c r="O58" s="734"/>
      <c r="P58" s="728"/>
      <c r="Q58" s="728"/>
      <c r="R58" s="735"/>
      <c r="S58" s="729"/>
      <c r="T58" s="730">
        <f>T53+T54</f>
        <v>9189765.1793103442</v>
      </c>
      <c r="U58" s="731"/>
      <c r="V58" s="737"/>
      <c r="W58" s="757"/>
      <c r="Y58" s="757"/>
      <c r="AA58" s="771"/>
      <c r="AB58" s="757"/>
    </row>
    <row r="59" spans="1:28" s="77" customFormat="1" ht="14.4" thickBot="1">
      <c r="A59" s="685"/>
      <c r="B59" s="686"/>
      <c r="C59" s="687"/>
      <c r="D59" s="688"/>
      <c r="E59" s="688"/>
      <c r="F59" s="688"/>
      <c r="G59" s="689"/>
      <c r="H59" s="689"/>
      <c r="I59" s="689"/>
      <c r="J59" s="690"/>
      <c r="K59" s="691"/>
      <c r="L59" s="691"/>
      <c r="M59" s="692"/>
      <c r="N59" s="693"/>
      <c r="O59" s="694"/>
      <c r="P59" s="689"/>
      <c r="Q59" s="689"/>
      <c r="R59" s="695"/>
      <c r="S59" s="690"/>
      <c r="T59" s="691"/>
      <c r="U59" s="691"/>
      <c r="V59" s="743"/>
      <c r="W59" s="758"/>
      <c r="Y59" s="758"/>
      <c r="AA59" s="772"/>
      <c r="AB59" s="758"/>
    </row>
    <row r="60" spans="1:28" s="87" customFormat="1" ht="14.4" thickBot="1">
      <c r="A60" s="1919" t="s">
        <v>687</v>
      </c>
      <c r="B60" s="548" t="s">
        <v>688</v>
      </c>
      <c r="C60" s="554">
        <v>3</v>
      </c>
      <c r="D60" s="551"/>
      <c r="E60" s="496"/>
      <c r="F60" s="497">
        <v>140000</v>
      </c>
      <c r="G60" s="498">
        <f>F60/0.87+F60/0.87*7.8%</f>
        <v>173471.2643678161</v>
      </c>
      <c r="H60" s="497">
        <f>C60*G60</f>
        <v>520413.79310344829</v>
      </c>
      <c r="I60" s="1922">
        <f>SUM(H60:H64)</f>
        <v>3035747.1264367816</v>
      </c>
      <c r="J60" s="512">
        <v>300000</v>
      </c>
      <c r="K60" s="513">
        <f>C60*J60</f>
        <v>900000</v>
      </c>
      <c r="L60" s="499"/>
      <c r="M60" s="529"/>
      <c r="N60" s="527"/>
      <c r="O60" s="500"/>
      <c r="P60" s="500"/>
      <c r="Q60" s="500"/>
      <c r="R60" s="500"/>
      <c r="S60" s="501"/>
      <c r="T60" s="500"/>
      <c r="U60" s="499"/>
      <c r="V60" s="744"/>
      <c r="W60" s="759"/>
      <c r="Y60" s="759"/>
      <c r="AA60" s="773"/>
      <c r="AB60" s="759"/>
    </row>
    <row r="61" spans="1:28" ht="14.4" thickBot="1">
      <c r="A61" s="1920"/>
      <c r="B61" s="549" t="s">
        <v>689</v>
      </c>
      <c r="C61" s="555">
        <v>2</v>
      </c>
      <c r="D61" s="552"/>
      <c r="E61" s="473"/>
      <c r="F61" s="437">
        <v>140000</v>
      </c>
      <c r="G61" s="438">
        <f>F61/0.87+F61/0.87*7.8%</f>
        <v>173471.2643678161</v>
      </c>
      <c r="H61" s="437">
        <f>C61*G61</f>
        <v>346942.52873563219</v>
      </c>
      <c r="I61" s="1864"/>
      <c r="J61" s="514">
        <v>800000</v>
      </c>
      <c r="K61" s="515">
        <f>C61*J61</f>
        <v>1600000</v>
      </c>
      <c r="L61" s="494"/>
      <c r="M61" s="153"/>
      <c r="N61" s="526"/>
      <c r="O61" s="382"/>
      <c r="P61" s="382"/>
      <c r="Q61" s="382"/>
      <c r="R61" s="382"/>
      <c r="S61" s="495"/>
      <c r="T61" s="382"/>
      <c r="U61" s="494"/>
      <c r="V61" s="745"/>
    </row>
    <row r="62" spans="1:28" ht="14.4" thickBot="1">
      <c r="A62" s="1920"/>
      <c r="B62" s="549" t="s">
        <v>690</v>
      </c>
      <c r="C62" s="555">
        <v>14</v>
      </c>
      <c r="D62" s="552"/>
      <c r="E62" s="473"/>
      <c r="F62" s="437">
        <v>100000</v>
      </c>
      <c r="G62" s="438">
        <f>F62/0.87+F62/0.87*7.8%</f>
        <v>123908.04597701148</v>
      </c>
      <c r="H62" s="437">
        <f>C62*G62</f>
        <v>1734712.6436781608</v>
      </c>
      <c r="I62" s="1864"/>
      <c r="J62" s="514">
        <v>800000</v>
      </c>
      <c r="K62" s="515">
        <f>C62*J62</f>
        <v>11200000</v>
      </c>
      <c r="L62" s="494"/>
      <c r="M62" s="153"/>
      <c r="N62" s="526"/>
      <c r="O62" s="382"/>
      <c r="P62" s="382"/>
      <c r="Q62" s="382"/>
      <c r="R62" s="382"/>
      <c r="S62" s="495"/>
      <c r="T62" s="382"/>
      <c r="U62" s="494"/>
      <c r="V62" s="745"/>
    </row>
    <row r="63" spans="1:28" ht="14.4" thickBot="1">
      <c r="A63" s="1920"/>
      <c r="B63" s="549" t="s">
        <v>691</v>
      </c>
      <c r="C63" s="555">
        <v>5</v>
      </c>
      <c r="D63" s="552"/>
      <c r="E63" s="473"/>
      <c r="F63" s="437">
        <v>70000</v>
      </c>
      <c r="G63" s="438">
        <f>F63/0.87+F63/0.87*7.8%</f>
        <v>86735.632183908048</v>
      </c>
      <c r="H63" s="437">
        <f>C63*G63</f>
        <v>433678.16091954021</v>
      </c>
      <c r="I63" s="1864"/>
      <c r="J63" s="514">
        <v>600000</v>
      </c>
      <c r="K63" s="515">
        <f>C63*J63</f>
        <v>3000000</v>
      </c>
      <c r="L63" s="494"/>
      <c r="M63" s="153"/>
      <c r="N63" s="526"/>
      <c r="O63" s="382"/>
      <c r="P63" s="382"/>
      <c r="Q63" s="382"/>
      <c r="R63" s="382"/>
      <c r="S63" s="495"/>
      <c r="T63" s="382"/>
      <c r="U63" s="494"/>
      <c r="V63" s="745"/>
    </row>
    <row r="64" spans="1:28" s="88" customFormat="1" ht="14.4" thickBot="1">
      <c r="A64" s="1921"/>
      <c r="B64" s="550" t="s">
        <v>692</v>
      </c>
      <c r="C64" s="556">
        <v>0</v>
      </c>
      <c r="D64" s="553"/>
      <c r="E64" s="502"/>
      <c r="F64" s="503">
        <v>50000</v>
      </c>
      <c r="G64" s="504">
        <f>F64/0.87+F64/0.87*7.8%</f>
        <v>61954.022988505742</v>
      </c>
      <c r="H64" s="503">
        <f>C64*G64</f>
        <v>0</v>
      </c>
      <c r="I64" s="1923"/>
      <c r="J64" s="516">
        <v>450000</v>
      </c>
      <c r="K64" s="517"/>
      <c r="L64" s="505"/>
      <c r="M64" s="530"/>
      <c r="N64" s="528"/>
      <c r="O64" s="506"/>
      <c r="P64" s="506"/>
      <c r="Q64" s="506"/>
      <c r="R64" s="506"/>
      <c r="S64" s="507"/>
      <c r="T64" s="506"/>
      <c r="U64" s="505"/>
      <c r="V64" s="746"/>
      <c r="W64" s="760"/>
      <c r="Y64" s="760"/>
      <c r="AA64" s="774"/>
      <c r="AB64" s="760"/>
    </row>
    <row r="65" spans="1:28" s="697" customFormat="1" ht="14.4" thickBot="1">
      <c r="A65" s="789"/>
      <c r="B65" s="790"/>
      <c r="C65" s="791"/>
      <c r="D65" s="688"/>
      <c r="E65" s="688"/>
      <c r="F65" s="689"/>
      <c r="G65" s="689"/>
      <c r="H65" s="689"/>
      <c r="I65" s="695"/>
      <c r="J65" s="696"/>
      <c r="K65" s="782">
        <f>SUM(K60:K64)</f>
        <v>16700000</v>
      </c>
      <c r="M65" s="698"/>
      <c r="N65" s="699"/>
      <c r="O65" s="700"/>
      <c r="P65" s="700"/>
      <c r="Q65" s="700"/>
      <c r="R65" s="700"/>
      <c r="S65" s="701"/>
      <c r="T65" s="700"/>
      <c r="U65" s="706"/>
      <c r="V65" s="747"/>
      <c r="W65" s="761"/>
      <c r="Y65" s="761"/>
      <c r="AA65" s="775"/>
      <c r="AB65" s="761"/>
    </row>
    <row r="66" spans="1:28" s="697" customFormat="1" ht="13.8" thickBot="1">
      <c r="A66" s="1924" t="s">
        <v>575</v>
      </c>
      <c r="B66" s="1924"/>
      <c r="C66" s="1924"/>
      <c r="D66" s="1925"/>
      <c r="E66" s="1926" t="s">
        <v>639</v>
      </c>
      <c r="F66" s="1924"/>
      <c r="G66" s="1924"/>
      <c r="H66" s="1924"/>
      <c r="I66" s="793"/>
      <c r="J66" s="792"/>
      <c r="K66" s="700"/>
      <c r="L66" s="706"/>
      <c r="M66" s="747"/>
      <c r="N66" s="761"/>
      <c r="P66" s="761"/>
      <c r="R66" s="775"/>
      <c r="S66" s="761"/>
    </row>
    <row r="67" spans="1:28" s="702" customFormat="1" ht="13.8" thickBot="1">
      <c r="A67" s="783" t="s">
        <v>774</v>
      </c>
      <c r="B67" s="705">
        <f>B68+B76+B79</f>
        <v>18800000</v>
      </c>
      <c r="D67" s="703"/>
      <c r="E67" s="704" t="s">
        <v>774</v>
      </c>
      <c r="F67" s="705">
        <v>0</v>
      </c>
      <c r="G67" s="1913" t="s">
        <v>775</v>
      </c>
      <c r="H67" s="1913"/>
      <c r="I67" s="1914"/>
      <c r="J67" s="1913"/>
      <c r="K67" s="1913"/>
      <c r="L67" s="1913"/>
      <c r="M67" s="1913"/>
      <c r="N67" s="1913"/>
      <c r="O67" s="1913"/>
      <c r="P67" s="1913"/>
      <c r="Q67" s="1913"/>
      <c r="R67" s="1913"/>
      <c r="S67" s="1915"/>
    </row>
    <row r="68" spans="1:28" s="508" customFormat="1" ht="13.8" thickBot="1">
      <c r="A68" s="784" t="s">
        <v>721</v>
      </c>
      <c r="B68" s="519">
        <f>K65</f>
        <v>16700000</v>
      </c>
      <c r="C68" s="519">
        <f>B68</f>
        <v>16700000</v>
      </c>
      <c r="D68" s="532" t="s">
        <v>715</v>
      </c>
      <c r="E68" s="520" t="s">
        <v>721</v>
      </c>
      <c r="F68" s="519">
        <f>SUM(O60:O64)</f>
        <v>0</v>
      </c>
      <c r="G68" s="519">
        <v>1</v>
      </c>
      <c r="H68" s="532" t="s">
        <v>715</v>
      </c>
      <c r="I68" s="510">
        <v>2</v>
      </c>
      <c r="J68" s="511">
        <v>3</v>
      </c>
      <c r="K68" s="510">
        <v>4</v>
      </c>
      <c r="L68" s="509">
        <v>5</v>
      </c>
      <c r="M68" s="748">
        <v>6</v>
      </c>
      <c r="N68" s="762">
        <v>7</v>
      </c>
      <c r="O68" s="508">
        <v>8</v>
      </c>
      <c r="P68" s="762">
        <v>9</v>
      </c>
      <c r="Q68" s="508">
        <v>10</v>
      </c>
      <c r="R68" s="776">
        <v>11</v>
      </c>
      <c r="S68" s="762">
        <v>12</v>
      </c>
    </row>
    <row r="69" spans="1:28" s="154" customFormat="1">
      <c r="A69" s="785" t="s">
        <v>711</v>
      </c>
      <c r="B69" s="181">
        <f>K32</f>
        <v>6542344.8275862057</v>
      </c>
      <c r="C69" s="781">
        <f>SUM(C70:C75)+SUM(C77:C78)</f>
        <v>7601820.5747126425</v>
      </c>
      <c r="D69" s="547">
        <f>B69/B68*100</f>
        <v>39.175717530456325</v>
      </c>
      <c r="E69" s="542" t="s">
        <v>711</v>
      </c>
      <c r="F69" s="181"/>
      <c r="G69" s="781">
        <f>SUM(G70:G75)+SUM(G77:G78)</f>
        <v>5900610.1885057464</v>
      </c>
      <c r="H69" s="547"/>
      <c r="I69" s="781">
        <f>SUM(I70:I78)</f>
        <v>6031703.2252136748</v>
      </c>
      <c r="J69" s="781">
        <f t="shared" ref="J69:S69" si="5">SUM(J70:J78)</f>
        <v>6169698.3687793426</v>
      </c>
      <c r="K69" s="781">
        <f t="shared" si="5"/>
        <v>6312299.7783589521</v>
      </c>
      <c r="L69" s="781">
        <f t="shared" si="5"/>
        <v>6459672.0088005606</v>
      </c>
      <c r="M69" s="781">
        <f t="shared" si="5"/>
        <v>6611985.6482420461</v>
      </c>
      <c r="N69" s="781">
        <f t="shared" si="5"/>
        <v>6769417.5428895466</v>
      </c>
      <c r="O69" s="781">
        <f t="shared" si="5"/>
        <v>6932151.0302694151</v>
      </c>
      <c r="P69" s="781">
        <f t="shared" si="5"/>
        <v>7100376.1812760523</v>
      </c>
      <c r="Q69" s="781">
        <f t="shared" si="5"/>
        <v>7274290.0513502881</v>
      </c>
      <c r="R69" s="781">
        <f t="shared" si="5"/>
        <v>7454096.9411358666</v>
      </c>
      <c r="S69" s="781">
        <f t="shared" si="5"/>
        <v>7640008.6669748481</v>
      </c>
    </row>
    <row r="70" spans="1:28">
      <c r="A70" s="786" t="s">
        <v>714</v>
      </c>
      <c r="B70" s="335"/>
      <c r="C70" s="524">
        <f>J32</f>
        <v>2973793.1034482759</v>
      </c>
      <c r="D70" s="531">
        <f t="shared" ref="D70:D75" si="6">C70/$C$68*100</f>
        <v>17.807144332025604</v>
      </c>
      <c r="E70" s="533" t="s">
        <v>714</v>
      </c>
      <c r="F70" s="335"/>
      <c r="G70" s="524">
        <f>R32</f>
        <v>1969613.8</v>
      </c>
      <c r="H70" s="531">
        <f>(C70-G70)/G70*100</f>
        <v>50.983563551812836</v>
      </c>
      <c r="I70" s="382">
        <f>G70+G70*($H$70/13)%</f>
        <v>2046858.3618037135</v>
      </c>
      <c r="J70" s="382">
        <f>I70+I70*($H$70/13)%</f>
        <v>2127132.310550313</v>
      </c>
      <c r="K70" s="382">
        <f>J70+J70*($H$70/13)%</f>
        <v>2210554.4531180486</v>
      </c>
      <c r="L70" s="382">
        <f t="shared" ref="L70:S70" si="7">K70+K70*($H$70/13)%</f>
        <v>2297248.2557682693</v>
      </c>
      <c r="M70" s="382">
        <f t="shared" si="7"/>
        <v>2387342.0268776943</v>
      </c>
      <c r="N70" s="382">
        <f t="shared" si="7"/>
        <v>2480969.1068371041</v>
      </c>
      <c r="O70" s="382">
        <f t="shared" si="7"/>
        <v>2578268.0653974991</v>
      </c>
      <c r="P70" s="382">
        <f t="shared" si="7"/>
        <v>2679382.9067558092</v>
      </c>
      <c r="Q70" s="382">
        <f t="shared" si="7"/>
        <v>2784463.2826836752</v>
      </c>
      <c r="R70" s="382">
        <f t="shared" si="7"/>
        <v>2893664.7140147462</v>
      </c>
      <c r="S70" s="764">
        <f t="shared" si="7"/>
        <v>3007148.8208182915</v>
      </c>
      <c r="V70"/>
      <c r="W70"/>
      <c r="Y70"/>
      <c r="AA70"/>
      <c r="AB70"/>
    </row>
    <row r="71" spans="1:28">
      <c r="A71" s="786" t="s">
        <v>716</v>
      </c>
      <c r="B71" s="33"/>
      <c r="C71" s="524">
        <f>J37</f>
        <v>446068.96551724127</v>
      </c>
      <c r="D71" s="531">
        <f t="shared" si="6"/>
        <v>2.67107164980384</v>
      </c>
      <c r="E71" s="533" t="s">
        <v>716</v>
      </c>
      <c r="F71" s="33"/>
      <c r="G71" s="524">
        <f>R37</f>
        <v>316393</v>
      </c>
      <c r="H71" s="531">
        <f>(C71-G71)/G71*100</f>
        <v>40.985725195323944</v>
      </c>
      <c r="I71" s="382">
        <f>G71+G71*($H$71/13)%</f>
        <v>326368.07427055703</v>
      </c>
      <c r="J71" s="382">
        <f>I71+I71*($H$71/13)%</f>
        <v>336657.63750484941</v>
      </c>
      <c r="K71" s="382">
        <f t="shared" ref="K71:S71" si="8">J71+J71*($H$71/13)%</f>
        <v>347271.60474768077</v>
      </c>
      <c r="L71" s="382">
        <f t="shared" si="8"/>
        <v>358220.20364024048</v>
      </c>
      <c r="M71" s="382">
        <f t="shared" si="8"/>
        <v>369513.98427548038</v>
      </c>
      <c r="N71" s="382">
        <f t="shared" si="8"/>
        <v>381163.82936420658</v>
      </c>
      <c r="O71" s="382">
        <f t="shared" si="8"/>
        <v>393180.96472168254</v>
      </c>
      <c r="P71" s="382">
        <f t="shared" si="8"/>
        <v>405576.97008484812</v>
      </c>
      <c r="Q71" s="382">
        <f t="shared" si="8"/>
        <v>418363.79027057864</v>
      </c>
      <c r="R71" s="382">
        <f t="shared" si="8"/>
        <v>431553.74668573565</v>
      </c>
      <c r="S71" s="764">
        <f t="shared" si="8"/>
        <v>445159.54920010024</v>
      </c>
      <c r="V71"/>
      <c r="W71"/>
      <c r="Y71"/>
      <c r="AA71"/>
      <c r="AB71"/>
    </row>
    <row r="72" spans="1:28">
      <c r="A72" s="786" t="s">
        <v>717</v>
      </c>
      <c r="B72" s="335"/>
      <c r="C72" s="525">
        <f>J41</f>
        <v>1685149.4252873561</v>
      </c>
      <c r="D72" s="531">
        <f t="shared" si="6"/>
        <v>10.090715121481173</v>
      </c>
      <c r="E72" s="533" t="s">
        <v>717</v>
      </c>
      <c r="F72" s="335"/>
      <c r="G72" s="525">
        <f>R41</f>
        <v>1254567.7264367817</v>
      </c>
      <c r="H72" s="531">
        <f t="shared" ref="H72:H78" si="9">(C72-G72)/G72*100</f>
        <v>34.321120317155845</v>
      </c>
      <c r="I72" s="382">
        <f>G72+G72*($H$72/13)%</f>
        <v>1287689.3955791336</v>
      </c>
      <c r="J72" s="382">
        <f>I72+I72*($H$72/12)%</f>
        <v>1324518.5144764646</v>
      </c>
      <c r="K72" s="382">
        <f t="shared" ref="K72:S72" si="10">J72+J72*($H$72/12)%</f>
        <v>1362400.9805578373</v>
      </c>
      <c r="L72" s="382">
        <f t="shared" si="10"/>
        <v>1401366.9205361179</v>
      </c>
      <c r="M72" s="382">
        <f t="shared" si="10"/>
        <v>1441447.3227762864</v>
      </c>
      <c r="N72" s="382">
        <f t="shared" si="10"/>
        <v>1482674.0619394924</v>
      </c>
      <c r="O72" s="382">
        <f t="shared" si="10"/>
        <v>1525079.9243319519</v>
      </c>
      <c r="P72" s="382">
        <f t="shared" si="10"/>
        <v>1568698.6339788483</v>
      </c>
      <c r="Q72" s="382">
        <f t="shared" si="10"/>
        <v>1613564.87944397</v>
      </c>
      <c r="R72" s="382">
        <f t="shared" si="10"/>
        <v>1659714.3414164146</v>
      </c>
      <c r="S72" s="764">
        <f t="shared" si="10"/>
        <v>1707183.7210862995</v>
      </c>
      <c r="V72"/>
      <c r="W72"/>
      <c r="Y72"/>
      <c r="AA72"/>
      <c r="AB72"/>
    </row>
    <row r="73" spans="1:28">
      <c r="A73" s="786" t="s">
        <v>718</v>
      </c>
      <c r="B73" s="335"/>
      <c r="C73" s="525">
        <f>J50</f>
        <v>371724.13793103443</v>
      </c>
      <c r="D73" s="531">
        <f t="shared" si="6"/>
        <v>2.2258930415032001</v>
      </c>
      <c r="E73" s="533" t="s">
        <v>718</v>
      </c>
      <c r="F73" s="335"/>
      <c r="G73" s="525">
        <f>R50</f>
        <v>335735.0459770115</v>
      </c>
      <c r="H73" s="531">
        <f t="shared" si="9"/>
        <v>10.719492166595913</v>
      </c>
      <c r="I73" s="382">
        <f>G73+G73*($H$73/12)%</f>
        <v>338734.13697318005</v>
      </c>
      <c r="J73" s="382">
        <f>I73+I73*($H$73/13)%</f>
        <v>341527.25845613593</v>
      </c>
      <c r="K73" s="382">
        <f t="shared" ref="K73:S73" si="11">J73+J73*($H$73/13)%</f>
        <v>344343.41135744326</v>
      </c>
      <c r="L73" s="382">
        <f t="shared" si="11"/>
        <v>347182.78558872407</v>
      </c>
      <c r="M73" s="382">
        <f t="shared" si="11"/>
        <v>350045.57262756658</v>
      </c>
      <c r="N73" s="382">
        <f t="shared" si="11"/>
        <v>352931.96553043794</v>
      </c>
      <c r="O73" s="382">
        <f t="shared" si="11"/>
        <v>355842.15894570318</v>
      </c>
      <c r="P73" s="382">
        <f t="shared" si="11"/>
        <v>358776.34912675165</v>
      </c>
      <c r="Q73" s="382">
        <f t="shared" si="11"/>
        <v>361734.73394523171</v>
      </c>
      <c r="R73" s="382">
        <f t="shared" si="11"/>
        <v>364717.51290439448</v>
      </c>
      <c r="S73" s="764">
        <f t="shared" si="11"/>
        <v>367724.88715254754</v>
      </c>
      <c r="V73"/>
      <c r="W73"/>
      <c r="Y73"/>
      <c r="AA73"/>
      <c r="AB73"/>
    </row>
    <row r="74" spans="1:28">
      <c r="A74" s="786" t="s">
        <v>719</v>
      </c>
      <c r="B74" s="335"/>
      <c r="C74" s="525">
        <f>J46</f>
        <v>768229.88505747111</v>
      </c>
      <c r="D74" s="531">
        <f t="shared" si="6"/>
        <v>4.600178952439947</v>
      </c>
      <c r="E74" s="533" t="s">
        <v>719</v>
      </c>
      <c r="F74" s="335"/>
      <c r="G74" s="525">
        <f>R46</f>
        <v>753206.03448275861</v>
      </c>
      <c r="H74" s="531">
        <f t="shared" si="9"/>
        <v>1.9946535060661956</v>
      </c>
      <c r="I74" s="382">
        <f>G74+G74*($H$74/13)%</f>
        <v>754361.71529619803</v>
      </c>
      <c r="J74" s="382">
        <f>I74+I74*($H$74/13)%</f>
        <v>755519.16932716547</v>
      </c>
      <c r="K74" s="382">
        <f t="shared" ref="K74:S74" si="12">J74+J74*($H$74/13)%</f>
        <v>756678.39929639525</v>
      </c>
      <c r="L74" s="382">
        <f t="shared" si="12"/>
        <v>757839.40792879614</v>
      </c>
      <c r="M74" s="382">
        <f t="shared" si="12"/>
        <v>759002.19795345794</v>
      </c>
      <c r="N74" s="382">
        <f t="shared" si="12"/>
        <v>760166.77210365783</v>
      </c>
      <c r="O74" s="382">
        <f t="shared" si="12"/>
        <v>761333.13311686669</v>
      </c>
      <c r="P74" s="382">
        <f t="shared" si="12"/>
        <v>762501.28373475582</v>
      </c>
      <c r="Q74" s="382">
        <f t="shared" si="12"/>
        <v>763671.22670320317</v>
      </c>
      <c r="R74" s="382">
        <f t="shared" si="12"/>
        <v>764842.96477229963</v>
      </c>
      <c r="S74" s="764">
        <f t="shared" si="12"/>
        <v>766016.50069635594</v>
      </c>
      <c r="V74"/>
      <c r="W74"/>
      <c r="Y74"/>
      <c r="AA74"/>
      <c r="AB74"/>
    </row>
    <row r="75" spans="1:28" ht="13.8" thickBot="1">
      <c r="A75" s="786" t="s">
        <v>720</v>
      </c>
      <c r="B75" s="335"/>
      <c r="C75" s="525">
        <f>J38</f>
        <v>297379.31034482759</v>
      </c>
      <c r="D75" s="531">
        <f t="shared" si="6"/>
        <v>1.7807144332025606</v>
      </c>
      <c r="E75" s="533" t="s">
        <v>720</v>
      </c>
      <c r="F75" s="335"/>
      <c r="G75" s="525">
        <f>R38</f>
        <v>260337</v>
      </c>
      <c r="H75" s="531">
        <f t="shared" si="9"/>
        <v>14.228599985721427</v>
      </c>
      <c r="I75" s="382">
        <f>G75+G75*($H$75/13)%</f>
        <v>263186.40848806367</v>
      </c>
      <c r="J75" s="382">
        <f>I75+I75*($H$75/13)%</f>
        <v>266067.00397118315</v>
      </c>
      <c r="K75" s="382">
        <f t="shared" ref="K75:S75" si="13">J75+J75*($H$75/13)%</f>
        <v>268979.12779341801</v>
      </c>
      <c r="L75" s="382">
        <f t="shared" si="13"/>
        <v>271923.12503486476</v>
      </c>
      <c r="M75" s="382">
        <f t="shared" si="13"/>
        <v>274899.34455254814</v>
      </c>
      <c r="N75" s="382">
        <f t="shared" si="13"/>
        <v>277908.13902175985</v>
      </c>
      <c r="O75" s="382">
        <f t="shared" si="13"/>
        <v>280949.86497784976</v>
      </c>
      <c r="P75" s="382">
        <f t="shared" si="13"/>
        <v>284024.88285847456</v>
      </c>
      <c r="Q75" s="382">
        <f t="shared" si="13"/>
        <v>287133.55704630888</v>
      </c>
      <c r="R75" s="382">
        <f t="shared" si="13"/>
        <v>290276.25591222371</v>
      </c>
      <c r="S75" s="764">
        <f t="shared" si="13"/>
        <v>293453.35185893753</v>
      </c>
      <c r="V75"/>
      <c r="W75"/>
      <c r="Y75"/>
      <c r="AA75"/>
      <c r="AB75"/>
    </row>
    <row r="76" spans="1:28" s="560" customFormat="1" ht="13.8" thickBot="1">
      <c r="A76" s="787" t="s">
        <v>722</v>
      </c>
      <c r="B76" s="561">
        <v>2000000</v>
      </c>
      <c r="C76" s="563"/>
      <c r="D76" s="564">
        <f>D77+D78</f>
        <v>52.973787356321843</v>
      </c>
      <c r="E76" s="562" t="s">
        <v>722</v>
      </c>
      <c r="F76" s="561">
        <v>0</v>
      </c>
      <c r="G76" s="563"/>
      <c r="H76" s="779"/>
      <c r="I76" s="780"/>
      <c r="J76" s="780"/>
      <c r="K76" s="565"/>
      <c r="L76" s="559"/>
      <c r="M76" s="750"/>
      <c r="N76" s="765"/>
      <c r="P76" s="765"/>
      <c r="R76" s="558"/>
      <c r="S76" s="765"/>
    </row>
    <row r="77" spans="1:28">
      <c r="A77" s="786" t="s">
        <v>723</v>
      </c>
      <c r="B77" s="335"/>
      <c r="C77" s="525">
        <f>I54+I57</f>
        <v>297441.2643678161</v>
      </c>
      <c r="D77" s="531">
        <f>C77/B76*100</f>
        <v>14.872063218390805</v>
      </c>
      <c r="E77" s="533" t="s">
        <v>723</v>
      </c>
      <c r="F77" s="335"/>
      <c r="G77" s="525">
        <f>Q54+Q57</f>
        <v>266481.59999999998</v>
      </c>
      <c r="H77" s="531">
        <f t="shared" si="9"/>
        <v>11.617936986199469</v>
      </c>
      <c r="I77" s="382">
        <f>G77+G77*($H$77/13)%</f>
        <v>268863.11264367815</v>
      </c>
      <c r="J77" s="382">
        <f>I77+I77*($H$77/13)%</f>
        <v>271265.90856722253</v>
      </c>
      <c r="K77" s="382">
        <f t="shared" ref="K77:S77" si="14">J77+J77*($H$77/13)%</f>
        <v>273690.17797663651</v>
      </c>
      <c r="L77" s="382">
        <f t="shared" si="14"/>
        <v>276136.11277777056</v>
      </c>
      <c r="M77" s="382">
        <f t="shared" si="14"/>
        <v>278603.90659151378</v>
      </c>
      <c r="N77" s="382">
        <f t="shared" si="14"/>
        <v>281093.75476912089</v>
      </c>
      <c r="O77" s="382">
        <f t="shared" si="14"/>
        <v>283605.85440767615</v>
      </c>
      <c r="P77" s="382">
        <f t="shared" si="14"/>
        <v>286140.4043656959</v>
      </c>
      <c r="Q77" s="382">
        <f t="shared" si="14"/>
        <v>288697.60527886997</v>
      </c>
      <c r="R77" s="382">
        <f t="shared" si="14"/>
        <v>291277.6595759443</v>
      </c>
      <c r="S77" s="764">
        <f t="shared" si="14"/>
        <v>293880.77149474504</v>
      </c>
      <c r="V77"/>
      <c r="W77"/>
      <c r="Y77"/>
      <c r="AA77"/>
      <c r="AB77"/>
    </row>
    <row r="78" spans="1:28" ht="13.8" thickBot="1">
      <c r="A78" s="786" t="s">
        <v>771</v>
      </c>
      <c r="B78" s="335"/>
      <c r="C78" s="525">
        <f>I56+I55</f>
        <v>762034.48275862075</v>
      </c>
      <c r="D78" s="531">
        <f>C78/B76*100</f>
        <v>38.101724137931036</v>
      </c>
      <c r="E78" s="533" t="s">
        <v>771</v>
      </c>
      <c r="F78" s="335"/>
      <c r="G78" s="525">
        <f>Q55+Q56</f>
        <v>744275.98160919547</v>
      </c>
      <c r="H78" s="531">
        <f t="shared" si="9"/>
        <v>2.3860102419306495</v>
      </c>
      <c r="I78" s="382">
        <f>G78+G78*($H$78/13)%</f>
        <v>745642.02015915129</v>
      </c>
      <c r="J78" s="382">
        <f>I78+I78*($H$78/13)%</f>
        <v>747010.56592600793</v>
      </c>
      <c r="K78" s="382">
        <f t="shared" ref="K78:S78" si="15">J78+J78*($H$78/13)%</f>
        <v>748381.62351149239</v>
      </c>
      <c r="L78" s="382">
        <f t="shared" si="15"/>
        <v>749755.19752577785</v>
      </c>
      <c r="M78" s="382">
        <f t="shared" si="15"/>
        <v>751131.29258749878</v>
      </c>
      <c r="N78" s="382">
        <f t="shared" si="15"/>
        <v>752509.91332376678</v>
      </c>
      <c r="O78" s="382">
        <f t="shared" si="15"/>
        <v>753891.06437018595</v>
      </c>
      <c r="P78" s="382">
        <f t="shared" si="15"/>
        <v>755274.75037086848</v>
      </c>
      <c r="Q78" s="382">
        <f t="shared" si="15"/>
        <v>756660.97597845038</v>
      </c>
      <c r="R78" s="382">
        <f t="shared" si="15"/>
        <v>758049.7458541072</v>
      </c>
      <c r="S78" s="764">
        <f t="shared" si="15"/>
        <v>759441.06466756936</v>
      </c>
      <c r="V78"/>
      <c r="W78"/>
      <c r="Y78"/>
      <c r="AA78"/>
      <c r="AB78"/>
    </row>
    <row r="79" spans="1:28" s="560" customFormat="1" ht="13.8" thickBot="1">
      <c r="A79" s="787" t="s">
        <v>724</v>
      </c>
      <c r="B79" s="561">
        <v>100000</v>
      </c>
      <c r="C79" s="563">
        <v>100000</v>
      </c>
      <c r="D79" s="564"/>
      <c r="E79" s="562" t="s">
        <v>724</v>
      </c>
      <c r="F79" s="561">
        <v>0</v>
      </c>
      <c r="G79" s="563">
        <v>0</v>
      </c>
      <c r="H79" s="564"/>
      <c r="I79" s="565"/>
      <c r="J79" s="566"/>
      <c r="K79" s="565"/>
      <c r="L79" s="559"/>
      <c r="M79" s="750"/>
      <c r="N79" s="765"/>
      <c r="P79" s="765"/>
      <c r="R79" s="558"/>
      <c r="S79" s="765"/>
    </row>
    <row r="80" spans="1:28" s="154" customFormat="1" ht="16.2" customHeight="1">
      <c r="A80" s="785" t="s">
        <v>712</v>
      </c>
      <c r="B80" s="181">
        <f>K4</f>
        <v>3289154.9908045977</v>
      </c>
      <c r="C80" s="543"/>
      <c r="D80" s="544">
        <f>B80/$B$67*100</f>
        <v>17.495505270237221</v>
      </c>
      <c r="E80" s="542" t="s">
        <v>712</v>
      </c>
      <c r="F80" s="181"/>
      <c r="G80" s="781">
        <f>T4</f>
        <v>3289154.9908045977</v>
      </c>
      <c r="H80" s="544"/>
      <c r="I80" s="545"/>
      <c r="J80" s="546"/>
      <c r="K80" s="545"/>
      <c r="L80" s="543"/>
      <c r="M80" s="749"/>
      <c r="N80" s="763"/>
      <c r="P80" s="763"/>
      <c r="R80" s="777"/>
      <c r="S80" s="763"/>
    </row>
    <row r="81" spans="1:28" s="154" customFormat="1">
      <c r="A81" s="785" t="s">
        <v>772</v>
      </c>
      <c r="B81" s="181">
        <v>2000000</v>
      </c>
      <c r="C81" s="543"/>
      <c r="D81" s="544">
        <f>B81/$C$68*100</f>
        <v>11.976047904191617</v>
      </c>
      <c r="E81" s="542" t="s">
        <v>772</v>
      </c>
      <c r="F81" s="181"/>
      <c r="G81" s="781">
        <v>2000000</v>
      </c>
      <c r="H81" s="544"/>
      <c r="I81" s="545"/>
      <c r="J81" s="546"/>
      <c r="K81" s="545"/>
      <c r="L81" s="543"/>
      <c r="M81" s="749"/>
      <c r="N81" s="763"/>
      <c r="P81" s="763"/>
      <c r="R81" s="777"/>
      <c r="S81" s="763"/>
    </row>
    <row r="82" spans="1:28" s="154" customFormat="1" ht="13.8" thickBot="1">
      <c r="A82" s="785" t="s">
        <v>773</v>
      </c>
      <c r="B82" s="181">
        <f>B67*D82/100</f>
        <v>752000</v>
      </c>
      <c r="C82" s="543"/>
      <c r="D82" s="544">
        <v>4</v>
      </c>
      <c r="E82" s="542" t="s">
        <v>773</v>
      </c>
      <c r="F82" s="181"/>
      <c r="G82" s="543"/>
      <c r="H82" s="544"/>
      <c r="I82" s="545"/>
      <c r="J82" s="546"/>
      <c r="K82" s="545"/>
      <c r="L82" s="543"/>
      <c r="M82" s="749"/>
      <c r="N82" s="763"/>
      <c r="P82" s="763"/>
      <c r="R82" s="777"/>
      <c r="S82" s="763"/>
    </row>
    <row r="83" spans="1:28" s="518" customFormat="1" ht="13.8" thickBot="1">
      <c r="A83" s="788" t="s">
        <v>713</v>
      </c>
      <c r="B83" s="519">
        <f>B68+B76+B79-B69-B80-B81-B82-C77-C78</f>
        <v>5157024.4344827598</v>
      </c>
      <c r="C83" s="521"/>
      <c r="D83" s="540">
        <f>B83/$C$68*100</f>
        <v>30.880385835226104</v>
      </c>
      <c r="E83" s="541" t="s">
        <v>713</v>
      </c>
      <c r="F83" s="519">
        <f>F68+F76+F79-F69-F80-F81-F82-G77-G78</f>
        <v>-1010757.5816091954</v>
      </c>
      <c r="G83" s="521"/>
      <c r="H83" s="540"/>
      <c r="I83" s="522"/>
      <c r="J83" s="523"/>
      <c r="K83" s="522"/>
      <c r="L83" s="521"/>
      <c r="M83" s="751"/>
      <c r="N83" s="766"/>
      <c r="P83" s="766"/>
      <c r="R83" s="778"/>
      <c r="S83" s="766"/>
    </row>
    <row r="84" spans="1:28" s="77" customFormat="1">
      <c r="B84" s="537"/>
      <c r="C84" s="557"/>
      <c r="F84" s="534"/>
      <c r="G84" s="535"/>
      <c r="H84" s="389"/>
      <c r="I84" s="535"/>
      <c r="J84" s="536"/>
      <c r="K84" s="535"/>
      <c r="L84" s="537"/>
      <c r="M84" s="538"/>
      <c r="N84" s="536"/>
      <c r="O84" s="535"/>
      <c r="P84" s="537"/>
      <c r="Q84" s="538"/>
      <c r="R84" s="399"/>
      <c r="S84" s="539"/>
      <c r="T84" s="399"/>
      <c r="U84" s="537"/>
      <c r="V84" s="752"/>
      <c r="W84" s="758"/>
      <c r="Y84" s="758"/>
      <c r="AA84" s="772"/>
      <c r="AB84" s="758"/>
    </row>
    <row r="85" spans="1:28">
      <c r="A85" s="78"/>
      <c r="B85" s="78"/>
      <c r="C85" s="78"/>
      <c r="D85" s="78"/>
      <c r="E85" s="81"/>
      <c r="F85" s="82"/>
      <c r="G85" s="82"/>
    </row>
    <row r="86" spans="1:28">
      <c r="A86" s="78"/>
      <c r="B86" s="78"/>
      <c r="C86" s="78"/>
      <c r="D86" s="78"/>
      <c r="E86" s="81"/>
      <c r="F86" s="82"/>
      <c r="G86" s="82"/>
    </row>
    <row r="87" spans="1:28">
      <c r="A87" s="78"/>
      <c r="B87" s="78"/>
      <c r="C87" s="80"/>
      <c r="D87" s="78"/>
      <c r="E87" s="81"/>
      <c r="F87" s="82"/>
      <c r="G87" s="82"/>
    </row>
    <row r="88" spans="1:28" ht="17.399999999999999">
      <c r="A88" s="796">
        <f>Фин.модель!D9</f>
        <v>12422913.73493143</v>
      </c>
      <c r="B88" s="796">
        <f>Фин.модель!F9</f>
        <v>12630400.42539089</v>
      </c>
      <c r="C88" s="796">
        <f>Фин.модель!H9</f>
        <v>16723252.901935209</v>
      </c>
      <c r="D88" s="796">
        <f>Фин.модель!J9</f>
        <v>15989617.398138817</v>
      </c>
      <c r="E88" s="796">
        <f>Фин.модель!L9</f>
        <v>15585392.972781209</v>
      </c>
      <c r="F88" s="796">
        <f>Фин.модель!N9</f>
        <v>14875071.603710426</v>
      </c>
      <c r="G88" s="796">
        <f>Фин.модель!P9</f>
        <v>15830169.32014871</v>
      </c>
      <c r="H88" s="796">
        <f>Фин.модель!R9</f>
        <v>16353370.38557478</v>
      </c>
      <c r="I88" s="796">
        <f>Фин.модель!T9</f>
        <v>17801453.48729429</v>
      </c>
      <c r="J88" s="796">
        <f>Фин.модель!V9</f>
        <v>18362765.451205842</v>
      </c>
      <c r="K88" s="796">
        <f>Фин.модель!X9</f>
        <v>19010717.363473043</v>
      </c>
      <c r="L88" s="796">
        <f>Фин.модель!Z9</f>
        <v>19367215.477230728</v>
      </c>
    </row>
    <row r="89" spans="1:28">
      <c r="A89" s="835">
        <f>$B$67-A88</f>
        <v>6377086.2650685702</v>
      </c>
      <c r="B89" s="835">
        <f t="shared" ref="B89:L89" si="16">$B$67-B88</f>
        <v>6169599.5746091101</v>
      </c>
      <c r="C89" s="835">
        <f t="shared" si="16"/>
        <v>2076747.0980647914</v>
      </c>
      <c r="D89" s="835">
        <f t="shared" si="16"/>
        <v>2810382.6018611826</v>
      </c>
      <c r="E89" s="835">
        <f t="shared" si="16"/>
        <v>3214607.0272187907</v>
      </c>
      <c r="F89" s="835">
        <f t="shared" si="16"/>
        <v>3924928.396289574</v>
      </c>
      <c r="G89" s="835">
        <f t="shared" si="16"/>
        <v>2969830.6798512898</v>
      </c>
      <c r="H89" s="835">
        <f t="shared" si="16"/>
        <v>2446629.6144252196</v>
      </c>
      <c r="I89" s="835">
        <f t="shared" si="16"/>
        <v>998546.51270570979</v>
      </c>
      <c r="J89" s="835">
        <f t="shared" si="16"/>
        <v>437234.5487941578</v>
      </c>
      <c r="K89" s="835">
        <f t="shared" si="16"/>
        <v>-210717.36347304285</v>
      </c>
      <c r="L89" s="835">
        <f t="shared" si="16"/>
        <v>-567215.47723072767</v>
      </c>
    </row>
    <row r="90" spans="1:28" ht="13.8" thickBot="1">
      <c r="A90" s="952"/>
      <c r="B90" s="952"/>
      <c r="C90" s="952"/>
      <c r="D90" s="952"/>
      <c r="E90" s="952"/>
      <c r="F90" s="952"/>
      <c r="G90" s="952"/>
      <c r="H90" s="535"/>
      <c r="I90" s="535"/>
      <c r="J90" s="535"/>
      <c r="K90" s="535"/>
      <c r="L90" s="535"/>
    </row>
    <row r="91" spans="1:28" s="959" customFormat="1" ht="13.8" thickBot="1">
      <c r="A91" s="955"/>
      <c r="B91" s="956"/>
      <c r="C91" s="956"/>
      <c r="D91" s="956"/>
      <c r="E91" s="957"/>
      <c r="F91" s="958"/>
      <c r="G91" s="958"/>
      <c r="V91" s="960"/>
      <c r="W91" s="961"/>
      <c r="Y91" s="961"/>
      <c r="AA91" s="960"/>
      <c r="AB91" s="961"/>
    </row>
    <row r="92" spans="1:28">
      <c r="A92" s="953"/>
      <c r="B92" s="953"/>
      <c r="C92" s="953"/>
      <c r="D92" s="953"/>
      <c r="E92" s="953"/>
      <c r="F92" s="953"/>
      <c r="G92" s="954" t="s">
        <v>817</v>
      </c>
      <c r="H92" s="954" t="s">
        <v>818</v>
      </c>
    </row>
    <row r="93" spans="1:28">
      <c r="A93" s="78"/>
      <c r="B93" s="78"/>
      <c r="C93" s="78"/>
      <c r="D93" s="78"/>
      <c r="E93" s="78"/>
      <c r="F93" s="78"/>
      <c r="G93" s="949"/>
      <c r="H93" s="949"/>
    </row>
    <row r="94" spans="1:28" hidden="1">
      <c r="A94" s="78" t="s">
        <v>340</v>
      </c>
      <c r="B94" s="79">
        <v>1</v>
      </c>
      <c r="C94" s="78" t="s">
        <v>904</v>
      </c>
      <c r="D94" s="78" t="s">
        <v>832</v>
      </c>
      <c r="E94" s="951" t="s">
        <v>180</v>
      </c>
      <c r="F94" s="81">
        <v>1</v>
      </c>
      <c r="G94" s="950">
        <f>VLOOKUP(C94,'[9]2025'!$A$10:$C$97,2,0)</f>
        <v>47033.85</v>
      </c>
      <c r="H94" s="950">
        <f>VLOOKUP(C94,'[9]2025'!$A$10:$C$97,3,0)</f>
        <v>11305.84</v>
      </c>
    </row>
    <row r="95" spans="1:28" hidden="1">
      <c r="A95" s="78" t="s">
        <v>339</v>
      </c>
      <c r="B95" s="79">
        <v>1</v>
      </c>
      <c r="C95" s="84" t="s">
        <v>901</v>
      </c>
      <c r="D95" s="78" t="s">
        <v>832</v>
      </c>
      <c r="E95" s="951" t="s">
        <v>9</v>
      </c>
      <c r="F95" s="81">
        <v>1</v>
      </c>
      <c r="G95" s="950">
        <f>VLOOKUP(C95,'[9]2025'!$A$10:$C$97,2,0)</f>
        <v>8765.25</v>
      </c>
      <c r="H95" s="950">
        <f>VLOOKUP(C95,'[9]2025'!$A$10:$C$97,3,0)</f>
        <v>2095.6</v>
      </c>
    </row>
    <row r="96" spans="1:28" hidden="1">
      <c r="A96" s="78" t="s">
        <v>339</v>
      </c>
      <c r="B96" s="79">
        <v>1</v>
      </c>
      <c r="C96" s="92" t="s">
        <v>902</v>
      </c>
      <c r="D96" s="78" t="s">
        <v>832</v>
      </c>
      <c r="E96" s="951" t="s">
        <v>9</v>
      </c>
      <c r="F96" s="81">
        <v>1</v>
      </c>
      <c r="G96" s="950">
        <v>50000</v>
      </c>
      <c r="H96" s="950"/>
    </row>
    <row r="97" spans="1:9" hidden="1">
      <c r="A97" s="78" t="s">
        <v>339</v>
      </c>
      <c r="B97" s="79">
        <v>1</v>
      </c>
      <c r="C97" s="84" t="s">
        <v>900</v>
      </c>
      <c r="D97" s="78" t="s">
        <v>832</v>
      </c>
      <c r="E97" s="951" t="s">
        <v>9</v>
      </c>
      <c r="F97" s="81">
        <v>1</v>
      </c>
      <c r="G97" s="950">
        <f>VLOOKUP(C97,'[9]2025'!$A$10:$C$97,2,0)</f>
        <v>58290</v>
      </c>
      <c r="H97" s="950">
        <f>VLOOKUP(C97,'[9]2025'!$A$10:$C$97,3,0)</f>
        <v>13936</v>
      </c>
    </row>
    <row r="98" spans="1:9" hidden="1">
      <c r="A98" s="78" t="s">
        <v>339</v>
      </c>
      <c r="B98" s="79">
        <v>1</v>
      </c>
      <c r="C98" s="78" t="s">
        <v>898</v>
      </c>
      <c r="D98" s="78" t="s">
        <v>832</v>
      </c>
      <c r="E98" s="951" t="s">
        <v>9</v>
      </c>
      <c r="F98" s="81">
        <v>1</v>
      </c>
      <c r="G98" s="950">
        <f>VLOOKUP(C98,'[9]2025'!$A$10:$C$97,2,0)</f>
        <v>60030</v>
      </c>
      <c r="H98" s="950">
        <f>VLOOKUP(C98,'[9]2025'!$A$10:$C$97,3,0)</f>
        <v>14352</v>
      </c>
    </row>
    <row r="99" spans="1:9" hidden="1">
      <c r="A99" s="78" t="s">
        <v>339</v>
      </c>
      <c r="B99" s="79">
        <v>1</v>
      </c>
      <c r="C99" s="78" t="s">
        <v>899</v>
      </c>
      <c r="D99" s="78" t="s">
        <v>832</v>
      </c>
      <c r="E99" s="951" t="s">
        <v>9</v>
      </c>
      <c r="F99" s="81">
        <v>1</v>
      </c>
      <c r="G99" s="950">
        <f>VLOOKUP(C99,'[9]2025'!$A$10:$C$97,2,0)</f>
        <v>91572</v>
      </c>
      <c r="H99" s="950">
        <f>VLOOKUP(C99,'[9]2025'!$A$10:$C$97,3,0)</f>
        <v>20540</v>
      </c>
    </row>
    <row r="100" spans="1:9" hidden="1">
      <c r="A100" s="78" t="s">
        <v>339</v>
      </c>
      <c r="B100" s="79">
        <v>1</v>
      </c>
      <c r="C100" s="255" t="s">
        <v>896</v>
      </c>
      <c r="D100" s="78" t="s">
        <v>832</v>
      </c>
      <c r="E100" s="951" t="s">
        <v>9</v>
      </c>
      <c r="F100" s="81">
        <v>1</v>
      </c>
      <c r="G100" s="950">
        <f>VLOOKUP(C100,'[9]2025'!$A$10:$C$97,2,0)</f>
        <v>50025</v>
      </c>
      <c r="H100" s="950">
        <f>VLOOKUP(C100,'[9]2025'!$A$10:$C$97,3,0)</f>
        <v>11960</v>
      </c>
    </row>
    <row r="101" spans="1:9" ht="26.4" hidden="1">
      <c r="A101" s="78" t="s">
        <v>339</v>
      </c>
      <c r="B101" s="79">
        <v>1</v>
      </c>
      <c r="C101" s="80" t="s">
        <v>897</v>
      </c>
      <c r="D101" s="78" t="s">
        <v>832</v>
      </c>
      <c r="E101" s="951" t="s">
        <v>9</v>
      </c>
      <c r="F101" s="81">
        <v>1</v>
      </c>
      <c r="G101" s="950">
        <f>VLOOKUP(C101,'[9]2025'!$A$10:$C$97,2,0)</f>
        <v>107746</v>
      </c>
      <c r="H101" s="950">
        <f>VLOOKUP(C101,'[9]2025'!$A$10:$C$97,3,0)</f>
        <v>16224</v>
      </c>
    </row>
    <row r="102" spans="1:9" hidden="1">
      <c r="A102" s="78" t="s">
        <v>339</v>
      </c>
      <c r="B102" s="79">
        <v>1</v>
      </c>
      <c r="C102" s="84" t="s">
        <v>895</v>
      </c>
      <c r="D102" s="78" t="s">
        <v>832</v>
      </c>
      <c r="E102" s="951" t="s">
        <v>9</v>
      </c>
      <c r="F102" s="81">
        <v>1</v>
      </c>
      <c r="G102" s="950">
        <f>VLOOKUP(C102,'[9]2025'!$A$10:$C$97,2,0)</f>
        <v>120007.8</v>
      </c>
      <c r="H102" s="950">
        <f>VLOOKUP(C102,'[9]2025'!$A$10:$C$97,3,0)</f>
        <v>28691.52</v>
      </c>
    </row>
    <row r="103" spans="1:9" hidden="1">
      <c r="A103" s="78" t="s">
        <v>339</v>
      </c>
      <c r="B103" s="79">
        <v>1</v>
      </c>
      <c r="C103" s="80" t="s">
        <v>903</v>
      </c>
      <c r="D103" s="78" t="s">
        <v>832</v>
      </c>
      <c r="E103" s="951" t="s">
        <v>9</v>
      </c>
      <c r="F103" s="81">
        <v>1</v>
      </c>
      <c r="G103" s="950">
        <f>VLOOKUP(C103,'[9]2025'!$A$10:$C$97,2,0)</f>
        <v>60030</v>
      </c>
      <c r="H103" s="950">
        <f>VLOOKUP(C103,'[9]2025'!$A$10:$C$97,3,0)</f>
        <v>14352</v>
      </c>
    </row>
    <row r="104" spans="1:9" hidden="1">
      <c r="A104" s="78" t="s">
        <v>819</v>
      </c>
      <c r="B104" s="79">
        <v>1</v>
      </c>
      <c r="C104" s="80" t="s">
        <v>820</v>
      </c>
      <c r="D104" s="78" t="s">
        <v>821</v>
      </c>
      <c r="E104" s="91" t="s">
        <v>918</v>
      </c>
      <c r="F104" s="81">
        <v>1</v>
      </c>
      <c r="G104" s="950">
        <f>VLOOKUP(C104,'[9]2025'!$A$10:$C$97,2,0)</f>
        <v>100050</v>
      </c>
      <c r="H104" s="950">
        <f>VLOOKUP(C104,'[9]2025'!$A$10:$C$97,3,0)</f>
        <v>23920</v>
      </c>
    </row>
    <row r="105" spans="1:9" ht="26.4" hidden="1">
      <c r="A105" s="78" t="s">
        <v>819</v>
      </c>
      <c r="B105" s="79">
        <v>1</v>
      </c>
      <c r="C105" s="80" t="s">
        <v>823</v>
      </c>
      <c r="D105" s="78" t="s">
        <v>821</v>
      </c>
      <c r="E105" s="91" t="s">
        <v>918</v>
      </c>
      <c r="F105" s="81">
        <v>1</v>
      </c>
      <c r="G105" s="950">
        <f>VLOOKUP(C105,'[9]2025'!$A$10:$C$97,2,0)</f>
        <v>110021.85</v>
      </c>
      <c r="H105" s="950">
        <f>VLOOKUP(C105,'[9]2025'!$A$10:$C$97,3,0)</f>
        <v>26365.040000000001</v>
      </c>
    </row>
    <row r="106" spans="1:9" hidden="1">
      <c r="A106" s="78" t="s">
        <v>819</v>
      </c>
      <c r="B106" s="79">
        <v>1</v>
      </c>
      <c r="C106" s="90" t="s">
        <v>825</v>
      </c>
      <c r="D106" s="78" t="s">
        <v>821</v>
      </c>
      <c r="E106" s="78" t="s">
        <v>822</v>
      </c>
      <c r="F106" s="81">
        <v>1</v>
      </c>
      <c r="G106" s="950">
        <f>VLOOKUP(C106,'[9]2025'!$A$10:$C$97,2,0)</f>
        <v>90011.85</v>
      </c>
      <c r="H106" s="950">
        <f>VLOOKUP(C106,'[9]2025'!$A$10:$C$97,3,0)</f>
        <v>21581.040000000001</v>
      </c>
      <c r="I106" s="14" t="s">
        <v>957</v>
      </c>
    </row>
    <row r="107" spans="1:9" hidden="1">
      <c r="A107" s="78" t="s">
        <v>819</v>
      </c>
      <c r="B107" s="79">
        <v>1</v>
      </c>
      <c r="C107" s="80" t="s">
        <v>827</v>
      </c>
      <c r="D107" s="78" t="s">
        <v>821</v>
      </c>
      <c r="E107" s="78" t="s">
        <v>826</v>
      </c>
      <c r="F107" s="81">
        <v>1</v>
      </c>
      <c r="G107" s="950">
        <f>VLOOKUP(C107,'[9]2025'!$A$10:$C$97,2,0)</f>
        <v>60394</v>
      </c>
      <c r="H107" s="950">
        <f>VLOOKUP(C107,'[9]2025'!$A$10:$C$97,3,0)</f>
        <v>13988</v>
      </c>
    </row>
    <row r="108" spans="1:9" ht="26.4" hidden="1">
      <c r="A108" s="78" t="s">
        <v>819</v>
      </c>
      <c r="B108" s="79">
        <v>1</v>
      </c>
      <c r="C108" s="80" t="s">
        <v>828</v>
      </c>
      <c r="D108" s="78" t="s">
        <v>821</v>
      </c>
      <c r="E108" s="78" t="s">
        <v>824</v>
      </c>
      <c r="F108" s="81">
        <v>1</v>
      </c>
      <c r="G108" s="950">
        <f>VLOOKUP(C108,'[9]2025'!$A$10:$C$97,2,0)</f>
        <v>18470.728900000002</v>
      </c>
      <c r="H108" s="950">
        <f>VLOOKUP(C108,'[9]2025'!$A$10:$C$97,3,0)</f>
        <v>2025.1857599999998</v>
      </c>
    </row>
    <row r="109" spans="1:9" hidden="1">
      <c r="A109" s="78" t="s">
        <v>819</v>
      </c>
      <c r="B109" s="79">
        <v>1</v>
      </c>
      <c r="C109" s="80" t="s">
        <v>830</v>
      </c>
      <c r="D109" s="78" t="s">
        <v>821</v>
      </c>
      <c r="E109" s="91" t="s">
        <v>942</v>
      </c>
      <c r="F109" s="81">
        <v>1</v>
      </c>
      <c r="G109" s="950">
        <f>VLOOKUP(C109,'[9]2025'!$A$10:$C$97,2,0)</f>
        <v>115014</v>
      </c>
      <c r="H109" s="950">
        <f>VLOOKUP(C109,'[9]2025'!$A$10:$C$97,3,0)</f>
        <v>27497.599999999999</v>
      </c>
    </row>
    <row r="110" spans="1:9" hidden="1">
      <c r="A110" s="78" t="s">
        <v>819</v>
      </c>
      <c r="B110" s="79">
        <v>1</v>
      </c>
      <c r="C110" s="80" t="s">
        <v>833</v>
      </c>
      <c r="D110" s="78" t="s">
        <v>821</v>
      </c>
      <c r="E110" s="78" t="s">
        <v>826</v>
      </c>
      <c r="F110" s="81">
        <v>1</v>
      </c>
      <c r="G110" s="950">
        <f>VLOOKUP(C110,'[9]2025'!$A$10:$C$97,2,0)</f>
        <v>71093.850000000006</v>
      </c>
      <c r="H110" s="950">
        <f>VLOOKUP(C110,'[9]2025'!$A$10:$C$97,3,0)</f>
        <v>15705.039999999999</v>
      </c>
    </row>
    <row r="111" spans="1:9" hidden="1">
      <c r="A111" s="78" t="s">
        <v>819</v>
      </c>
      <c r="B111" s="79">
        <v>1</v>
      </c>
      <c r="C111" s="80" t="s">
        <v>831</v>
      </c>
      <c r="D111" s="78" t="s">
        <v>832</v>
      </c>
      <c r="E111" s="78" t="s">
        <v>822</v>
      </c>
      <c r="F111" s="81">
        <v>1</v>
      </c>
      <c r="G111" s="950">
        <f>VLOOKUP(C111,'[9]2025'!$A$10:$C$97,2,0)</f>
        <v>30015</v>
      </c>
      <c r="H111" s="950">
        <f>VLOOKUP(C111,'[9]2025'!$A$10:$C$97,3,0)</f>
        <v>7176</v>
      </c>
      <c r="I111" s="14" t="s">
        <v>958</v>
      </c>
    </row>
    <row r="112" spans="1:9" hidden="1">
      <c r="A112" s="78" t="s">
        <v>819</v>
      </c>
      <c r="B112" s="79">
        <v>1</v>
      </c>
      <c r="C112" s="80" t="s">
        <v>834</v>
      </c>
      <c r="D112" s="78" t="s">
        <v>832</v>
      </c>
      <c r="E112" s="91" t="s">
        <v>918</v>
      </c>
      <c r="F112" s="81">
        <v>1</v>
      </c>
      <c r="G112" s="950">
        <f>VLOOKUP(C112,'[9]2025'!$A$10:$C$97,2,0)</f>
        <v>55245</v>
      </c>
      <c r="H112" s="950">
        <f>VLOOKUP(C112,'[9]2025'!$A$10:$C$97,3,0)</f>
        <v>13208</v>
      </c>
    </row>
    <row r="113" spans="1:28" hidden="1">
      <c r="A113" s="78" t="s">
        <v>819</v>
      </c>
      <c r="B113" s="79">
        <v>1</v>
      </c>
      <c r="C113" s="91" t="s">
        <v>835</v>
      </c>
      <c r="D113" s="78" t="s">
        <v>821</v>
      </c>
      <c r="E113" s="91" t="s">
        <v>918</v>
      </c>
      <c r="F113" s="81">
        <v>1</v>
      </c>
      <c r="G113" s="950">
        <f>VLOOKUP(C113,'[9]2025'!$A$10:$C$97,2,0)</f>
        <v>19509.75</v>
      </c>
      <c r="H113" s="950">
        <f>VLOOKUP(C113,'[9]2025'!$A$10:$C$97,3,0)</f>
        <v>4619.55</v>
      </c>
    </row>
    <row r="114" spans="1:28" hidden="1">
      <c r="A114" s="78" t="s">
        <v>819</v>
      </c>
      <c r="B114" s="79">
        <v>1</v>
      </c>
      <c r="C114" s="91" t="s">
        <v>837</v>
      </c>
      <c r="D114" s="78" t="s">
        <v>821</v>
      </c>
      <c r="E114" s="78" t="s">
        <v>822</v>
      </c>
      <c r="F114" s="81">
        <v>1</v>
      </c>
      <c r="G114" s="950">
        <f>VLOOKUP(C114,'[9]2025'!$A$10:$C$97,2,0)</f>
        <v>55245</v>
      </c>
      <c r="H114" s="950">
        <f>VLOOKUP(C114,'[9]2025'!$A$10:$C$97,3,0)</f>
        <v>13208</v>
      </c>
      <c r="I114" s="14" t="s">
        <v>958</v>
      </c>
    </row>
    <row r="115" spans="1:28" hidden="1">
      <c r="A115" s="78" t="s">
        <v>819</v>
      </c>
      <c r="B115" s="79">
        <v>1</v>
      </c>
      <c r="C115" s="80" t="s">
        <v>838</v>
      </c>
      <c r="D115" s="78" t="s">
        <v>821</v>
      </c>
      <c r="E115" s="78" t="s">
        <v>822</v>
      </c>
      <c r="F115" s="81">
        <v>1</v>
      </c>
      <c r="G115" s="950">
        <f>VLOOKUP(C115,'[9]2025'!$A$10:$C$97,2,0)</f>
        <v>75221.850000000006</v>
      </c>
      <c r="H115" s="950">
        <f>VLOOKUP(C115,'[9]2025'!$A$10:$C$97,3,0)</f>
        <v>18045.04</v>
      </c>
      <c r="I115" s="14" t="s">
        <v>957</v>
      </c>
    </row>
    <row r="116" spans="1:28" hidden="1">
      <c r="A116" s="78" t="s">
        <v>819</v>
      </c>
      <c r="B116" s="79">
        <v>1</v>
      </c>
      <c r="C116" s="92" t="s">
        <v>839</v>
      </c>
      <c r="D116" s="78" t="s">
        <v>821</v>
      </c>
      <c r="E116" s="78" t="s">
        <v>836</v>
      </c>
      <c r="F116" s="81">
        <v>1</v>
      </c>
      <c r="G116" s="950">
        <f>VLOOKUP(C116,'[9]2025'!$A$10:$C$97,2,0)</f>
        <v>50025</v>
      </c>
      <c r="H116" s="950">
        <f>VLOOKUP(C116,'[9]2025'!$A$10:$C$97,3,0)</f>
        <v>11960</v>
      </c>
    </row>
    <row r="117" spans="1:28" hidden="1">
      <c r="A117" s="78" t="s">
        <v>819</v>
      </c>
      <c r="B117" s="79">
        <v>1</v>
      </c>
      <c r="C117" s="78" t="s">
        <v>840</v>
      </c>
      <c r="D117" s="78" t="s">
        <v>821</v>
      </c>
      <c r="E117" s="78" t="s">
        <v>822</v>
      </c>
      <c r="F117" s="81">
        <v>1</v>
      </c>
      <c r="G117" s="950">
        <f>VLOOKUP(C117,'[9]2025'!$A$10:$C$97,2,0)</f>
        <v>80006.850000000006</v>
      </c>
      <c r="H117" s="950">
        <f>VLOOKUP(C117,'[9]2025'!$A$10:$C$97,3,0)</f>
        <v>19189.04</v>
      </c>
      <c r="I117" s="14" t="s">
        <v>959</v>
      </c>
    </row>
    <row r="118" spans="1:28" hidden="1">
      <c r="A118" s="78" t="s">
        <v>819</v>
      </c>
      <c r="B118" s="79">
        <v>1</v>
      </c>
      <c r="C118" s="78" t="s">
        <v>841</v>
      </c>
      <c r="D118" s="78" t="s">
        <v>821</v>
      </c>
      <c r="E118" s="78" t="s">
        <v>826</v>
      </c>
      <c r="F118" s="81">
        <v>1</v>
      </c>
      <c r="G118" s="950">
        <f>VLOOKUP(C118,'[9]2025'!$A$10:$C$97,2,0)</f>
        <v>60030</v>
      </c>
      <c r="H118" s="950">
        <f>VLOOKUP(C118,'[9]2025'!$A$10:$C$97,3,0)</f>
        <v>14352</v>
      </c>
    </row>
    <row r="119" spans="1:28" hidden="1">
      <c r="A119" s="78" t="s">
        <v>819</v>
      </c>
      <c r="B119" s="79">
        <v>1</v>
      </c>
      <c r="C119" s="84" t="s">
        <v>842</v>
      </c>
      <c r="D119" s="78" t="s">
        <v>821</v>
      </c>
      <c r="E119" s="78" t="s">
        <v>843</v>
      </c>
      <c r="F119" s="81">
        <v>1</v>
      </c>
      <c r="G119" s="950">
        <f>VLOOKUP(C119,'[9]2025'!$A$10:$C$97,2,0)</f>
        <v>100050</v>
      </c>
      <c r="H119" s="950">
        <f>VLOOKUP(C119,'[9]2025'!$A$10:$C$97,3,0)</f>
        <v>23920</v>
      </c>
    </row>
    <row r="120" spans="1:28" hidden="1">
      <c r="A120" s="78" t="s">
        <v>819</v>
      </c>
      <c r="B120" s="79">
        <v>1</v>
      </c>
      <c r="C120" s="84" t="s">
        <v>844</v>
      </c>
      <c r="D120" s="78" t="s">
        <v>821</v>
      </c>
      <c r="E120" s="78" t="s">
        <v>826</v>
      </c>
      <c r="F120" s="81">
        <v>1</v>
      </c>
      <c r="G120" s="950">
        <f>VLOOKUP(C120,'[9]2025'!$A$10:$C$97,2,0)</f>
        <v>71093.850000000006</v>
      </c>
      <c r="H120" s="950">
        <f>VLOOKUP(C120,'[9]2025'!$A$10:$C$97,3,0)</f>
        <v>15705.04</v>
      </c>
    </row>
    <row r="121" spans="1:28" hidden="1">
      <c r="A121" s="78" t="s">
        <v>819</v>
      </c>
      <c r="B121" s="79">
        <v>1</v>
      </c>
      <c r="C121" s="78" t="s">
        <v>845</v>
      </c>
      <c r="D121" s="78" t="s">
        <v>821</v>
      </c>
      <c r="E121" s="78" t="s">
        <v>824</v>
      </c>
      <c r="F121" s="81">
        <v>1</v>
      </c>
      <c r="G121" s="950">
        <f>VLOOKUP(C121,'[9]2025'!$A$10:$C$97,2,0)</f>
        <v>70035</v>
      </c>
      <c r="H121" s="950">
        <f>VLOOKUP(C121,'[9]2025'!$A$10:$C$97,3,0)</f>
        <v>16744</v>
      </c>
    </row>
    <row r="122" spans="1:28" hidden="1">
      <c r="A122" s="78" t="s">
        <v>819</v>
      </c>
      <c r="B122" s="79">
        <v>1</v>
      </c>
      <c r="C122" s="84" t="s">
        <v>846</v>
      </c>
      <c r="D122" s="78" t="s">
        <v>821</v>
      </c>
      <c r="E122" s="91" t="s">
        <v>942</v>
      </c>
      <c r="F122" s="81">
        <v>1</v>
      </c>
      <c r="G122" s="950">
        <f>VLOOKUP(C122,'[9]2025'!$A$10:$C$97,2,0)</f>
        <v>36199.057800000002</v>
      </c>
      <c r="H122" s="950">
        <f>VLOOKUP(C122,'[9]2025'!$A$10:$C$97,3,0)</f>
        <v>7301.4115199999997</v>
      </c>
    </row>
    <row r="123" spans="1:28" hidden="1">
      <c r="A123" s="78" t="s">
        <v>819</v>
      </c>
      <c r="B123" s="79">
        <v>1</v>
      </c>
      <c r="C123" s="78" t="s">
        <v>847</v>
      </c>
      <c r="D123" s="78" t="s">
        <v>821</v>
      </c>
      <c r="E123" s="78" t="s">
        <v>829</v>
      </c>
      <c r="F123" s="81">
        <v>1</v>
      </c>
      <c r="G123" s="950">
        <f>VLOOKUP(C123,'[9]2025'!$A$10:$C$97,2,0)</f>
        <v>100016.85</v>
      </c>
      <c r="H123" s="950">
        <f>VLOOKUP(C123,'[9]2025'!$A$10:$C$97,3,0)</f>
        <v>23973.039999999997</v>
      </c>
    </row>
    <row r="124" spans="1:28" hidden="1">
      <c r="A124" s="78" t="s">
        <v>819</v>
      </c>
      <c r="B124" s="79">
        <v>1</v>
      </c>
      <c r="C124" s="84" t="s">
        <v>919</v>
      </c>
      <c r="D124" s="78" t="s">
        <v>821</v>
      </c>
      <c r="E124" s="78" t="s">
        <v>822</v>
      </c>
      <c r="F124" s="81">
        <v>1</v>
      </c>
      <c r="G124" s="950">
        <f>VLOOKUP(C124,'[9]2025'!$A$10:$C$97,2,0)</f>
        <v>71688.228900000002</v>
      </c>
      <c r="H124" s="950">
        <f>VLOOKUP(C124,'[9]2025'!$A$10:$C$97,3,0)</f>
        <v>15836.385759999999</v>
      </c>
      <c r="I124" s="14" t="s">
        <v>957</v>
      </c>
    </row>
    <row r="125" spans="1:28" hidden="1">
      <c r="A125" s="78" t="s">
        <v>819</v>
      </c>
      <c r="B125" s="79">
        <v>1</v>
      </c>
      <c r="C125" s="80" t="s">
        <v>848</v>
      </c>
      <c r="D125" s="78" t="s">
        <v>821</v>
      </c>
      <c r="E125" s="78" t="s">
        <v>826</v>
      </c>
      <c r="F125" s="81">
        <v>1</v>
      </c>
      <c r="G125" s="950">
        <f>VLOOKUP(C125,'[9]2025'!$A$10:$C$97,2,0)</f>
        <v>70035</v>
      </c>
      <c r="H125" s="950">
        <f>VLOOKUP(C125,'[9]2025'!$A$10:$C$97,3,0)</f>
        <v>16744</v>
      </c>
    </row>
    <row r="126" spans="1:28" s="77" customFormat="1" hidden="1">
      <c r="A126" s="78" t="s">
        <v>819</v>
      </c>
      <c r="B126" s="79">
        <v>1</v>
      </c>
      <c r="C126" s="78" t="s">
        <v>849</v>
      </c>
      <c r="D126" s="78" t="s">
        <v>821</v>
      </c>
      <c r="E126" s="78" t="s">
        <v>824</v>
      </c>
      <c r="F126" s="81">
        <v>1</v>
      </c>
      <c r="G126" s="950">
        <f>VLOOKUP(C126,'[9]2025'!$A$10:$C$97,2,0)</f>
        <v>70001.850000000006</v>
      </c>
      <c r="H126" s="950">
        <f>VLOOKUP(C126,'[9]2025'!$A$10:$C$97,3,0)</f>
        <v>16797.04</v>
      </c>
      <c r="I126"/>
      <c r="J126"/>
      <c r="K126"/>
      <c r="L126"/>
      <c r="M126"/>
      <c r="N126"/>
      <c r="O126"/>
      <c r="P126"/>
      <c r="Q126"/>
      <c r="R126"/>
      <c r="S126"/>
      <c r="T126"/>
      <c r="U126"/>
      <c r="V126" s="611"/>
      <c r="W126" s="597"/>
      <c r="X126"/>
      <c r="Y126" s="597"/>
      <c r="Z126"/>
      <c r="AA126" s="611"/>
      <c r="AB126" s="597"/>
    </row>
    <row r="127" spans="1:28" hidden="1">
      <c r="A127" s="78" t="s">
        <v>819</v>
      </c>
      <c r="B127" s="79">
        <v>1</v>
      </c>
      <c r="C127" s="84" t="s">
        <v>850</v>
      </c>
      <c r="D127" s="78" t="s">
        <v>821</v>
      </c>
      <c r="E127" s="78" t="s">
        <v>822</v>
      </c>
      <c r="F127" s="81">
        <v>1</v>
      </c>
      <c r="G127" s="950">
        <f>VLOOKUP(C127,'[9]2025'!$A$10:$C$97,2,0)</f>
        <v>72970.089900000006</v>
      </c>
      <c r="H127" s="950">
        <f>VLOOKUP(C127,'[9]2025'!$A$10:$C$97,3,0)</f>
        <v>17506.688159999998</v>
      </c>
    </row>
    <row r="128" spans="1:28" hidden="1">
      <c r="A128" s="78" t="s">
        <v>819</v>
      </c>
      <c r="B128" s="79">
        <v>1</v>
      </c>
      <c r="C128" s="78" t="s">
        <v>851</v>
      </c>
      <c r="D128" s="78" t="s">
        <v>821</v>
      </c>
      <c r="E128" s="78" t="s">
        <v>826</v>
      </c>
      <c r="F128" s="81">
        <v>1</v>
      </c>
      <c r="G128" s="950">
        <f>VLOOKUP(C128,'[9]2025'!$A$10:$C$97,2,0)</f>
        <v>70001.850000000006</v>
      </c>
      <c r="H128" s="950">
        <f>VLOOKUP(C128,'[9]2025'!$A$10:$C$97,3,0)</f>
        <v>16797.04</v>
      </c>
    </row>
    <row r="129" spans="1:28" hidden="1">
      <c r="A129" s="78" t="s">
        <v>819</v>
      </c>
      <c r="B129" s="79">
        <v>1</v>
      </c>
      <c r="C129" s="78" t="s">
        <v>852</v>
      </c>
      <c r="D129" s="78" t="s">
        <v>821</v>
      </c>
      <c r="E129" s="78" t="s">
        <v>822</v>
      </c>
      <c r="F129" s="81">
        <v>1</v>
      </c>
      <c r="G129" s="950">
        <f>VLOOKUP(C129,'[9]2025'!$A$10:$C$97,2,0)</f>
        <v>40020</v>
      </c>
      <c r="H129" s="950">
        <f>VLOOKUP(C129,'[9]2025'!$A$10:$C$97,3,0)</f>
        <v>9568</v>
      </c>
    </row>
    <row r="130" spans="1:28" hidden="1">
      <c r="A130" s="78" t="s">
        <v>819</v>
      </c>
      <c r="B130" s="79">
        <v>1</v>
      </c>
      <c r="C130" s="84" t="s">
        <v>853</v>
      </c>
      <c r="D130" s="78" t="s">
        <v>821</v>
      </c>
      <c r="E130" s="78" t="s">
        <v>836</v>
      </c>
      <c r="F130" s="81">
        <v>1</v>
      </c>
      <c r="G130" s="950">
        <f>VLOOKUP(C130,'[9]2025'!$A$10:$C$97,2,0)</f>
        <v>100050</v>
      </c>
      <c r="H130" s="950">
        <f>VLOOKUP(C130,'[9]2025'!$A$10:$C$97,3,0)</f>
        <v>23920</v>
      </c>
    </row>
    <row r="131" spans="1:28" hidden="1">
      <c r="A131" s="78" t="s">
        <v>819</v>
      </c>
      <c r="B131" s="79">
        <v>1</v>
      </c>
      <c r="C131" s="84" t="s">
        <v>854</v>
      </c>
      <c r="D131" s="78" t="s">
        <v>821</v>
      </c>
      <c r="E131" s="78" t="s">
        <v>826</v>
      </c>
      <c r="F131" s="81">
        <v>1</v>
      </c>
      <c r="G131" s="950">
        <f>VLOOKUP(C131,'[9]2025'!$A$10:$C$97,2,0)</f>
        <v>82181.850000000006</v>
      </c>
      <c r="H131" s="950">
        <f>VLOOKUP(C131,'[9]2025'!$A$10:$C$97,3,0)</f>
        <v>19709.04</v>
      </c>
    </row>
    <row r="132" spans="1:28" hidden="1">
      <c r="A132" s="78" t="s">
        <v>819</v>
      </c>
      <c r="B132" s="79">
        <v>1</v>
      </c>
      <c r="C132" s="91" t="s">
        <v>855</v>
      </c>
      <c r="D132" s="78" t="s">
        <v>821</v>
      </c>
      <c r="E132" s="91" t="s">
        <v>822</v>
      </c>
      <c r="F132" s="81">
        <v>1</v>
      </c>
      <c r="G132" s="950">
        <f>VLOOKUP(C132,'[9]2025'!$A$10:$C$97,2,0)</f>
        <v>65216.85</v>
      </c>
      <c r="H132" s="950">
        <f>VLOOKUP(C132,'[9]2025'!$A$10:$C$97,3,0)</f>
        <v>15653.039999999999</v>
      </c>
      <c r="I132" s="14" t="s">
        <v>958</v>
      </c>
    </row>
    <row r="133" spans="1:28" hidden="1">
      <c r="A133" s="78" t="s">
        <v>819</v>
      </c>
      <c r="B133" s="79">
        <v>1</v>
      </c>
      <c r="C133" s="78" t="s">
        <v>856</v>
      </c>
      <c r="D133" s="78" t="s">
        <v>821</v>
      </c>
      <c r="E133" s="78" t="s">
        <v>826</v>
      </c>
      <c r="F133" s="81">
        <v>1</v>
      </c>
      <c r="G133" s="950">
        <v>47300</v>
      </c>
      <c r="H133" s="950">
        <f>VLOOKUP(C133,'[9]2025'!$A$10:$C$97,3,0)</f>
        <v>0</v>
      </c>
    </row>
    <row r="134" spans="1:28" hidden="1">
      <c r="A134" s="78" t="s">
        <v>819</v>
      </c>
      <c r="B134" s="79">
        <v>1</v>
      </c>
      <c r="C134" s="78" t="s">
        <v>857</v>
      </c>
      <c r="D134" s="78" t="s">
        <v>821</v>
      </c>
      <c r="E134" s="78" t="s">
        <v>824</v>
      </c>
      <c r="F134" s="81">
        <v>1</v>
      </c>
      <c r="G134" s="950">
        <f>VLOOKUP(C134,'[9]2025'!$A$10:$C$97,2,0)</f>
        <v>80006.850000000006</v>
      </c>
      <c r="H134" s="950">
        <f>VLOOKUP(C134,'[9]2025'!$A$10:$C$97,3,0)</f>
        <v>19189.04</v>
      </c>
    </row>
    <row r="135" spans="1:28" hidden="1">
      <c r="A135" s="78" t="s">
        <v>819</v>
      </c>
      <c r="B135" s="79">
        <v>1</v>
      </c>
      <c r="C135" s="90" t="s">
        <v>913</v>
      </c>
      <c r="D135" s="78" t="s">
        <v>821</v>
      </c>
      <c r="E135" s="78" t="s">
        <v>822</v>
      </c>
      <c r="F135" s="81">
        <v>1</v>
      </c>
      <c r="G135" s="950">
        <f>VLOOKUP(C135,'[9]2025'!$A$10:$C$97,2,0)</f>
        <v>55245</v>
      </c>
      <c r="H135" s="950">
        <f>VLOOKUP(C135,'[9]2025'!$A$10:$C$97,3,0)</f>
        <v>13208</v>
      </c>
      <c r="I135" s="984" t="s">
        <v>958</v>
      </c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2"/>
      <c r="W135" s="758"/>
      <c r="X135" s="77"/>
      <c r="Y135" s="758"/>
      <c r="Z135" s="77"/>
      <c r="AA135" s="772"/>
      <c r="AB135" s="758"/>
    </row>
    <row r="136" spans="1:28" hidden="1">
      <c r="A136" s="78" t="s">
        <v>819</v>
      </c>
      <c r="B136" s="79">
        <v>1</v>
      </c>
      <c r="C136" s="78" t="s">
        <v>858</v>
      </c>
      <c r="D136" s="78" t="s">
        <v>821</v>
      </c>
      <c r="E136" s="78" t="s">
        <v>826</v>
      </c>
      <c r="F136" s="81">
        <v>1</v>
      </c>
      <c r="G136" s="950">
        <f>VLOOKUP(C136,'[9]2025'!$A$10:$C$97,2,0)</f>
        <v>80006.850000000006</v>
      </c>
      <c r="H136" s="950">
        <f>VLOOKUP(C136,'[9]2025'!$A$10:$C$97,3,0)</f>
        <v>19189.04</v>
      </c>
    </row>
    <row r="137" spans="1:28" hidden="1">
      <c r="A137" s="78" t="s">
        <v>819</v>
      </c>
      <c r="B137" s="79">
        <v>1</v>
      </c>
      <c r="C137" s="84" t="s">
        <v>859</v>
      </c>
      <c r="D137" s="78" t="s">
        <v>821</v>
      </c>
      <c r="E137" s="78" t="s">
        <v>829</v>
      </c>
      <c r="F137" s="81">
        <v>1</v>
      </c>
      <c r="G137" s="950">
        <v>24700</v>
      </c>
      <c r="H137" s="950"/>
    </row>
    <row r="138" spans="1:28" hidden="1">
      <c r="A138" s="78" t="s">
        <v>819</v>
      </c>
      <c r="B138" s="79">
        <v>1</v>
      </c>
      <c r="C138" s="78" t="s">
        <v>860</v>
      </c>
      <c r="D138" s="78" t="s">
        <v>821</v>
      </c>
      <c r="E138" s="78" t="s">
        <v>824</v>
      </c>
      <c r="F138" s="81">
        <v>1</v>
      </c>
      <c r="G138" s="950">
        <f>VLOOKUP(C138,'[9]2025'!$A$10:$C$97,2,0)</f>
        <v>8470.7289000000001</v>
      </c>
      <c r="H138" s="950">
        <f>VLOOKUP(C138,'[9]2025'!$A$10:$C$97,3,0)</f>
        <v>2025.1857599999996</v>
      </c>
    </row>
    <row r="139" spans="1:28" hidden="1">
      <c r="A139" s="78" t="s">
        <v>819</v>
      </c>
      <c r="B139" s="79">
        <v>1</v>
      </c>
      <c r="C139" s="78" t="s">
        <v>861</v>
      </c>
      <c r="D139" s="78" t="s">
        <v>821</v>
      </c>
      <c r="E139" s="78" t="s">
        <v>822</v>
      </c>
      <c r="F139" s="81">
        <v>1</v>
      </c>
      <c r="G139" s="950">
        <f>VLOOKUP(C139,'[9]2025'!$A$10:$C$97,2,0)</f>
        <v>100050</v>
      </c>
      <c r="H139" s="950">
        <f>VLOOKUP(C139,'[9]2025'!$A$10:$C$97,3,0)</f>
        <v>23920</v>
      </c>
    </row>
    <row r="140" spans="1:28" hidden="1">
      <c r="A140" s="78" t="s">
        <v>819</v>
      </c>
      <c r="B140" s="79">
        <v>1</v>
      </c>
      <c r="C140" s="91" t="s">
        <v>862</v>
      </c>
      <c r="D140" s="78" t="s">
        <v>821</v>
      </c>
      <c r="E140" s="78" t="s">
        <v>822</v>
      </c>
      <c r="F140" s="81">
        <v>1</v>
      </c>
      <c r="G140" s="950">
        <f>VLOOKUP(C140,'[9]2025'!$A$10:$C$97,2,0)</f>
        <v>59996.85</v>
      </c>
      <c r="H140" s="950">
        <f>VLOOKUP(C140,'[9]2025'!$A$10:$C$97,3,0)</f>
        <v>14405.04</v>
      </c>
      <c r="I140" s="14" t="s">
        <v>958</v>
      </c>
    </row>
    <row r="141" spans="1:28" hidden="1">
      <c r="A141" s="78" t="s">
        <v>819</v>
      </c>
      <c r="B141" s="79">
        <v>1</v>
      </c>
      <c r="C141" s="84" t="s">
        <v>863</v>
      </c>
      <c r="D141" s="78" t="s">
        <v>821</v>
      </c>
      <c r="E141" s="78" t="s">
        <v>829</v>
      </c>
      <c r="F141" s="81">
        <v>1</v>
      </c>
      <c r="G141" s="950">
        <f>VLOOKUP(C141,'[9]2025'!$A$10:$C$97,2,0)</f>
        <v>60431.85</v>
      </c>
      <c r="H141" s="950">
        <f>VLOOKUP(C141,'[9]2025'!$A$10:$C$97,3,0)</f>
        <v>14509.039999999999</v>
      </c>
    </row>
    <row r="142" spans="1:28" hidden="1">
      <c r="A142" s="78" t="s">
        <v>819</v>
      </c>
      <c r="B142" s="79">
        <v>1</v>
      </c>
      <c r="C142" s="78" t="s">
        <v>864</v>
      </c>
      <c r="D142" s="78" t="s">
        <v>821</v>
      </c>
      <c r="E142" s="78" t="s">
        <v>826</v>
      </c>
      <c r="F142" s="81">
        <v>1</v>
      </c>
      <c r="G142" s="950">
        <f>VLOOKUP(C142,'[9]2025'!$A$10:$C$97,2,0)</f>
        <v>26909.1</v>
      </c>
      <c r="H142" s="950">
        <f>VLOOKUP(C142,'[9]2025'!$A$10:$C$97,3,0)</f>
        <v>6371.58</v>
      </c>
    </row>
    <row r="143" spans="1:28" hidden="1">
      <c r="A143" s="78" t="s">
        <v>819</v>
      </c>
      <c r="B143" s="79">
        <v>1</v>
      </c>
      <c r="C143" s="84" t="s">
        <v>865</v>
      </c>
      <c r="D143" s="78" t="s">
        <v>821</v>
      </c>
      <c r="E143" s="78" t="s">
        <v>822</v>
      </c>
      <c r="F143" s="81">
        <v>1</v>
      </c>
      <c r="G143" s="950">
        <f>VLOOKUP(C143,'[9]2025'!$A$10:$C$97,2,0)</f>
        <v>75619</v>
      </c>
      <c r="H143" s="950">
        <f>VLOOKUP(C143,'[9]2025'!$A$10:$C$97,3,0)</f>
        <v>17628</v>
      </c>
      <c r="I143" s="14" t="s">
        <v>957</v>
      </c>
    </row>
    <row r="144" spans="1:28" hidden="1">
      <c r="A144" s="78" t="s">
        <v>819</v>
      </c>
      <c r="B144" s="79">
        <v>1</v>
      </c>
      <c r="C144" s="91" t="s">
        <v>866</v>
      </c>
      <c r="D144" s="78" t="s">
        <v>821</v>
      </c>
      <c r="E144" s="78" t="s">
        <v>826</v>
      </c>
      <c r="F144" s="81">
        <v>1</v>
      </c>
      <c r="G144" s="950">
        <f>VLOOKUP(C144,'[9]2025'!$A$10:$C$97,2,0)</f>
        <v>65042.85</v>
      </c>
      <c r="H144" s="950">
        <f>VLOOKUP(C144,'[9]2025'!$A$10:$C$97,3,0)</f>
        <v>15611.439999999999</v>
      </c>
    </row>
    <row r="145" spans="1:9" hidden="1">
      <c r="A145" s="78" t="s">
        <v>819</v>
      </c>
      <c r="B145" s="79">
        <v>1</v>
      </c>
      <c r="C145" s="83" t="s">
        <v>889</v>
      </c>
      <c r="D145" s="78" t="s">
        <v>821</v>
      </c>
      <c r="E145" s="78" t="s">
        <v>843</v>
      </c>
      <c r="F145" s="81">
        <v>1</v>
      </c>
      <c r="G145" s="950">
        <f>VLOOKUP(C145,'[9]2025'!$A$10:$C$97,2,0)</f>
        <v>59996.85</v>
      </c>
      <c r="H145" s="950">
        <f>VLOOKUP(C145,'[9]2025'!$A$10:$C$97,3,0)</f>
        <v>14405.04</v>
      </c>
    </row>
    <row r="146" spans="1:9" hidden="1">
      <c r="A146" s="78" t="s">
        <v>819</v>
      </c>
      <c r="B146" s="79">
        <v>1</v>
      </c>
      <c r="C146" s="80" t="s">
        <v>867</v>
      </c>
      <c r="D146" s="78" t="s">
        <v>821</v>
      </c>
      <c r="E146" s="78" t="s">
        <v>822</v>
      </c>
      <c r="F146" s="81">
        <v>1</v>
      </c>
      <c r="G146" s="950">
        <f>VLOOKUP(C146,'[9]2025'!$A$10:$C$97,2,0)</f>
        <v>59996.85</v>
      </c>
      <c r="H146" s="950">
        <f>VLOOKUP(C146,'[9]2025'!$A$10:$C$97,3,0)</f>
        <v>14405.039999999999</v>
      </c>
      <c r="I146" s="14" t="s">
        <v>957</v>
      </c>
    </row>
    <row r="147" spans="1:9" hidden="1">
      <c r="A147" s="78" t="s">
        <v>819</v>
      </c>
      <c r="B147" s="79">
        <v>1</v>
      </c>
      <c r="C147" s="80" t="s">
        <v>868</v>
      </c>
      <c r="D147" s="78" t="s">
        <v>821</v>
      </c>
      <c r="E147" s="78" t="s">
        <v>826</v>
      </c>
      <c r="F147" s="81">
        <v>1</v>
      </c>
      <c r="G147" s="950">
        <f>VLOOKUP(C147,'[9]2025'!$A$10:$C$97,2,0)</f>
        <v>71127</v>
      </c>
      <c r="H147" s="950">
        <f>VLOOKUP(C147,'[9]2025'!$A$10:$C$97,3,0)</f>
        <v>15652</v>
      </c>
    </row>
    <row r="148" spans="1:9" hidden="1">
      <c r="A148" s="78" t="s">
        <v>819</v>
      </c>
      <c r="B148" s="79">
        <v>1</v>
      </c>
      <c r="C148" s="90" t="s">
        <v>869</v>
      </c>
      <c r="D148" s="78" t="s">
        <v>821</v>
      </c>
      <c r="E148" s="78" t="s">
        <v>822</v>
      </c>
      <c r="F148" s="81">
        <v>1</v>
      </c>
      <c r="G148" s="950">
        <f>VLOOKUP(C148,'[9]2025'!$A$10:$C$97,2,0)</f>
        <v>90011.85</v>
      </c>
      <c r="H148" s="950">
        <f>VLOOKUP(C148,'[9]2025'!$A$10:$C$97,3,0)</f>
        <v>21581.040000000001</v>
      </c>
      <c r="I148" s="14" t="s">
        <v>959</v>
      </c>
    </row>
    <row r="149" spans="1:9" hidden="1">
      <c r="A149" s="78" t="s">
        <v>819</v>
      </c>
      <c r="B149" s="79">
        <v>1</v>
      </c>
      <c r="C149" s="90" t="s">
        <v>870</v>
      </c>
      <c r="D149" s="78" t="s">
        <v>821</v>
      </c>
      <c r="E149" s="78" t="s">
        <v>822</v>
      </c>
      <c r="F149" s="81">
        <v>1</v>
      </c>
      <c r="G149" s="950">
        <f>VLOOKUP(C149,'[9]2025'!$A$10:$C$97,2,0)</f>
        <v>42021</v>
      </c>
      <c r="H149" s="950">
        <f>VLOOKUP(C149,'[9]2025'!$A$10:$C$97,3,0)</f>
        <v>10046.4</v>
      </c>
      <c r="I149" s="14" t="s">
        <v>958</v>
      </c>
    </row>
    <row r="150" spans="1:9" hidden="1">
      <c r="A150" s="78" t="s">
        <v>819</v>
      </c>
      <c r="B150" s="79">
        <v>1</v>
      </c>
      <c r="C150" s="78" t="s">
        <v>871</v>
      </c>
      <c r="D150" s="78" t="s">
        <v>821</v>
      </c>
      <c r="E150" s="78" t="s">
        <v>829</v>
      </c>
      <c r="F150" s="81">
        <v>1</v>
      </c>
      <c r="G150" s="950">
        <f>VLOOKUP(C150,'[9]2025'!$A$10:$C$97,2,0)</f>
        <v>50426.85</v>
      </c>
      <c r="H150" s="950">
        <f>VLOOKUP(C150,'[9]2025'!$A$10:$C$97,3,0)</f>
        <v>12117.04</v>
      </c>
    </row>
    <row r="151" spans="1:9" hidden="1">
      <c r="A151" s="78" t="s">
        <v>819</v>
      </c>
      <c r="B151" s="79">
        <v>1</v>
      </c>
      <c r="C151" s="78" t="s">
        <v>872</v>
      </c>
      <c r="D151" s="78" t="s">
        <v>821</v>
      </c>
      <c r="E151" s="78" t="s">
        <v>824</v>
      </c>
      <c r="F151" s="81">
        <v>1</v>
      </c>
      <c r="G151" s="950">
        <f>VLOOKUP(C151,'[9]2025'!$A$10:$C$97,2,0)</f>
        <v>138341.2585</v>
      </c>
      <c r="H151" s="950">
        <f>VLOOKUP(C151,'[9]2025'!$A$10:$C$97,3,0)</f>
        <v>32623.666399999998</v>
      </c>
    </row>
    <row r="152" spans="1:9" hidden="1">
      <c r="A152" s="78" t="s">
        <v>819</v>
      </c>
      <c r="B152" s="79">
        <v>1</v>
      </c>
      <c r="C152" s="78" t="s">
        <v>873</v>
      </c>
      <c r="D152" s="78" t="s">
        <v>821</v>
      </c>
      <c r="E152" s="78" t="s">
        <v>843</v>
      </c>
      <c r="F152" s="81">
        <v>1</v>
      </c>
      <c r="G152" s="950">
        <f>VLOOKUP(C152,'[9]2025'!$A$10:$C$97,2,0)</f>
        <v>86352</v>
      </c>
      <c r="H152" s="950">
        <f>VLOOKUP(C152,'[9]2025'!$A$10:$C$97,3,0)</f>
        <v>19292</v>
      </c>
    </row>
    <row r="153" spans="1:9" hidden="1">
      <c r="A153" s="78" t="s">
        <v>819</v>
      </c>
      <c r="B153" s="79">
        <v>1</v>
      </c>
      <c r="C153" s="91" t="s">
        <v>874</v>
      </c>
      <c r="D153" s="78" t="s">
        <v>821</v>
      </c>
      <c r="E153" s="78" t="s">
        <v>836</v>
      </c>
      <c r="F153" s="81">
        <v>1</v>
      </c>
      <c r="G153" s="950">
        <f>VLOOKUP(C153,'[9]2025'!$A$10:$C$97,2,0)</f>
        <v>59996.85</v>
      </c>
      <c r="H153" s="950">
        <f>VLOOKUP(C153,'[9]2025'!$A$10:$C$97,3,0)</f>
        <v>14405.04</v>
      </c>
    </row>
    <row r="154" spans="1:9" hidden="1">
      <c r="A154" s="78" t="s">
        <v>819</v>
      </c>
      <c r="B154" s="79">
        <v>1</v>
      </c>
      <c r="C154" s="84" t="s">
        <v>875</v>
      </c>
      <c r="D154" s="78" t="s">
        <v>821</v>
      </c>
      <c r="E154" s="78" t="s">
        <v>822</v>
      </c>
      <c r="F154" s="81">
        <v>1</v>
      </c>
      <c r="G154" s="950">
        <f>VLOOKUP(C154,'[9]2025'!$A$10:$C$97,2,0)</f>
        <v>77438.204100000003</v>
      </c>
      <c r="H154" s="950">
        <f>VLOOKUP(C154,'[9]2025'!$A$10:$C$97,3,0)</f>
        <v>18513.961439999999</v>
      </c>
    </row>
    <row r="155" spans="1:9" hidden="1">
      <c r="A155" s="78" t="s">
        <v>819</v>
      </c>
      <c r="B155" s="79">
        <v>1</v>
      </c>
      <c r="C155" s="85" t="s">
        <v>876</v>
      </c>
      <c r="D155" s="78" t="s">
        <v>821</v>
      </c>
      <c r="E155" s="78" t="s">
        <v>824</v>
      </c>
      <c r="F155" s="81">
        <v>1</v>
      </c>
      <c r="G155" s="950">
        <f>VLOOKUP(C155,'[9]2025'!$A$10:$C$97,2,0)</f>
        <v>40020</v>
      </c>
      <c r="H155" s="950">
        <f>VLOOKUP(C155,'[9]2025'!$A$10:$C$97,3,0)</f>
        <v>9568</v>
      </c>
    </row>
    <row r="156" spans="1:9" hidden="1">
      <c r="A156" s="78" t="s">
        <v>819</v>
      </c>
      <c r="B156" s="79">
        <v>1</v>
      </c>
      <c r="C156" s="84" t="s">
        <v>877</v>
      </c>
      <c r="D156" s="78" t="s">
        <v>821</v>
      </c>
      <c r="E156" s="91" t="s">
        <v>942</v>
      </c>
      <c r="F156" s="81">
        <v>1</v>
      </c>
      <c r="G156" s="950">
        <f>VLOOKUP(C156,'[9]2025'!$A$10:$C$97,2,0)</f>
        <v>130065</v>
      </c>
      <c r="H156" s="950">
        <f>VLOOKUP(C156,'[9]2025'!$A$10:$C$97,3,0)</f>
        <v>31096</v>
      </c>
    </row>
    <row r="157" spans="1:9" hidden="1">
      <c r="A157" s="78" t="s">
        <v>819</v>
      </c>
      <c r="B157" s="79">
        <v>1</v>
      </c>
      <c r="C157" s="78" t="s">
        <v>878</v>
      </c>
      <c r="D157" s="78" t="s">
        <v>821</v>
      </c>
      <c r="E157" s="78" t="s">
        <v>836</v>
      </c>
      <c r="F157" s="81">
        <v>1</v>
      </c>
      <c r="G157" s="950">
        <f>VLOOKUP(C157,'[9]2025'!$A$10:$C$97,2,0)</f>
        <v>60360.85</v>
      </c>
      <c r="H157" s="950">
        <f>VLOOKUP(C157,'[9]2025'!$A$10:$C$97,3,0)</f>
        <v>14041.04</v>
      </c>
    </row>
    <row r="158" spans="1:9" hidden="1">
      <c r="A158" s="78" t="s">
        <v>819</v>
      </c>
      <c r="B158" s="79">
        <v>1</v>
      </c>
      <c r="C158" s="83" t="s">
        <v>879</v>
      </c>
      <c r="D158" s="78" t="s">
        <v>821</v>
      </c>
      <c r="E158" s="78" t="s">
        <v>822</v>
      </c>
      <c r="F158" s="81">
        <v>1</v>
      </c>
      <c r="G158" s="950">
        <f>VLOOKUP(C158,'[9]2025'!$A$10:$C$97,2,0)</f>
        <v>120060</v>
      </c>
      <c r="H158" s="950">
        <f>VLOOKUP(C158,'[9]2025'!$A$10:$C$97,3,0)</f>
        <v>28704</v>
      </c>
      <c r="I158" s="14" t="s">
        <v>960</v>
      </c>
    </row>
    <row r="159" spans="1:9" hidden="1">
      <c r="A159" s="78" t="s">
        <v>819</v>
      </c>
      <c r="B159" s="79">
        <v>1</v>
      </c>
      <c r="C159" s="83" t="s">
        <v>880</v>
      </c>
      <c r="D159" s="78" t="s">
        <v>821</v>
      </c>
      <c r="E159" s="78" t="s">
        <v>822</v>
      </c>
      <c r="F159" s="81">
        <v>1</v>
      </c>
      <c r="G159" s="950">
        <f>VLOOKUP(C159,'[9]2025'!$A$10:$C$97,2,0)</f>
        <v>190070.5356</v>
      </c>
      <c r="H159" s="950">
        <f>VLOOKUP(C159,'[9]2025'!$A$10:$C$97,3,0)</f>
        <v>45442.151039999997</v>
      </c>
      <c r="I159" s="14" t="s">
        <v>960</v>
      </c>
    </row>
    <row r="160" spans="1:9" hidden="1">
      <c r="A160" s="78" t="s">
        <v>819</v>
      </c>
      <c r="B160" s="79">
        <v>1</v>
      </c>
      <c r="C160" s="91" t="s">
        <v>881</v>
      </c>
      <c r="D160" s="78" t="s">
        <v>821</v>
      </c>
      <c r="E160" s="91" t="s">
        <v>942</v>
      </c>
      <c r="F160" s="81">
        <v>1</v>
      </c>
      <c r="G160" s="950">
        <v>132950</v>
      </c>
      <c r="H160" s="950"/>
    </row>
    <row r="161" spans="1:9" hidden="1">
      <c r="A161" s="78" t="s">
        <v>819</v>
      </c>
      <c r="B161" s="79">
        <v>1</v>
      </c>
      <c r="C161" s="78" t="s">
        <v>882</v>
      </c>
      <c r="D161" s="78" t="s">
        <v>821</v>
      </c>
      <c r="E161" s="78" t="s">
        <v>822</v>
      </c>
      <c r="F161" s="81">
        <v>1</v>
      </c>
      <c r="G161" s="950">
        <f>VLOOKUP(C161,'[9]2025'!$A$10:$C$97,2,0)</f>
        <v>70035</v>
      </c>
      <c r="H161" s="950">
        <f>VLOOKUP(C161,'[9]2025'!$A$10:$C$97,3,0)</f>
        <v>16744</v>
      </c>
      <c r="I161" s="14" t="s">
        <v>957</v>
      </c>
    </row>
    <row r="162" spans="1:9" ht="26.4" hidden="1">
      <c r="A162" s="78" t="s">
        <v>819</v>
      </c>
      <c r="B162" s="79">
        <v>1</v>
      </c>
      <c r="C162" s="80" t="s">
        <v>883</v>
      </c>
      <c r="D162" s="78" t="s">
        <v>821</v>
      </c>
      <c r="E162" s="78" t="s">
        <v>826</v>
      </c>
      <c r="F162" s="81">
        <v>1</v>
      </c>
      <c r="G162" s="950">
        <f>VLOOKUP(C162,'[9]2025'!$A$10:$C$97,2,0)</f>
        <v>120060</v>
      </c>
      <c r="H162" s="950">
        <f>VLOOKUP(C162,'[9]2025'!$A$10:$C$97,3,0)</f>
        <v>28428</v>
      </c>
    </row>
    <row r="163" spans="1:9" hidden="1">
      <c r="A163" s="78" t="s">
        <v>819</v>
      </c>
      <c r="B163" s="79">
        <v>1</v>
      </c>
      <c r="C163" s="91" t="s">
        <v>884</v>
      </c>
      <c r="D163" s="78" t="s">
        <v>821</v>
      </c>
      <c r="E163" s="78" t="s">
        <v>824</v>
      </c>
      <c r="F163" s="81">
        <v>1</v>
      </c>
      <c r="G163" s="950">
        <f>VLOOKUP(C163,'[9]2025'!$A$10:$C$97,2,0)</f>
        <v>70000.2</v>
      </c>
      <c r="H163" s="950">
        <f>VLOOKUP(C163,'[9]2025'!$A$10:$C$97,3,0)</f>
        <v>16574.759999999998</v>
      </c>
    </row>
    <row r="164" spans="1:9" hidden="1">
      <c r="A164" s="78" t="s">
        <v>819</v>
      </c>
      <c r="B164" s="79">
        <v>1</v>
      </c>
      <c r="C164" s="80" t="s">
        <v>887</v>
      </c>
      <c r="D164" s="78" t="s">
        <v>821</v>
      </c>
      <c r="E164" s="78" t="s">
        <v>822</v>
      </c>
      <c r="F164" s="81">
        <v>1</v>
      </c>
      <c r="G164" s="950">
        <f>VLOOKUP(C164,'[9]2025'!$A$10:$C$97,2,0)+40020</f>
        <v>121118.85</v>
      </c>
      <c r="H164" s="950">
        <f>VLOOKUP(C164,'[9]2025'!$A$10:$C$97,3,0)+9568</f>
        <v>27665.040000000001</v>
      </c>
      <c r="I164" s="14" t="s">
        <v>959</v>
      </c>
    </row>
    <row r="165" spans="1:9" hidden="1">
      <c r="A165" s="78" t="s">
        <v>819</v>
      </c>
      <c r="B165" s="79">
        <v>1</v>
      </c>
      <c r="C165" s="78" t="s">
        <v>885</v>
      </c>
      <c r="D165" s="78" t="s">
        <v>821</v>
      </c>
      <c r="E165" s="78" t="s">
        <v>824</v>
      </c>
      <c r="F165" s="81">
        <v>1</v>
      </c>
      <c r="G165" s="950">
        <f>VLOOKUP(C165,'[9]2025'!$A$10:$C$97,2,0)</f>
        <v>59996.85</v>
      </c>
      <c r="H165" s="950">
        <f>VLOOKUP(C165,'[9]2025'!$A$10:$C$97,3,0)</f>
        <v>14405.039999999999</v>
      </c>
    </row>
    <row r="166" spans="1:9" hidden="1">
      <c r="A166" s="78" t="s">
        <v>819</v>
      </c>
      <c r="B166" s="79">
        <v>1</v>
      </c>
      <c r="C166" s="80" t="s">
        <v>886</v>
      </c>
      <c r="D166" s="78" t="s">
        <v>821</v>
      </c>
      <c r="E166" s="78" t="s">
        <v>822</v>
      </c>
      <c r="F166" s="81">
        <v>1</v>
      </c>
      <c r="G166" s="950">
        <f>VLOOKUP(C166,'[9]2025'!$A$10:$C$97,2,0)</f>
        <v>100050</v>
      </c>
      <c r="H166" s="950">
        <f>VLOOKUP(C166,'[9]2025'!$A$10:$C$97,3,0)</f>
        <v>23920</v>
      </c>
      <c r="I166" s="14" t="s">
        <v>959</v>
      </c>
    </row>
    <row r="167" spans="1:9" hidden="1">
      <c r="A167" s="78" t="s">
        <v>819</v>
      </c>
      <c r="B167" s="79">
        <v>1</v>
      </c>
      <c r="C167" s="80" t="s">
        <v>888</v>
      </c>
      <c r="D167" s="78" t="s">
        <v>821</v>
      </c>
      <c r="E167" s="78" t="s">
        <v>822</v>
      </c>
      <c r="F167" s="81">
        <v>1</v>
      </c>
      <c r="G167" s="950">
        <f>VLOOKUP(C167,'[9]2025'!$A$10:$C$97,2,0)</f>
        <v>41933.263500000001</v>
      </c>
      <c r="H167" s="950">
        <f>VLOOKUP(C167,'[9]2025'!$A$10:$C$97,3,0)</f>
        <v>10068.4584</v>
      </c>
      <c r="I167" s="14" t="s">
        <v>958</v>
      </c>
    </row>
    <row r="168" spans="1:9" hidden="1">
      <c r="A168" s="78" t="s">
        <v>910</v>
      </c>
      <c r="B168" s="79">
        <v>1</v>
      </c>
      <c r="C168" s="83" t="s">
        <v>914</v>
      </c>
      <c r="D168" s="78" t="s">
        <v>832</v>
      </c>
      <c r="E168" s="78" t="s">
        <v>172</v>
      </c>
      <c r="F168" s="81">
        <v>1</v>
      </c>
      <c r="G168" s="950">
        <f>VLOOKUP(C168,'[9]2025'!$A$10:$C$97,2,0)</f>
        <v>80040</v>
      </c>
      <c r="H168" s="950">
        <f>VLOOKUP(C168,'[9]2025'!$A$10:$C$97,3,0)</f>
        <v>19136</v>
      </c>
    </row>
    <row r="169" spans="1:9" hidden="1">
      <c r="A169" s="78" t="s">
        <v>910</v>
      </c>
      <c r="B169" s="79">
        <v>1</v>
      </c>
      <c r="C169" s="78" t="s">
        <v>917</v>
      </c>
      <c r="D169" s="78" t="s">
        <v>821</v>
      </c>
      <c r="E169" s="78" t="s">
        <v>172</v>
      </c>
      <c r="F169" s="81">
        <v>1</v>
      </c>
      <c r="G169" s="950">
        <f>VLOOKUP(C169,'[9]2025'!$A$10:$C$97,2,0)</f>
        <v>110055</v>
      </c>
      <c r="H169" s="950">
        <f>VLOOKUP(C169,'[9]2025'!$A$10:$C$97,3,0)</f>
        <v>26312</v>
      </c>
    </row>
    <row r="170" spans="1:9" hidden="1">
      <c r="A170" s="78" t="s">
        <v>910</v>
      </c>
      <c r="B170" s="79">
        <v>1</v>
      </c>
      <c r="C170" s="101" t="s">
        <v>916</v>
      </c>
      <c r="D170" s="78" t="s">
        <v>821</v>
      </c>
      <c r="E170" s="78" t="s">
        <v>172</v>
      </c>
      <c r="F170" s="81">
        <v>1</v>
      </c>
      <c r="G170" s="950">
        <f>VLOOKUP(C170,'[9]2025'!$A$10:$C$97,2,0)</f>
        <v>27013.5</v>
      </c>
      <c r="H170" s="950">
        <f>VLOOKUP(C170,'[9]2025'!$A$10:$C$97,3,0)</f>
        <v>6396.2999999999993</v>
      </c>
    </row>
    <row r="171" spans="1:9" hidden="1">
      <c r="A171" s="78" t="s">
        <v>910</v>
      </c>
      <c r="B171" s="79">
        <v>1</v>
      </c>
      <c r="C171" s="78" t="s">
        <v>911</v>
      </c>
      <c r="D171" s="78" t="s">
        <v>832</v>
      </c>
      <c r="E171" s="78" t="s">
        <v>172</v>
      </c>
      <c r="F171" s="81">
        <v>1</v>
      </c>
      <c r="G171" s="950">
        <f>VLOOKUP(C171,'[9]2025'!$A$10:$C$97,2,0)</f>
        <v>83955</v>
      </c>
      <c r="H171" s="950">
        <f>VLOOKUP(C171,'[9]2025'!$A$10:$C$97,3,0)</f>
        <v>20072</v>
      </c>
    </row>
    <row r="172" spans="1:9" hidden="1">
      <c r="A172" s="78" t="s">
        <v>910</v>
      </c>
      <c r="B172" s="79">
        <v>1</v>
      </c>
      <c r="C172" s="78" t="s">
        <v>912</v>
      </c>
      <c r="D172" s="78" t="s">
        <v>832</v>
      </c>
      <c r="E172" s="78" t="s">
        <v>172</v>
      </c>
      <c r="F172" s="81">
        <v>1</v>
      </c>
      <c r="G172" s="950">
        <f>VLOOKUP(C172,'[9]2025'!$A$10:$C$97,2,0)</f>
        <v>94658.85</v>
      </c>
      <c r="H172" s="950">
        <f>VLOOKUP(C172,'[9]2025'!$A$10:$C$97,3,0)</f>
        <v>17473.04</v>
      </c>
    </row>
    <row r="173" spans="1:9" hidden="1">
      <c r="A173" s="78" t="s">
        <v>910</v>
      </c>
      <c r="B173" s="79">
        <v>1</v>
      </c>
      <c r="C173" s="93" t="s">
        <v>915</v>
      </c>
      <c r="D173" s="78" t="s">
        <v>832</v>
      </c>
      <c r="E173" s="78" t="s">
        <v>172</v>
      </c>
      <c r="F173" s="81">
        <v>1</v>
      </c>
      <c r="G173" s="950">
        <v>117022</v>
      </c>
      <c r="H173" s="950"/>
    </row>
    <row r="174" spans="1:9" hidden="1">
      <c r="A174" s="78" t="s">
        <v>905</v>
      </c>
      <c r="B174" s="79">
        <v>1</v>
      </c>
      <c r="C174" s="84" t="s">
        <v>908</v>
      </c>
      <c r="D174" s="78" t="s">
        <v>832</v>
      </c>
      <c r="E174" s="78" t="s">
        <v>173</v>
      </c>
      <c r="F174" s="81">
        <v>1</v>
      </c>
      <c r="G174" s="950">
        <f>VLOOKUP(C174,'[9]2025'!$A$10:$C$97,2,0)</f>
        <v>60030</v>
      </c>
      <c r="H174" s="950">
        <f>VLOOKUP(C174,'[9]2025'!$A$10:$C$97,3,0)</f>
        <v>14352</v>
      </c>
    </row>
    <row r="175" spans="1:9" hidden="1">
      <c r="A175" s="78" t="s">
        <v>905</v>
      </c>
      <c r="B175" s="79">
        <v>1</v>
      </c>
      <c r="C175" s="78" t="s">
        <v>907</v>
      </c>
      <c r="D175" s="78" t="s">
        <v>832</v>
      </c>
      <c r="E175" s="78" t="s">
        <v>173</v>
      </c>
      <c r="F175" s="81">
        <v>1</v>
      </c>
      <c r="G175" s="950">
        <f>VLOOKUP(C175,'[9]2025'!$A$10:$C$97,2,0)</f>
        <v>35164</v>
      </c>
      <c r="H175" s="950">
        <f>VLOOKUP(C175,'[9]2025'!$A$10:$C$97,3,0)</f>
        <v>7955.9999999999991</v>
      </c>
    </row>
    <row r="176" spans="1:9" ht="26.4" hidden="1">
      <c r="A176" s="78" t="s">
        <v>905</v>
      </c>
      <c r="B176" s="79">
        <v>1</v>
      </c>
      <c r="C176" s="92" t="s">
        <v>909</v>
      </c>
      <c r="D176" s="78" t="s">
        <v>832</v>
      </c>
      <c r="E176" s="78" t="s">
        <v>173</v>
      </c>
      <c r="F176" s="81">
        <v>1</v>
      </c>
      <c r="G176" s="950">
        <f>VLOOKUP(C176,'[9]2025'!$A$10:$C$97,2,0)</f>
        <v>150405.85</v>
      </c>
      <c r="H176" s="950">
        <f>VLOOKUP(C176,'[9]2025'!$A$10:$C$97,3,0)</f>
        <v>35569.040000000001</v>
      </c>
    </row>
    <row r="177" spans="1:8" ht="26.4" hidden="1">
      <c r="A177" s="78" t="s">
        <v>905</v>
      </c>
      <c r="B177" s="79">
        <v>1</v>
      </c>
      <c r="C177" s="80" t="s">
        <v>906</v>
      </c>
      <c r="D177" s="78" t="s">
        <v>832</v>
      </c>
      <c r="E177" s="963" t="s">
        <v>942</v>
      </c>
      <c r="F177" s="81">
        <v>1</v>
      </c>
      <c r="G177" s="950">
        <f>VLOOKUP(C177,'[9]2025'!$A$10:$C$97,2,0)</f>
        <v>100380.85</v>
      </c>
      <c r="H177" s="950">
        <f>VLOOKUP(C177,'[9]2025'!$A$10:$C$97,3,0)</f>
        <v>23609.040000000001</v>
      </c>
    </row>
    <row r="178" spans="1:8" hidden="1">
      <c r="A178" s="78" t="s">
        <v>890</v>
      </c>
      <c r="B178" s="79">
        <v>1</v>
      </c>
      <c r="C178" s="80" t="s">
        <v>891</v>
      </c>
      <c r="D178" s="78" t="s">
        <v>832</v>
      </c>
      <c r="E178" s="78" t="s">
        <v>210</v>
      </c>
      <c r="F178" s="81">
        <v>1</v>
      </c>
      <c r="G178" s="1835">
        <v>903513</v>
      </c>
      <c r="H178" s="1835">
        <v>230461</v>
      </c>
    </row>
    <row r="179" spans="1:8" hidden="1">
      <c r="A179" s="78" t="s">
        <v>890</v>
      </c>
      <c r="B179" s="79">
        <v>1</v>
      </c>
      <c r="C179" s="84" t="s">
        <v>892</v>
      </c>
      <c r="D179" s="78" t="s">
        <v>832</v>
      </c>
      <c r="E179" s="78" t="s">
        <v>210</v>
      </c>
      <c r="F179" s="81">
        <v>1</v>
      </c>
      <c r="G179" s="1836"/>
      <c r="H179" s="1836"/>
    </row>
    <row r="180" spans="1:8" hidden="1">
      <c r="A180" s="78" t="s">
        <v>890</v>
      </c>
      <c r="B180" s="79">
        <v>1</v>
      </c>
      <c r="C180" s="84" t="s">
        <v>893</v>
      </c>
      <c r="D180" s="78" t="s">
        <v>832</v>
      </c>
      <c r="E180" s="78" t="s">
        <v>210</v>
      </c>
      <c r="F180" s="81">
        <v>1</v>
      </c>
      <c r="G180" s="1836"/>
      <c r="H180" s="1836"/>
    </row>
    <row r="181" spans="1:8" hidden="1">
      <c r="A181" s="78" t="s">
        <v>890</v>
      </c>
      <c r="B181" s="79">
        <v>1</v>
      </c>
      <c r="C181" s="80" t="s">
        <v>894</v>
      </c>
      <c r="D181" s="78" t="s">
        <v>832</v>
      </c>
      <c r="E181" s="78" t="s">
        <v>210</v>
      </c>
      <c r="F181" s="81">
        <v>1</v>
      </c>
      <c r="G181" s="1837"/>
      <c r="H181" s="1837"/>
    </row>
    <row r="182" spans="1:8" ht="16.2" hidden="1" customHeight="1">
      <c r="A182" s="78" t="s">
        <v>340</v>
      </c>
      <c r="B182" s="79">
        <v>2</v>
      </c>
      <c r="C182" s="78" t="s">
        <v>904</v>
      </c>
      <c r="D182" s="78" t="s">
        <v>832</v>
      </c>
      <c r="E182" s="951" t="s">
        <v>180</v>
      </c>
      <c r="F182" s="81">
        <v>1</v>
      </c>
      <c r="G182" s="950">
        <f>VLOOKUP(C182,'[10]за месяц 2025 (2)'!$A$8:$E$99,2,0)</f>
        <v>57033</v>
      </c>
      <c r="H182" s="950">
        <f>VLOOKUP(C182,'[10]за месяц 2025 (2)'!$A$8:$E$99,3,0)</f>
        <v>13707.199999999999</v>
      </c>
    </row>
    <row r="183" spans="1:8" hidden="1">
      <c r="A183" s="78" t="s">
        <v>339</v>
      </c>
      <c r="B183" s="79">
        <v>2</v>
      </c>
      <c r="C183" s="84" t="s">
        <v>901</v>
      </c>
      <c r="D183" s="78" t="s">
        <v>832</v>
      </c>
      <c r="E183" s="951" t="s">
        <v>9</v>
      </c>
      <c r="F183" s="81">
        <v>1</v>
      </c>
      <c r="G183" s="950">
        <f>VLOOKUP(C183,'[10]за месяц 2025 (2)'!$A$8:$E$99,2,0)</f>
        <v>8765.25</v>
      </c>
      <c r="H183" s="950">
        <f>VLOOKUP(C183,'[10]за месяц 2025 (2)'!$A$8:$E$99,3,0)</f>
        <v>2095.6</v>
      </c>
    </row>
    <row r="184" spans="1:8" hidden="1">
      <c r="A184" s="78" t="s">
        <v>339</v>
      </c>
      <c r="B184" s="79">
        <v>2</v>
      </c>
      <c r="C184" s="92" t="s">
        <v>902</v>
      </c>
      <c r="D184" s="78" t="s">
        <v>832</v>
      </c>
      <c r="E184" s="951" t="s">
        <v>9</v>
      </c>
      <c r="F184" s="81">
        <v>1</v>
      </c>
      <c r="G184" s="950">
        <v>50000</v>
      </c>
      <c r="H184" s="950"/>
    </row>
    <row r="185" spans="1:8" hidden="1">
      <c r="A185" s="78" t="s">
        <v>339</v>
      </c>
      <c r="B185" s="79">
        <v>2</v>
      </c>
      <c r="C185" s="84" t="s">
        <v>900</v>
      </c>
      <c r="D185" s="78" t="s">
        <v>832</v>
      </c>
      <c r="E185" s="951" t="s">
        <v>9</v>
      </c>
      <c r="F185" s="81">
        <v>1</v>
      </c>
      <c r="G185" s="950">
        <f>VLOOKUP(C185,'[10]за месяц 2025 (2)'!$A$8:$E$99,2,0)</f>
        <v>58290</v>
      </c>
      <c r="H185" s="950">
        <f>VLOOKUP(C185,'[10]за месяц 2025 (2)'!$A$8:$E$99,3,0)</f>
        <v>13936</v>
      </c>
    </row>
    <row r="186" spans="1:8" hidden="1">
      <c r="A186" s="78" t="s">
        <v>339</v>
      </c>
      <c r="B186" s="79">
        <v>2</v>
      </c>
      <c r="C186" s="78" t="s">
        <v>898</v>
      </c>
      <c r="D186" s="78" t="s">
        <v>832</v>
      </c>
      <c r="E186" s="951" t="s">
        <v>9</v>
      </c>
      <c r="F186" s="81">
        <v>1</v>
      </c>
      <c r="G186" s="950">
        <f>VLOOKUP(C186,'[10]за месяц 2025 (2)'!$A$8:$E$99,2,0)</f>
        <v>60030</v>
      </c>
      <c r="H186" s="950">
        <f>VLOOKUP(C186,'[10]за месяц 2025 (2)'!$A$8:$E$99,3,0)</f>
        <v>14352</v>
      </c>
    </row>
    <row r="187" spans="1:8" hidden="1">
      <c r="A187" s="78" t="s">
        <v>339</v>
      </c>
      <c r="B187" s="79">
        <v>2</v>
      </c>
      <c r="C187" s="78" t="s">
        <v>899</v>
      </c>
      <c r="D187" s="78" t="s">
        <v>832</v>
      </c>
      <c r="E187" s="951" t="s">
        <v>9</v>
      </c>
      <c r="F187" s="81">
        <v>1</v>
      </c>
      <c r="G187" s="950">
        <f>VLOOKUP(C187,'[10]за месяц 2025 (2)'!$A$8:$E$99,2,0)</f>
        <v>91026</v>
      </c>
      <c r="H187" s="950">
        <f>VLOOKUP(C187,'[10]за месяц 2025 (2)'!$A$8:$E$99,3,0)</f>
        <v>21086</v>
      </c>
    </row>
    <row r="188" spans="1:8" hidden="1">
      <c r="A188" s="78" t="s">
        <v>339</v>
      </c>
      <c r="B188" s="79">
        <v>2</v>
      </c>
      <c r="C188" s="255" t="s">
        <v>896</v>
      </c>
      <c r="D188" s="78" t="s">
        <v>832</v>
      </c>
      <c r="E188" s="951" t="s">
        <v>9</v>
      </c>
      <c r="F188" s="81">
        <v>1</v>
      </c>
      <c r="G188" s="950">
        <f>VLOOKUP(C188,'[10]за месяц 2025 (2)'!$A$8:$E$99,2,0)</f>
        <v>60698.029500000004</v>
      </c>
      <c r="H188" s="950">
        <f>VLOOKUP(C188,'[10]за месяц 2025 (2)'!$A$8:$E$99,3,0)</f>
        <v>14511.712800000001</v>
      </c>
    </row>
    <row r="189" spans="1:8" ht="26.4" hidden="1">
      <c r="A189" s="78" t="s">
        <v>339</v>
      </c>
      <c r="B189" s="79">
        <v>2</v>
      </c>
      <c r="C189" s="80" t="s">
        <v>897</v>
      </c>
      <c r="D189" s="78" t="s">
        <v>832</v>
      </c>
      <c r="E189" s="951" t="s">
        <v>9</v>
      </c>
      <c r="F189" s="81">
        <v>1</v>
      </c>
      <c r="G189" s="950">
        <f>VLOOKUP(C189,'[10]за месяц 2025 (2)'!$A$8:$E$99,2,0)</f>
        <v>103898</v>
      </c>
      <c r="H189" s="950">
        <f>VLOOKUP(C189,'[10]за месяц 2025 (2)'!$A$8:$E$99,3,0)</f>
        <v>20072</v>
      </c>
    </row>
    <row r="190" spans="1:8" hidden="1">
      <c r="A190" s="78" t="s">
        <v>339</v>
      </c>
      <c r="B190" s="79">
        <v>2</v>
      </c>
      <c r="C190" s="84" t="s">
        <v>895</v>
      </c>
      <c r="D190" s="78" t="s">
        <v>832</v>
      </c>
      <c r="E190" s="951" t="s">
        <v>9</v>
      </c>
      <c r="F190" s="81">
        <v>1</v>
      </c>
      <c r="G190" s="950">
        <f>VLOOKUP(C190,'[10]за месяц 2025 (2)'!$A$8:$E$99,2,0)*25%</f>
        <v>43890.773549999998</v>
      </c>
      <c r="H190" s="950">
        <f>VLOOKUP(C190,'[10]за месяц 2025 (2)'!$A$8:$E$99,3,0)*25%</f>
        <v>10493.42632</v>
      </c>
    </row>
    <row r="191" spans="1:8" hidden="1">
      <c r="A191" s="78" t="s">
        <v>339</v>
      </c>
      <c r="B191" s="79">
        <v>2</v>
      </c>
      <c r="C191" s="80" t="s">
        <v>903</v>
      </c>
      <c r="D191" s="78" t="s">
        <v>832</v>
      </c>
      <c r="E191" s="951" t="s">
        <v>9</v>
      </c>
      <c r="F191" s="81">
        <v>1</v>
      </c>
      <c r="G191" s="950">
        <f>VLOOKUP(C191,'[10]за месяц 2025 (2)'!$A$8:$E$99,2,0)</f>
        <v>60030</v>
      </c>
      <c r="H191" s="950">
        <f>VLOOKUP(C191,'[10]за месяц 2025 (2)'!$A$8:$E$99,3,0)</f>
        <v>14352</v>
      </c>
    </row>
    <row r="192" spans="1:8" hidden="1">
      <c r="A192" s="78" t="s">
        <v>819</v>
      </c>
      <c r="B192" s="79">
        <v>2</v>
      </c>
      <c r="C192" s="80" t="s">
        <v>820</v>
      </c>
      <c r="D192" s="78" t="s">
        <v>821</v>
      </c>
      <c r="E192" s="91" t="s">
        <v>918</v>
      </c>
      <c r="F192" s="81">
        <v>1</v>
      </c>
      <c r="G192" s="950">
        <f>VLOOKUP(C192,'[10]за месяц 2025 (2)'!$A$8:$E$99,2,0)</f>
        <v>90045</v>
      </c>
      <c r="H192" s="950">
        <f>VLOOKUP(C192,'[10]за месяц 2025 (2)'!$A$8:$E$99,3,0)</f>
        <v>21528</v>
      </c>
    </row>
    <row r="193" spans="1:8" ht="26.4" hidden="1">
      <c r="A193" s="78" t="s">
        <v>819</v>
      </c>
      <c r="B193" s="79">
        <v>2</v>
      </c>
      <c r="C193" s="80" t="s">
        <v>823</v>
      </c>
      <c r="D193" s="78" t="s">
        <v>821</v>
      </c>
      <c r="E193" s="91" t="s">
        <v>918</v>
      </c>
      <c r="F193" s="81">
        <v>1</v>
      </c>
      <c r="G193" s="950">
        <f>VLOOKUP(C193,'[10]за месяц 2025 (2)'!$A$8:$E$99,2,0)</f>
        <v>104508.87119999999</v>
      </c>
      <c r="H193" s="950">
        <f>VLOOKUP(C193,'[10]за месяц 2025 (2)'!$A$8:$E$99,3,0)</f>
        <v>25039.822079999998</v>
      </c>
    </row>
    <row r="194" spans="1:8" hidden="1">
      <c r="A194" s="78" t="s">
        <v>819</v>
      </c>
      <c r="B194" s="79">
        <v>2</v>
      </c>
      <c r="C194" s="90" t="s">
        <v>825</v>
      </c>
      <c r="D194" s="78" t="s">
        <v>821</v>
      </c>
      <c r="E194" s="78" t="s">
        <v>822</v>
      </c>
      <c r="F194" s="81">
        <v>1</v>
      </c>
      <c r="G194" s="950">
        <f>VLOOKUP(C194,'[10]за месяц 2025 (2)'!$A$8:$E$99,2,0)</f>
        <v>90006</v>
      </c>
      <c r="H194" s="950">
        <f>VLOOKUP(C194,'[10]за месяц 2025 (2)'!$A$8:$E$99,3,0)</f>
        <v>21590.399999999998</v>
      </c>
    </row>
    <row r="195" spans="1:8" hidden="1">
      <c r="A195" s="78" t="s">
        <v>819</v>
      </c>
      <c r="B195" s="79">
        <v>2</v>
      </c>
      <c r="C195" s="80" t="s">
        <v>827</v>
      </c>
      <c r="D195" s="78" t="s">
        <v>821</v>
      </c>
      <c r="E195" s="78" t="s">
        <v>826</v>
      </c>
      <c r="F195" s="81">
        <v>1</v>
      </c>
      <c r="G195" s="950">
        <f>VLOOKUP(C195,'[10]за месяц 2025 (2)'!$A$8:$E$99,2,0)</f>
        <v>60212</v>
      </c>
      <c r="H195" s="950">
        <f>VLOOKUP(C195,'[10]за месяц 2025 (2)'!$A$8:$E$99,3,0)</f>
        <v>14170</v>
      </c>
    </row>
    <row r="196" spans="1:8" ht="26.4" hidden="1">
      <c r="A196" s="78" t="s">
        <v>819</v>
      </c>
      <c r="B196" s="79">
        <v>2</v>
      </c>
      <c r="C196" s="80" t="s">
        <v>828</v>
      </c>
      <c r="D196" s="78" t="s">
        <v>821</v>
      </c>
      <c r="E196" s="78" t="s">
        <v>824</v>
      </c>
      <c r="F196" s="81">
        <v>1</v>
      </c>
      <c r="G196" s="950">
        <f>VLOOKUP(C196,'[10]за месяц 2025 (2)'!$A$8:$E$99,2,0)</f>
        <v>25659.762599999998</v>
      </c>
      <c r="H196" s="950">
        <f>VLOOKUP(C196,'[10]за месяц 2025 (2)'!$A$8:$E$99,3,0)</f>
        <v>6134.74784</v>
      </c>
    </row>
    <row r="197" spans="1:8" hidden="1">
      <c r="A197" s="78" t="s">
        <v>819</v>
      </c>
      <c r="B197" s="79">
        <v>2</v>
      </c>
      <c r="C197" s="80" t="s">
        <v>830</v>
      </c>
      <c r="D197" s="78" t="s">
        <v>821</v>
      </c>
      <c r="E197" s="91" t="s">
        <v>942</v>
      </c>
      <c r="F197" s="81">
        <v>1</v>
      </c>
      <c r="G197" s="950">
        <f>VLOOKUP(C197,'[10]за месяц 2025 (2)'!$A$8:$E$99,2,0)</f>
        <v>115014</v>
      </c>
      <c r="H197" s="950">
        <f>VLOOKUP(C197,'[10]за месяц 2025 (2)'!$A$8:$E$99,3,0)</f>
        <v>27497.599999999999</v>
      </c>
    </row>
    <row r="198" spans="1:8" hidden="1">
      <c r="A198" s="78" t="s">
        <v>819</v>
      </c>
      <c r="B198" s="79">
        <v>2</v>
      </c>
      <c r="C198" s="80" t="s">
        <v>833</v>
      </c>
      <c r="D198" s="78" t="s">
        <v>821</v>
      </c>
      <c r="E198" s="78" t="s">
        <v>826</v>
      </c>
      <c r="F198" s="81">
        <v>1</v>
      </c>
      <c r="G198" s="950">
        <f>VLOOKUP(C198,'[10]за месяц 2025 (2)'!$A$8:$E$99,2,0)</f>
        <v>55980.581099999996</v>
      </c>
      <c r="H198" s="950">
        <f>VLOOKUP(C198,'[10]за месяц 2025 (2)'!$A$8:$E$99,3,0)</f>
        <v>12497.748900000001</v>
      </c>
    </row>
    <row r="199" spans="1:8" hidden="1">
      <c r="A199" s="78" t="s">
        <v>819</v>
      </c>
      <c r="B199" s="79">
        <v>2</v>
      </c>
      <c r="C199" s="80" t="s">
        <v>831</v>
      </c>
      <c r="D199" s="78" t="s">
        <v>832</v>
      </c>
      <c r="E199" s="78" t="s">
        <v>822</v>
      </c>
      <c r="F199" s="81">
        <v>1</v>
      </c>
      <c r="G199" s="950">
        <f>VLOOKUP(C199,'[10]за месяц 2025 (2)'!$A$8:$E$99,2,0)</f>
        <v>30015</v>
      </c>
      <c r="H199" s="950">
        <f>VLOOKUP(C199,'[10]за месяц 2025 (2)'!$A$8:$E$99,3,0)</f>
        <v>7176</v>
      </c>
    </row>
    <row r="200" spans="1:8" hidden="1">
      <c r="A200" s="78" t="s">
        <v>819</v>
      </c>
      <c r="B200" s="79">
        <v>2</v>
      </c>
      <c r="C200" s="80" t="s">
        <v>834</v>
      </c>
      <c r="D200" s="78" t="s">
        <v>832</v>
      </c>
      <c r="E200" s="91" t="s">
        <v>918</v>
      </c>
      <c r="F200" s="81">
        <v>1</v>
      </c>
      <c r="G200" s="950">
        <f>VLOOKUP(C200,'[10]за месяц 2025 (2)'!$A$8:$E$99,2,0)</f>
        <v>55245</v>
      </c>
      <c r="H200" s="950">
        <f>VLOOKUP(C200,'[10]за месяц 2025 (2)'!$A$8:$E$99,3,0)</f>
        <v>13208</v>
      </c>
    </row>
    <row r="201" spans="1:8" hidden="1">
      <c r="A201" s="78" t="s">
        <v>819</v>
      </c>
      <c r="B201" s="79">
        <v>2</v>
      </c>
      <c r="C201" s="91" t="s">
        <v>835</v>
      </c>
      <c r="D201" s="78" t="s">
        <v>821</v>
      </c>
      <c r="E201" s="91" t="s">
        <v>918</v>
      </c>
      <c r="F201" s="81">
        <v>1</v>
      </c>
      <c r="G201" s="950">
        <f>VLOOKUP(C201,'[10]за месяц 2025 (2)'!$A$8:$E$99,2,0)</f>
        <v>33816.9</v>
      </c>
      <c r="H201" s="950">
        <f>VLOOKUP(C201,'[10]за месяц 2025 (2)'!$A$8:$E$99,3,0)</f>
        <v>8007.22</v>
      </c>
    </row>
    <row r="202" spans="1:8" hidden="1">
      <c r="A202" s="78" t="s">
        <v>819</v>
      </c>
      <c r="B202" s="79">
        <v>2</v>
      </c>
      <c r="C202" s="91" t="s">
        <v>837</v>
      </c>
      <c r="D202" s="78" t="s">
        <v>821</v>
      </c>
      <c r="E202" s="78" t="s">
        <v>822</v>
      </c>
      <c r="F202" s="81">
        <v>1</v>
      </c>
      <c r="G202" s="950">
        <f>VLOOKUP(C202,'[10]за месяц 2025 (2)'!$A$8:$E$99,2,0)</f>
        <v>55245</v>
      </c>
      <c r="H202" s="950">
        <f>VLOOKUP(C202,'[10]за месяц 2025 (2)'!$A$8:$E$99,3,0)</f>
        <v>13208</v>
      </c>
    </row>
    <row r="203" spans="1:8" hidden="1">
      <c r="A203" s="78" t="s">
        <v>819</v>
      </c>
      <c r="B203" s="79">
        <v>2</v>
      </c>
      <c r="C203" s="80" t="s">
        <v>838</v>
      </c>
      <c r="D203" s="78" t="s">
        <v>821</v>
      </c>
      <c r="E203" s="78" t="s">
        <v>822</v>
      </c>
      <c r="F203" s="81">
        <v>1</v>
      </c>
      <c r="G203" s="950">
        <f>VLOOKUP(C203,'[10]за месяц 2025 (2)'!$A$8:$E$99,2,0)</f>
        <v>75216</v>
      </c>
      <c r="H203" s="950">
        <f>VLOOKUP(C203,'[10]за месяц 2025 (2)'!$A$8:$E$99,3,0)</f>
        <v>18054.399999999998</v>
      </c>
    </row>
    <row r="204" spans="1:8" hidden="1">
      <c r="A204" s="78" t="s">
        <v>819</v>
      </c>
      <c r="B204" s="79">
        <v>2</v>
      </c>
      <c r="C204" s="92" t="s">
        <v>839</v>
      </c>
      <c r="D204" s="78" t="s">
        <v>821</v>
      </c>
      <c r="E204" s="78" t="s">
        <v>836</v>
      </c>
      <c r="F204" s="81">
        <v>1</v>
      </c>
      <c r="G204" s="950">
        <f>VLOOKUP(C204,'[10]за месяц 2025 (2)'!$A$8:$E$99,2,0)</f>
        <v>50025</v>
      </c>
      <c r="H204" s="950">
        <f>VLOOKUP(C204,'[10]за месяц 2025 (2)'!$A$8:$E$99,3,0)</f>
        <v>11960</v>
      </c>
    </row>
    <row r="205" spans="1:8" hidden="1">
      <c r="A205" s="78" t="s">
        <v>819</v>
      </c>
      <c r="B205" s="79">
        <v>2</v>
      </c>
      <c r="C205" s="78" t="s">
        <v>840</v>
      </c>
      <c r="D205" s="78" t="s">
        <v>821</v>
      </c>
      <c r="E205" s="78" t="s">
        <v>822</v>
      </c>
      <c r="F205" s="81">
        <v>1</v>
      </c>
      <c r="G205" s="950">
        <f>VLOOKUP(C205,'[10]за месяц 2025 (2)'!$A$8:$E$99,2,0)</f>
        <v>77449.693499999994</v>
      </c>
      <c r="H205" s="950">
        <f>VLOOKUP(C205,'[10]за месяц 2025 (2)'!$A$8:$E$99,3,0)</f>
        <v>18552.570400000001</v>
      </c>
    </row>
    <row r="206" spans="1:8" hidden="1">
      <c r="A206" s="78" t="s">
        <v>819</v>
      </c>
      <c r="B206" s="79">
        <v>2</v>
      </c>
      <c r="C206" s="78" t="s">
        <v>841</v>
      </c>
      <c r="D206" s="78" t="s">
        <v>821</v>
      </c>
      <c r="E206" s="78" t="s">
        <v>826</v>
      </c>
      <c r="F206" s="81">
        <v>1</v>
      </c>
      <c r="G206" s="950">
        <f>VLOOKUP(C206,'[10]за месяц 2025 (2)'!$A$8:$E$99,2,0)</f>
        <v>55457.001600000003</v>
      </c>
      <c r="H206" s="950">
        <f>VLOOKUP(C206,'[10]за месяц 2025 (2)'!$A$8:$E$99,3,0)</f>
        <v>13258.685439999997</v>
      </c>
    </row>
    <row r="207" spans="1:8" hidden="1">
      <c r="A207" s="78" t="s">
        <v>819</v>
      </c>
      <c r="B207" s="79">
        <v>2</v>
      </c>
      <c r="C207" s="84" t="s">
        <v>842</v>
      </c>
      <c r="D207" s="78" t="s">
        <v>821</v>
      </c>
      <c r="E207" s="78" t="s">
        <v>843</v>
      </c>
      <c r="F207" s="81">
        <v>1</v>
      </c>
      <c r="G207" s="950">
        <f>VLOOKUP(C207,'[10]за месяц 2025 (2)'!$A$8:$E$99,2,0)</f>
        <v>100050</v>
      </c>
      <c r="H207" s="950">
        <f>VLOOKUP(C207,'[10]за месяц 2025 (2)'!$A$8:$E$99,3,0)</f>
        <v>23920</v>
      </c>
    </row>
    <row r="208" spans="1:8" hidden="1">
      <c r="A208" s="78" t="s">
        <v>819</v>
      </c>
      <c r="B208" s="79">
        <v>2</v>
      </c>
      <c r="C208" s="84" t="s">
        <v>844</v>
      </c>
      <c r="D208" s="78" t="s">
        <v>821</v>
      </c>
      <c r="E208" s="78" t="s">
        <v>826</v>
      </c>
      <c r="F208" s="81">
        <v>1</v>
      </c>
      <c r="G208" s="950">
        <f>VLOOKUP(C208,'[10]за месяц 2025 (2)'!$A$8:$E$99,2,0)</f>
        <v>60245.037599999996</v>
      </c>
      <c r="H208" s="950">
        <f>VLOOKUP(C208,'[10]за месяц 2025 (2)'!$A$8:$E$99,3,0)</f>
        <v>13769.90784</v>
      </c>
    </row>
    <row r="209" spans="1:8" hidden="1">
      <c r="A209" s="78" t="s">
        <v>819</v>
      </c>
      <c r="B209" s="79">
        <v>2</v>
      </c>
      <c r="C209" s="78" t="s">
        <v>845</v>
      </c>
      <c r="D209" s="78" t="s">
        <v>821</v>
      </c>
      <c r="E209" s="78" t="s">
        <v>824</v>
      </c>
      <c r="F209" s="81">
        <v>1</v>
      </c>
      <c r="G209" s="950">
        <f>VLOOKUP(C209,'[10]за месяц 2025 (2)'!$A$8:$E$99,2,0)</f>
        <v>70035</v>
      </c>
      <c r="H209" s="950">
        <f>VLOOKUP(C209,'[10]за месяц 2025 (2)'!$A$8:$E$99,3,0)</f>
        <v>16744</v>
      </c>
    </row>
    <row r="210" spans="1:8" hidden="1">
      <c r="A210" s="78" t="s">
        <v>819</v>
      </c>
      <c r="B210" s="79">
        <v>2</v>
      </c>
      <c r="C210" s="84" t="s">
        <v>846</v>
      </c>
      <c r="D210" s="78" t="s">
        <v>821</v>
      </c>
      <c r="E210" s="91" t="s">
        <v>942</v>
      </c>
      <c r="F210" s="81">
        <v>1</v>
      </c>
      <c r="G210" s="950">
        <f>VLOOKUP(C210,'[10]за месяц 2025 (2)'!$A$8:$E$99,2,0)</f>
        <v>85806</v>
      </c>
      <c r="H210" s="950">
        <f>VLOOKUP(C210,'[10]за месяц 2025 (2)'!$A$8:$E$99,3,0)</f>
        <v>19838</v>
      </c>
    </row>
    <row r="211" spans="1:8" hidden="1">
      <c r="A211" s="78" t="s">
        <v>819</v>
      </c>
      <c r="B211" s="79">
        <v>2</v>
      </c>
      <c r="C211" s="78" t="s">
        <v>847</v>
      </c>
      <c r="D211" s="78" t="s">
        <v>821</v>
      </c>
      <c r="E211" s="78" t="s">
        <v>829</v>
      </c>
      <c r="F211" s="81">
        <v>1</v>
      </c>
      <c r="G211" s="950">
        <f>VLOOKUP(C211,'[10]за месяц 2025 (2)'!$A$8:$E$99,2,0)</f>
        <v>100011</v>
      </c>
      <c r="H211" s="950">
        <f>VLOOKUP(C211,'[10]за месяц 2025 (2)'!$A$8:$E$99,3,0)</f>
        <v>23982.399999999998</v>
      </c>
    </row>
    <row r="212" spans="1:8" hidden="1">
      <c r="A212" s="78" t="s">
        <v>819</v>
      </c>
      <c r="B212" s="79">
        <v>2</v>
      </c>
      <c r="C212" s="84" t="s">
        <v>919</v>
      </c>
      <c r="D212" s="78" t="s">
        <v>821</v>
      </c>
      <c r="E212" s="78" t="s">
        <v>822</v>
      </c>
      <c r="F212" s="81">
        <v>1</v>
      </c>
      <c r="G212" s="950">
        <f>VLOOKUP(C212,'[10]за месяц 2025 (2)'!$A$8:$E$99,2,0)</f>
        <v>80547</v>
      </c>
      <c r="H212" s="950">
        <f>VLOOKUP(C212,'[10]за месяц 2025 (2)'!$A$8:$E$99,3,0)</f>
        <v>18652.399999999998</v>
      </c>
    </row>
    <row r="213" spans="1:8" hidden="1">
      <c r="A213" s="78" t="s">
        <v>819</v>
      </c>
      <c r="B213" s="79">
        <v>2</v>
      </c>
      <c r="C213" s="80" t="s">
        <v>848</v>
      </c>
      <c r="D213" s="78" t="s">
        <v>821</v>
      </c>
      <c r="E213" s="78" t="s">
        <v>826</v>
      </c>
      <c r="F213" s="81">
        <v>1</v>
      </c>
      <c r="G213" s="950">
        <f>VLOOKUP(C213,'[10]за месяц 2025 (2)'!$A$8:$E$99,2,0)</f>
        <v>70035</v>
      </c>
      <c r="H213" s="950">
        <f>VLOOKUP(C213,'[10]за месяц 2025 (2)'!$A$8:$E$99,3,0)</f>
        <v>16744</v>
      </c>
    </row>
    <row r="214" spans="1:8" hidden="1">
      <c r="A214" s="78" t="s">
        <v>819</v>
      </c>
      <c r="B214" s="79">
        <v>2</v>
      </c>
      <c r="C214" s="78" t="s">
        <v>849</v>
      </c>
      <c r="D214" s="78" t="s">
        <v>821</v>
      </c>
      <c r="E214" s="78" t="s">
        <v>824</v>
      </c>
      <c r="F214" s="81">
        <v>1</v>
      </c>
      <c r="G214" s="950">
        <f>VLOOKUP(C214,'[10]за месяц 2025 (2)'!$A$8:$E$99,2,0)</f>
        <v>69996</v>
      </c>
      <c r="H214" s="950">
        <f>VLOOKUP(C214,'[10]за месяц 2025 (2)'!$A$8:$E$99,3,0)</f>
        <v>16806.399999999998</v>
      </c>
    </row>
    <row r="215" spans="1:8" hidden="1">
      <c r="A215" s="78" t="s">
        <v>819</v>
      </c>
      <c r="B215" s="79">
        <v>2</v>
      </c>
      <c r="C215" s="84" t="s">
        <v>850</v>
      </c>
      <c r="D215" s="78" t="s">
        <v>821</v>
      </c>
      <c r="E215" s="78" t="s">
        <v>822</v>
      </c>
      <c r="F215" s="81">
        <v>1</v>
      </c>
      <c r="G215" s="950">
        <f>VLOOKUP(C215,'[10]за месяц 2025 (2)'!$A$8:$E$99,2,0)</f>
        <v>75048.129267911558</v>
      </c>
      <c r="H215" s="950">
        <f>VLOOKUP(C215,'[10]за месяц 2025 (2)'!$A$8:$E$99,3,0)</f>
        <v>18002.99317134151</v>
      </c>
    </row>
    <row r="216" spans="1:8" hidden="1">
      <c r="A216" s="78" t="s">
        <v>819</v>
      </c>
      <c r="B216" s="79">
        <v>2</v>
      </c>
      <c r="C216" s="78" t="s">
        <v>851</v>
      </c>
      <c r="D216" s="78" t="s">
        <v>821</v>
      </c>
      <c r="E216" s="78" t="s">
        <v>826</v>
      </c>
      <c r="F216" s="81">
        <v>1</v>
      </c>
      <c r="G216" s="950">
        <f>VLOOKUP(C216,'[10]за месяц 2025 (2)'!$A$8:$E$99,2,0)</f>
        <v>69996</v>
      </c>
      <c r="H216" s="950">
        <f>VLOOKUP(C216,'[10]за месяц 2025 (2)'!$A$8:$E$99,3,0)</f>
        <v>16806.399999999998</v>
      </c>
    </row>
    <row r="217" spans="1:8" hidden="1">
      <c r="A217" s="78" t="s">
        <v>819</v>
      </c>
      <c r="B217" s="79">
        <v>2</v>
      </c>
      <c r="C217" s="92" t="s">
        <v>964</v>
      </c>
      <c r="D217" s="78" t="s">
        <v>821</v>
      </c>
      <c r="E217" s="91" t="s">
        <v>942</v>
      </c>
      <c r="F217" s="81">
        <v>1</v>
      </c>
      <c r="G217" s="950">
        <v>14910</v>
      </c>
      <c r="H217" s="950"/>
    </row>
    <row r="218" spans="1:8" hidden="1">
      <c r="A218" s="78" t="s">
        <v>819</v>
      </c>
      <c r="B218" s="79">
        <v>2</v>
      </c>
      <c r="C218" s="78" t="s">
        <v>852</v>
      </c>
      <c r="D218" s="78" t="s">
        <v>821</v>
      </c>
      <c r="E218" s="78" t="s">
        <v>822</v>
      </c>
      <c r="F218" s="81">
        <v>1</v>
      </c>
      <c r="G218" s="950">
        <f>VLOOKUP(C218,'[10]за месяц 2025 (2)'!$A$8:$E$99,2,0)</f>
        <v>47956.914300000004</v>
      </c>
      <c r="H218" s="950">
        <f>VLOOKUP(C218,'[10]за месяц 2025 (2)'!$A$8:$E$99,3,0)</f>
        <v>11465.561119999997</v>
      </c>
    </row>
    <row r="219" spans="1:8" hidden="1">
      <c r="A219" s="78" t="s">
        <v>819</v>
      </c>
      <c r="B219" s="79">
        <v>2</v>
      </c>
      <c r="C219" s="84" t="s">
        <v>853</v>
      </c>
      <c r="D219" s="78" t="s">
        <v>821</v>
      </c>
      <c r="E219" s="78" t="s">
        <v>836</v>
      </c>
      <c r="F219" s="81">
        <v>1</v>
      </c>
      <c r="G219" s="950">
        <f>VLOOKUP(C219,'[10]за месяц 2025 (2)'!$A$8:$E$99,2,0)</f>
        <v>110055</v>
      </c>
      <c r="H219" s="950">
        <f>VLOOKUP(C219,'[10]за месяц 2025 (2)'!$A$8:$E$99,3,0)</f>
        <v>26312</v>
      </c>
    </row>
    <row r="220" spans="1:8" hidden="1">
      <c r="A220" s="78" t="s">
        <v>819</v>
      </c>
      <c r="B220" s="79">
        <v>2</v>
      </c>
      <c r="C220" s="84" t="s">
        <v>854</v>
      </c>
      <c r="D220" s="78" t="s">
        <v>821</v>
      </c>
      <c r="E220" s="78" t="s">
        <v>826</v>
      </c>
      <c r="F220" s="81">
        <v>1</v>
      </c>
      <c r="G220" s="950">
        <f>VLOOKUP(C220,'[10]за месяц 2025 (2)'!$A$8:$E$99,2,0)</f>
        <v>92181</v>
      </c>
      <c r="H220" s="950">
        <f>VLOOKUP(C220,'[10]за месяц 2025 (2)'!$A$8:$E$99,3,0)</f>
        <v>22110.399999999998</v>
      </c>
    </row>
    <row r="221" spans="1:8" hidden="1">
      <c r="A221" s="78" t="s">
        <v>819</v>
      </c>
      <c r="B221" s="79">
        <v>2</v>
      </c>
      <c r="C221" s="91" t="s">
        <v>855</v>
      </c>
      <c r="D221" s="78" t="s">
        <v>821</v>
      </c>
      <c r="E221" s="91" t="s">
        <v>822</v>
      </c>
      <c r="F221" s="81">
        <v>1</v>
      </c>
      <c r="G221" s="950">
        <f>VLOOKUP(C221,'[10]за месяц 2025 (2)'!$A$8:$E$99,2,0)</f>
        <v>65211</v>
      </c>
      <c r="H221" s="950">
        <f>VLOOKUP(C221,'[10]за месяц 2025 (2)'!$A$8:$E$99,3,0)</f>
        <v>15662.4</v>
      </c>
    </row>
    <row r="222" spans="1:8" hidden="1">
      <c r="A222" s="78" t="s">
        <v>819</v>
      </c>
      <c r="B222" s="79">
        <v>2</v>
      </c>
      <c r="C222" s="78" t="s">
        <v>856</v>
      </c>
      <c r="D222" s="78" t="s">
        <v>821</v>
      </c>
      <c r="E222" s="78" t="s">
        <v>826</v>
      </c>
      <c r="F222" s="81">
        <v>1</v>
      </c>
      <c r="G222" s="950">
        <f>VLOOKUP(C222,'[10]за месяц 2025 (2)'!$A$8:$E$99,2,0)+67700+40000</f>
        <v>250901.9472</v>
      </c>
      <c r="H222" s="950">
        <f>VLOOKUP(C222,'[10]за месяц 2025 (2)'!$A$8:$E$99,3,0)</f>
        <v>33578.180480000003</v>
      </c>
    </row>
    <row r="223" spans="1:8" hidden="1">
      <c r="A223" s="78" t="s">
        <v>819</v>
      </c>
      <c r="B223" s="79">
        <v>2</v>
      </c>
      <c r="C223" s="78" t="s">
        <v>857</v>
      </c>
      <c r="D223" s="78" t="s">
        <v>821</v>
      </c>
      <c r="E223" s="78" t="s">
        <v>824</v>
      </c>
      <c r="F223" s="81">
        <v>1</v>
      </c>
      <c r="G223" s="950">
        <f>VLOOKUP(C223,'[10]за месяц 2025 (2)'!$A$8:$E$99,2,0)</f>
        <v>80001</v>
      </c>
      <c r="H223" s="950">
        <f>VLOOKUP(C223,'[10]за месяц 2025 (2)'!$A$8:$E$99,3,0)</f>
        <v>19198.399999999998</v>
      </c>
    </row>
    <row r="224" spans="1:8" hidden="1">
      <c r="A224" s="78" t="s">
        <v>819</v>
      </c>
      <c r="B224" s="79">
        <v>2</v>
      </c>
      <c r="C224" s="90" t="s">
        <v>913</v>
      </c>
      <c r="D224" s="78" t="s">
        <v>821</v>
      </c>
      <c r="E224" s="78" t="s">
        <v>822</v>
      </c>
      <c r="F224" s="81">
        <v>1</v>
      </c>
      <c r="G224" s="950">
        <f>VLOOKUP(C224,'[10]за месяц 2025 (2)'!$A$8:$E$99,2,0)</f>
        <v>55245</v>
      </c>
      <c r="H224" s="950">
        <f>VLOOKUP(C224,'[10]за месяц 2025 (2)'!$A$8:$E$99,3,0)</f>
        <v>13208</v>
      </c>
    </row>
    <row r="225" spans="1:8" hidden="1">
      <c r="A225" s="78" t="s">
        <v>819</v>
      </c>
      <c r="B225" s="79">
        <v>2</v>
      </c>
      <c r="C225" s="78" t="s">
        <v>858</v>
      </c>
      <c r="D225" s="78" t="s">
        <v>821</v>
      </c>
      <c r="E225" s="78" t="s">
        <v>826</v>
      </c>
      <c r="F225" s="81">
        <v>1</v>
      </c>
      <c r="G225" s="950">
        <f>VLOOKUP(C225,'[10]за месяц 2025 (2)'!$A$8:$E$99,2,0)</f>
        <v>80001</v>
      </c>
      <c r="H225" s="950">
        <f>VLOOKUP(C225,'[10]за месяц 2025 (2)'!$A$8:$E$99,3,0)</f>
        <v>19198.399999999998</v>
      </c>
    </row>
    <row r="226" spans="1:8" hidden="1">
      <c r="A226" s="78" t="s">
        <v>819</v>
      </c>
      <c r="B226" s="79">
        <v>2</v>
      </c>
      <c r="C226" s="84" t="s">
        <v>859</v>
      </c>
      <c r="D226" s="78" t="s">
        <v>821</v>
      </c>
      <c r="E226" s="78" t="s">
        <v>829</v>
      </c>
      <c r="F226" s="81">
        <v>1</v>
      </c>
      <c r="G226" s="950">
        <v>56300</v>
      </c>
      <c r="H226" s="950"/>
    </row>
    <row r="227" spans="1:8" hidden="1">
      <c r="A227" s="78" t="s">
        <v>819</v>
      </c>
      <c r="B227" s="79">
        <v>2</v>
      </c>
      <c r="C227" s="78" t="s">
        <v>860</v>
      </c>
      <c r="D227" s="78" t="s">
        <v>821</v>
      </c>
      <c r="E227" s="78" t="s">
        <v>824</v>
      </c>
      <c r="F227" s="81">
        <v>1</v>
      </c>
      <c r="G227" s="950">
        <f>VLOOKUP(C227,'[10]за месяц 2025 (2)'!$A$8:$E$99,2,0)</f>
        <v>15068.9133</v>
      </c>
      <c r="H227" s="950">
        <f>VLOOKUP(C227,'[10]за месяц 2025 (2)'!$A$8:$E$99,3,0)</f>
        <v>3602.6827200000002</v>
      </c>
    </row>
    <row r="228" spans="1:8" hidden="1">
      <c r="A228" s="78" t="s">
        <v>819</v>
      </c>
      <c r="B228" s="79">
        <v>2</v>
      </c>
      <c r="C228" s="78" t="s">
        <v>861</v>
      </c>
      <c r="D228" s="78" t="s">
        <v>821</v>
      </c>
      <c r="E228" s="78" t="s">
        <v>822</v>
      </c>
      <c r="F228" s="81">
        <v>1</v>
      </c>
      <c r="G228" s="950">
        <f>VLOOKUP(C228,'[10]за месяц 2025 (2)'!$A$8:$E$99,2,0)</f>
        <v>159863.1612</v>
      </c>
      <c r="H228" s="950">
        <f>VLOOKUP(C228,'[10]за месяц 2025 (2)'!$A$8:$E$99,3,0)</f>
        <v>38220.158080000001</v>
      </c>
    </row>
    <row r="229" spans="1:8" hidden="1">
      <c r="A229" s="78" t="s">
        <v>819</v>
      </c>
      <c r="B229" s="79">
        <v>2</v>
      </c>
      <c r="C229" s="91" t="s">
        <v>862</v>
      </c>
      <c r="D229" s="78" t="s">
        <v>821</v>
      </c>
      <c r="E229" s="78" t="s">
        <v>822</v>
      </c>
      <c r="F229" s="81">
        <v>1</v>
      </c>
      <c r="G229" s="950">
        <f>VLOOKUP(C229,'[10]за месяц 2025 (2)'!$A$8:$E$99,2,0)</f>
        <v>59991</v>
      </c>
      <c r="H229" s="950">
        <f>VLOOKUP(C229,'[10]за месяц 2025 (2)'!$A$8:$E$99,3,0)</f>
        <v>14414.4</v>
      </c>
    </row>
    <row r="230" spans="1:8" hidden="1">
      <c r="A230" s="78" t="s">
        <v>819</v>
      </c>
      <c r="B230" s="79">
        <v>2</v>
      </c>
      <c r="C230" s="84" t="s">
        <v>863</v>
      </c>
      <c r="D230" s="78" t="s">
        <v>821</v>
      </c>
      <c r="E230" s="78" t="s">
        <v>829</v>
      </c>
      <c r="F230" s="81">
        <v>1</v>
      </c>
      <c r="G230" s="950">
        <f>VLOOKUP(C230,'[10]за месяц 2025 (2)'!$A$8:$E$99,2,0)</f>
        <v>60426</v>
      </c>
      <c r="H230" s="950">
        <f>VLOOKUP(C230,'[10]за месяц 2025 (2)'!$A$8:$E$99,3,0)</f>
        <v>14518.4</v>
      </c>
    </row>
    <row r="231" spans="1:8" hidden="1">
      <c r="A231" s="78" t="s">
        <v>819</v>
      </c>
      <c r="B231" s="79">
        <v>2</v>
      </c>
      <c r="C231" s="78" t="s">
        <v>864</v>
      </c>
      <c r="D231" s="78" t="s">
        <v>821</v>
      </c>
      <c r="E231" s="78" t="s">
        <v>826</v>
      </c>
      <c r="F231" s="81">
        <v>1</v>
      </c>
      <c r="G231" s="950">
        <f>VLOOKUP(C231,'[10]за месяц 2025 (2)'!$A$8:$E$99,2,0)</f>
        <v>42045.36</v>
      </c>
      <c r="H231" s="950">
        <f>VLOOKUP(C231,'[10]за месяц 2025 (2)'!$A$8:$E$99,3,0)</f>
        <v>9955.5679999999993</v>
      </c>
    </row>
    <row r="232" spans="1:8" hidden="1">
      <c r="A232" s="78" t="s">
        <v>819</v>
      </c>
      <c r="B232" s="79">
        <v>2</v>
      </c>
      <c r="C232" s="84" t="s">
        <v>865</v>
      </c>
      <c r="D232" s="78" t="s">
        <v>821</v>
      </c>
      <c r="E232" s="78" t="s">
        <v>822</v>
      </c>
      <c r="F232" s="81">
        <v>1</v>
      </c>
      <c r="G232" s="950">
        <f>VLOOKUP(C232,'[10]за месяц 2025 (2)'!$A$8:$E$99,2,0)</f>
        <v>75437</v>
      </c>
      <c r="H232" s="950">
        <f>VLOOKUP(C232,'[10]за месяц 2025 (2)'!$A$8:$E$99,3,0)</f>
        <v>17810</v>
      </c>
    </row>
    <row r="233" spans="1:8" hidden="1">
      <c r="A233" s="78" t="s">
        <v>819</v>
      </c>
      <c r="B233" s="79">
        <v>2</v>
      </c>
      <c r="C233" s="91" t="s">
        <v>866</v>
      </c>
      <c r="D233" s="78" t="s">
        <v>821</v>
      </c>
      <c r="E233" s="78" t="s">
        <v>826</v>
      </c>
      <c r="F233" s="81">
        <v>1</v>
      </c>
      <c r="G233" s="950">
        <f>VLOOKUP(C233,'[10]за месяц 2025 (2)'!$A$8:$E$99,2,0)</f>
        <v>65037</v>
      </c>
      <c r="H233" s="950">
        <f>VLOOKUP(C233,'[10]за месяц 2025 (2)'!$A$8:$E$99,3,0)</f>
        <v>15620.8</v>
      </c>
    </row>
    <row r="234" spans="1:8" hidden="1">
      <c r="A234" s="78" t="s">
        <v>819</v>
      </c>
      <c r="B234" s="79">
        <v>2</v>
      </c>
      <c r="C234" s="83" t="s">
        <v>889</v>
      </c>
      <c r="D234" s="78" t="s">
        <v>821</v>
      </c>
      <c r="E234" s="78" t="s">
        <v>843</v>
      </c>
      <c r="F234" s="81">
        <v>1</v>
      </c>
      <c r="G234" s="950">
        <f>VLOOKUP(C234,'[10]за месяц 2025 (2)'!$A$8:$E$99,2,0)</f>
        <v>59991</v>
      </c>
      <c r="H234" s="950">
        <f>VLOOKUP(C234,'[10]за месяц 2025 (2)'!$A$8:$E$99,3,0)</f>
        <v>14414.4</v>
      </c>
    </row>
    <row r="235" spans="1:8" hidden="1">
      <c r="A235" s="78" t="s">
        <v>819</v>
      </c>
      <c r="B235" s="79">
        <v>2</v>
      </c>
      <c r="C235" s="80" t="s">
        <v>867</v>
      </c>
      <c r="D235" s="78" t="s">
        <v>821</v>
      </c>
      <c r="E235" s="78" t="s">
        <v>822</v>
      </c>
      <c r="F235" s="81">
        <v>1</v>
      </c>
      <c r="G235" s="950">
        <f>VLOOKUP(C235,'[10]за месяц 2025 (2)'!$A$8:$E$99,2,0)</f>
        <v>69996</v>
      </c>
      <c r="H235" s="950">
        <f>VLOOKUP(C235,'[10]за месяц 2025 (2)'!$A$8:$E$99,3,0)</f>
        <v>16806.399999999998</v>
      </c>
    </row>
    <row r="236" spans="1:8" hidden="1">
      <c r="A236" s="78" t="s">
        <v>819</v>
      </c>
      <c r="B236" s="79">
        <v>2</v>
      </c>
      <c r="C236" s="80" t="s">
        <v>868</v>
      </c>
      <c r="D236" s="78" t="s">
        <v>821</v>
      </c>
      <c r="E236" s="78" t="s">
        <v>826</v>
      </c>
      <c r="F236" s="81">
        <v>1</v>
      </c>
      <c r="G236" s="950">
        <f>VLOOKUP(C236,'[10]за месяц 2025 (2)'!$A$8:$E$99,2,0)</f>
        <v>53072.25</v>
      </c>
      <c r="H236" s="950">
        <f>VLOOKUP(C236,'[10]за месяц 2025 (2)'!$A$8:$E$99,3,0)</f>
        <v>12012</v>
      </c>
    </row>
    <row r="237" spans="1:8" hidden="1">
      <c r="A237" s="78" t="s">
        <v>819</v>
      </c>
      <c r="B237" s="79">
        <v>2</v>
      </c>
      <c r="C237" s="90" t="s">
        <v>869</v>
      </c>
      <c r="D237" s="78" t="s">
        <v>821</v>
      </c>
      <c r="E237" s="78" t="s">
        <v>822</v>
      </c>
      <c r="F237" s="81">
        <v>1</v>
      </c>
      <c r="G237" s="950">
        <f>VLOOKUP(C237,'[10]за месяц 2025 (2)'!$A$8:$E$99,2,0)</f>
        <v>90009.538602101413</v>
      </c>
      <c r="H237" s="950">
        <f>VLOOKUP(C237,'[10]за месяц 2025 (2)'!$A$8:$E$99,3,0)</f>
        <v>21584.738236637735</v>
      </c>
    </row>
    <row r="238" spans="1:8" hidden="1">
      <c r="A238" s="78" t="s">
        <v>819</v>
      </c>
      <c r="B238" s="79">
        <v>2</v>
      </c>
      <c r="C238" s="90" t="s">
        <v>870</v>
      </c>
      <c r="D238" s="78" t="s">
        <v>821</v>
      </c>
      <c r="E238" s="78" t="s">
        <v>822</v>
      </c>
      <c r="F238" s="81">
        <v>1</v>
      </c>
      <c r="G238" s="950">
        <f>VLOOKUP(C238,'[10]за месяц 2025 (2)'!$A$8:$E$99,2,0)</f>
        <v>52200</v>
      </c>
      <c r="H238" s="950">
        <f>VLOOKUP(C238,'[10]за месяц 2025 (2)'!$A$8:$E$99,3,0)</f>
        <v>12480</v>
      </c>
    </row>
    <row r="239" spans="1:8" hidden="1">
      <c r="A239" s="78" t="s">
        <v>819</v>
      </c>
      <c r="B239" s="79">
        <v>2</v>
      </c>
      <c r="C239" s="78" t="s">
        <v>871</v>
      </c>
      <c r="D239" s="78" t="s">
        <v>821</v>
      </c>
      <c r="E239" s="78" t="s">
        <v>829</v>
      </c>
      <c r="F239" s="81">
        <v>1</v>
      </c>
      <c r="G239" s="950">
        <f>VLOOKUP(C239,'[10]за месяц 2025 (2)'!$A$8:$E$99,2,0)</f>
        <v>50421</v>
      </c>
      <c r="H239" s="950">
        <f>VLOOKUP(C239,'[10]за месяц 2025 (2)'!$A$8:$E$99,3,0)</f>
        <v>12126.4</v>
      </c>
    </row>
    <row r="240" spans="1:8" hidden="1">
      <c r="A240" s="78" t="s">
        <v>819</v>
      </c>
      <c r="B240" s="79">
        <v>2</v>
      </c>
      <c r="C240" s="78" t="s">
        <v>872</v>
      </c>
      <c r="D240" s="78" t="s">
        <v>821</v>
      </c>
      <c r="E240" s="78" t="s">
        <v>824</v>
      </c>
      <c r="F240" s="81">
        <v>1</v>
      </c>
      <c r="G240" s="950">
        <f>VLOOKUP(C240,'[10]за месяц 2025 (2)'!$A$8:$E$99,2,0)</f>
        <v>43051.25</v>
      </c>
      <c r="H240" s="950">
        <f>VLOOKUP(C240,'[10]за месяц 2025 (2)'!$A$8:$E$99,3,0)</f>
        <v>10067.199999999999</v>
      </c>
    </row>
    <row r="241" spans="1:8" hidden="1">
      <c r="A241" s="78" t="s">
        <v>819</v>
      </c>
      <c r="B241" s="79">
        <v>2</v>
      </c>
      <c r="C241" s="78" t="s">
        <v>873</v>
      </c>
      <c r="D241" s="78" t="s">
        <v>821</v>
      </c>
      <c r="E241" s="78" t="s">
        <v>843</v>
      </c>
      <c r="F241" s="81">
        <v>1</v>
      </c>
      <c r="G241" s="950">
        <f>VLOOKUP(C241,'[10]за месяц 2025 (2)'!$A$8:$E$99,2,0)</f>
        <v>85806</v>
      </c>
      <c r="H241" s="950">
        <f>VLOOKUP(C241,'[10]за месяц 2025 (2)'!$A$8:$E$99,3,0)</f>
        <v>19838</v>
      </c>
    </row>
    <row r="242" spans="1:8" hidden="1">
      <c r="A242" s="78" t="s">
        <v>819</v>
      </c>
      <c r="B242" s="79">
        <v>2</v>
      </c>
      <c r="C242" s="91" t="s">
        <v>874</v>
      </c>
      <c r="D242" s="78" t="s">
        <v>821</v>
      </c>
      <c r="E242" s="78" t="s">
        <v>836</v>
      </c>
      <c r="F242" s="81">
        <v>1</v>
      </c>
      <c r="G242" s="950">
        <f>VLOOKUP(C242,'[10]за месяц 2025 (2)'!$A$8:$E$99,2,0)</f>
        <v>59991</v>
      </c>
      <c r="H242" s="950">
        <f>VLOOKUP(C242,'[10]за месяц 2025 (2)'!$A$8:$E$99,3,0)</f>
        <v>14414.4</v>
      </c>
    </row>
    <row r="243" spans="1:8" hidden="1">
      <c r="A243" s="78" t="s">
        <v>819</v>
      </c>
      <c r="B243" s="79">
        <v>2</v>
      </c>
      <c r="C243" s="84" t="s">
        <v>875</v>
      </c>
      <c r="D243" s="78" t="s">
        <v>821</v>
      </c>
      <c r="E243" s="78" t="s">
        <v>822</v>
      </c>
      <c r="F243" s="81"/>
      <c r="G243" s="950">
        <f>VLOOKUP(C243,'[10]за месяц 2025 (2)'!$A$8:$E$99,2,0)</f>
        <v>0</v>
      </c>
      <c r="H243" s="950">
        <f>VLOOKUP(C243,'[10]за месяц 2025 (2)'!$A$8:$E$99,3,0)</f>
        <v>0</v>
      </c>
    </row>
    <row r="244" spans="1:8" hidden="1">
      <c r="A244" s="78" t="s">
        <v>819</v>
      </c>
      <c r="B244" s="79">
        <v>2</v>
      </c>
      <c r="C244" s="85" t="s">
        <v>876</v>
      </c>
      <c r="D244" s="78" t="s">
        <v>821</v>
      </c>
      <c r="E244" s="78" t="s">
        <v>824</v>
      </c>
      <c r="F244" s="81">
        <v>1</v>
      </c>
      <c r="G244" s="950">
        <f>VLOOKUP(C244,'[10]за месяц 2025 (2)'!$A$8:$E$99,2,0)</f>
        <v>50025</v>
      </c>
      <c r="H244" s="950">
        <f>VLOOKUP(C244,'[10]за месяц 2025 (2)'!$A$8:$E$99,3,0)</f>
        <v>11960</v>
      </c>
    </row>
    <row r="245" spans="1:8" hidden="1">
      <c r="A245" s="78" t="s">
        <v>819</v>
      </c>
      <c r="B245" s="79">
        <v>2</v>
      </c>
      <c r="C245" s="84" t="s">
        <v>877</v>
      </c>
      <c r="D245" s="78" t="s">
        <v>821</v>
      </c>
      <c r="E245" s="91" t="s">
        <v>942</v>
      </c>
      <c r="F245" s="81">
        <v>1</v>
      </c>
      <c r="G245" s="950">
        <f>VLOOKUP(C245,'[10]за месяц 2025 (2)'!$A$8:$E$99,2,0)</f>
        <v>130065</v>
      </c>
      <c r="H245" s="950">
        <f>VLOOKUP(C245,'[10]за месяц 2025 (2)'!$A$8:$E$99,3,0)</f>
        <v>31096</v>
      </c>
    </row>
    <row r="246" spans="1:8" hidden="1">
      <c r="A246" s="78" t="s">
        <v>819</v>
      </c>
      <c r="B246" s="79">
        <v>2</v>
      </c>
      <c r="C246" s="78" t="s">
        <v>878</v>
      </c>
      <c r="D246" s="78" t="s">
        <v>821</v>
      </c>
      <c r="E246" s="78" t="s">
        <v>836</v>
      </c>
      <c r="F246" s="81">
        <v>1</v>
      </c>
      <c r="G246" s="950">
        <f>VLOOKUP(C246,'[10]за месяц 2025 (2)'!$A$8:$E$99,2,0)</f>
        <v>70178</v>
      </c>
      <c r="H246" s="950">
        <f>VLOOKUP(C246,'[10]за месяц 2025 (2)'!$A$8:$E$99,3,0)</f>
        <v>16624.399999999998</v>
      </c>
    </row>
    <row r="247" spans="1:8" hidden="1">
      <c r="A247" s="78" t="s">
        <v>819</v>
      </c>
      <c r="B247" s="79">
        <v>2</v>
      </c>
      <c r="C247" s="83" t="s">
        <v>879</v>
      </c>
      <c r="D247" s="78" t="s">
        <v>821</v>
      </c>
      <c r="E247" s="78" t="s">
        <v>822</v>
      </c>
      <c r="F247" s="81">
        <v>1</v>
      </c>
      <c r="G247" s="950">
        <f>VLOOKUP(C247,'[10]за месяц 2025 (2)'!$A$8:$E$99,2,0)</f>
        <v>120060</v>
      </c>
      <c r="H247" s="950">
        <f>VLOOKUP(C247,'[10]за месяц 2025 (2)'!$A$8:$E$99,3,0)</f>
        <v>28704</v>
      </c>
    </row>
    <row r="248" spans="1:8" hidden="1">
      <c r="A248" s="78" t="s">
        <v>819</v>
      </c>
      <c r="B248" s="79">
        <v>2</v>
      </c>
      <c r="C248" s="83" t="s">
        <v>880</v>
      </c>
      <c r="D248" s="78" t="s">
        <v>821</v>
      </c>
      <c r="E248" s="78" t="s">
        <v>822</v>
      </c>
      <c r="F248" s="81">
        <v>1</v>
      </c>
      <c r="G248" s="950">
        <f>VLOOKUP(C248,'[10]за месяц 2025 (2)'!$A$8:$E$99,2,0)</f>
        <v>42021</v>
      </c>
      <c r="H248" s="950">
        <f>VLOOKUP(C248,'[10]за месяц 2025 (2)'!$A$8:$E$99,3,0)</f>
        <v>10046.4</v>
      </c>
    </row>
    <row r="249" spans="1:8" hidden="1">
      <c r="A249" s="78" t="s">
        <v>819</v>
      </c>
      <c r="B249" s="79">
        <v>2</v>
      </c>
      <c r="C249" s="91" t="s">
        <v>881</v>
      </c>
      <c r="D249" s="78" t="s">
        <v>821</v>
      </c>
      <c r="E249" s="91" t="s">
        <v>942</v>
      </c>
      <c r="F249" s="81">
        <v>1</v>
      </c>
      <c r="G249" s="950">
        <v>136500</v>
      </c>
      <c r="H249" s="950"/>
    </row>
    <row r="250" spans="1:8" hidden="1">
      <c r="A250" s="78" t="s">
        <v>819</v>
      </c>
      <c r="B250" s="79">
        <v>2</v>
      </c>
      <c r="C250" s="78" t="s">
        <v>882</v>
      </c>
      <c r="D250" s="78" t="s">
        <v>821</v>
      </c>
      <c r="E250" s="78" t="s">
        <v>822</v>
      </c>
      <c r="F250" s="81">
        <v>1</v>
      </c>
      <c r="G250" s="950">
        <f>VLOOKUP(C250,'[10]за месяц 2025 (2)'!$A$8:$E$99,2,0)</f>
        <v>70035</v>
      </c>
      <c r="H250" s="950">
        <f>VLOOKUP(C250,'[10]за месяц 2025 (2)'!$A$8:$E$99,3,0)</f>
        <v>16744</v>
      </c>
    </row>
    <row r="251" spans="1:8" ht="26.4" hidden="1">
      <c r="A251" s="78" t="s">
        <v>819</v>
      </c>
      <c r="B251" s="79">
        <v>2</v>
      </c>
      <c r="C251" s="80" t="s">
        <v>883</v>
      </c>
      <c r="D251" s="78" t="s">
        <v>821</v>
      </c>
      <c r="E251" s="78" t="s">
        <v>826</v>
      </c>
      <c r="F251" s="81">
        <v>1</v>
      </c>
      <c r="G251" s="950">
        <f>VLOOKUP(C251,'[10]за месяц 2025 (2)'!$A$8:$E$99,2,0)</f>
        <v>120060</v>
      </c>
      <c r="H251" s="950">
        <f>VLOOKUP(C251,'[10]за месяц 2025 (2)'!$A$8:$E$99,3,0)</f>
        <v>28428</v>
      </c>
    </row>
    <row r="252" spans="1:8" hidden="1">
      <c r="A252" s="78" t="s">
        <v>819</v>
      </c>
      <c r="B252" s="79">
        <v>2</v>
      </c>
      <c r="C252" s="90" t="s">
        <v>963</v>
      </c>
      <c r="D252" s="78" t="s">
        <v>821</v>
      </c>
      <c r="E252" s="78" t="s">
        <v>822</v>
      </c>
      <c r="F252" s="81">
        <v>1</v>
      </c>
      <c r="G252" s="950">
        <f>VLOOKUP(C252,'[10]за месяц 2025 (2)'!$A$8:$E$99,2,0)</f>
        <v>25088.400000000001</v>
      </c>
      <c r="H252" s="950">
        <f>VLOOKUP(C252,'[10]за месяц 2025 (2)'!$A$8:$E$99,3,0)</f>
        <v>4673.7599999999993</v>
      </c>
    </row>
    <row r="253" spans="1:8" hidden="1">
      <c r="A253" s="78" t="s">
        <v>819</v>
      </c>
      <c r="B253" s="79">
        <v>2</v>
      </c>
      <c r="C253" s="91" t="s">
        <v>884</v>
      </c>
      <c r="D253" s="78" t="s">
        <v>821</v>
      </c>
      <c r="E253" s="78" t="s">
        <v>824</v>
      </c>
      <c r="F253" s="81">
        <v>1</v>
      </c>
      <c r="G253" s="950">
        <f>VLOOKUP(C253,'[10]за месяц 2025 (2)'!$A$8:$E$99,2,0)</f>
        <v>70000.2</v>
      </c>
      <c r="H253" s="950">
        <f>VLOOKUP(C253,'[10]за месяц 2025 (2)'!$A$8:$E$99,3,0)</f>
        <v>16574.759999999998</v>
      </c>
    </row>
    <row r="254" spans="1:8" hidden="1">
      <c r="A254" s="78" t="s">
        <v>819</v>
      </c>
      <c r="B254" s="79">
        <v>2</v>
      </c>
      <c r="C254" s="80" t="s">
        <v>887</v>
      </c>
      <c r="D254" s="78" t="s">
        <v>821</v>
      </c>
      <c r="E254" s="78" t="s">
        <v>822</v>
      </c>
      <c r="F254" s="81">
        <v>1</v>
      </c>
      <c r="G254" s="950">
        <f>VLOOKUP(C254,'[10]за месяц 2025 (2)'!$A$8:$E$99,2,0)+40020</f>
        <v>120567</v>
      </c>
      <c r="H254" s="950">
        <f>VLOOKUP(C254,'[10]за месяц 2025 (2)'!$A$8:$E$99,3,0)+9568</f>
        <v>28220.399999999998</v>
      </c>
    </row>
    <row r="255" spans="1:8" hidden="1">
      <c r="A255" s="78" t="s">
        <v>819</v>
      </c>
      <c r="B255" s="79">
        <v>2</v>
      </c>
      <c r="C255" s="78" t="s">
        <v>885</v>
      </c>
      <c r="D255" s="78" t="s">
        <v>821</v>
      </c>
      <c r="E255" s="78" t="s">
        <v>824</v>
      </c>
      <c r="F255" s="81">
        <v>1</v>
      </c>
      <c r="G255" s="950">
        <f>VLOOKUP(C255,'[10]за месяц 2025 (2)'!$A$8:$E$99,2,0)</f>
        <v>88942.475099999996</v>
      </c>
      <c r="H255" s="950">
        <f>VLOOKUP(C255,'[10]за месяц 2025 (2)'!$A$8:$E$99,3,0)</f>
        <v>21264.40784</v>
      </c>
    </row>
    <row r="256" spans="1:8" hidden="1">
      <c r="A256" s="78" t="s">
        <v>819</v>
      </c>
      <c r="B256" s="79">
        <v>2</v>
      </c>
      <c r="C256" s="80" t="s">
        <v>886</v>
      </c>
      <c r="D256" s="78" t="s">
        <v>821</v>
      </c>
      <c r="E256" s="78" t="s">
        <v>822</v>
      </c>
      <c r="F256" s="81">
        <v>1</v>
      </c>
      <c r="G256" s="950">
        <f>VLOOKUP(C256,'[10]за месяц 2025 (2)'!$A$8:$E$99,2,0)</f>
        <v>100050</v>
      </c>
      <c r="H256" s="950">
        <f>VLOOKUP(C256,'[10]за месяц 2025 (2)'!$A$8:$E$99,3,0)</f>
        <v>23920</v>
      </c>
    </row>
    <row r="257" spans="1:8" hidden="1">
      <c r="A257" s="78" t="s">
        <v>819</v>
      </c>
      <c r="B257" s="79">
        <v>2</v>
      </c>
      <c r="C257" s="80" t="s">
        <v>888</v>
      </c>
      <c r="D257" s="78" t="s">
        <v>821</v>
      </c>
      <c r="E257" s="78" t="s">
        <v>822</v>
      </c>
      <c r="F257" s="81">
        <v>1</v>
      </c>
      <c r="G257" s="950">
        <f>VLOOKUP(C257,'[10]за месяц 2025 (2)'!$A$8:$E$99,2,0)</f>
        <v>26266.5</v>
      </c>
      <c r="H257" s="950">
        <f>VLOOKUP(C257,'[10]за месяц 2025 (2)'!$A$8:$E$99,3,0)</f>
        <v>6333.5999999999995</v>
      </c>
    </row>
    <row r="258" spans="1:8" hidden="1">
      <c r="A258" s="78" t="s">
        <v>910</v>
      </c>
      <c r="B258" s="79">
        <v>2</v>
      </c>
      <c r="C258" s="83" t="s">
        <v>914</v>
      </c>
      <c r="D258" s="78" t="s">
        <v>832</v>
      </c>
      <c r="E258" s="78" t="s">
        <v>172</v>
      </c>
      <c r="F258" s="81">
        <v>1</v>
      </c>
      <c r="G258" s="950">
        <f>VLOOKUP(C258,'[10]за месяц 2025 (2)'!$A$8:$E$99,2,0)</f>
        <v>80040</v>
      </c>
      <c r="H258" s="950">
        <f>VLOOKUP(C258,'[10]за месяц 2025 (2)'!$A$8:$E$99,3,0)</f>
        <v>19136</v>
      </c>
    </row>
    <row r="259" spans="1:8" hidden="1">
      <c r="A259" s="78" t="s">
        <v>910</v>
      </c>
      <c r="B259" s="79">
        <v>2</v>
      </c>
      <c r="C259" s="78" t="s">
        <v>917</v>
      </c>
      <c r="D259" s="78" t="s">
        <v>821</v>
      </c>
      <c r="E259" s="78" t="s">
        <v>172</v>
      </c>
      <c r="F259" s="81">
        <v>1</v>
      </c>
      <c r="G259" s="950">
        <f>VLOOKUP(C259,'[10]за месяц 2025 (2)'!$A$8:$E$99,2,0)</f>
        <v>110055</v>
      </c>
      <c r="H259" s="950">
        <f>VLOOKUP(C259,'[10]за месяц 2025 (2)'!$A$8:$E$99,3,0)</f>
        <v>26312</v>
      </c>
    </row>
    <row r="260" spans="1:8" hidden="1">
      <c r="A260" s="78" t="s">
        <v>910</v>
      </c>
      <c r="B260" s="79">
        <v>2</v>
      </c>
      <c r="C260" s="101" t="s">
        <v>916</v>
      </c>
      <c r="D260" s="78" t="s">
        <v>821</v>
      </c>
      <c r="E260" s="78" t="s">
        <v>172</v>
      </c>
      <c r="F260" s="81">
        <v>1</v>
      </c>
      <c r="G260" s="950">
        <f>VLOOKUP(C260,'[10]за месяц 2025 (2)'!$A$8:$E$99,2,0)</f>
        <v>24012</v>
      </c>
      <c r="H260" s="950">
        <f>VLOOKUP(C260,'[10]за месяц 2025 (2)'!$A$8:$E$99,3,0)</f>
        <v>5685.6</v>
      </c>
    </row>
    <row r="261" spans="1:8" hidden="1">
      <c r="A261" s="78" t="s">
        <v>910</v>
      </c>
      <c r="B261" s="79">
        <v>2</v>
      </c>
      <c r="C261" s="101" t="s">
        <v>965</v>
      </c>
      <c r="D261" s="78" t="s">
        <v>821</v>
      </c>
      <c r="E261" s="78" t="s">
        <v>172</v>
      </c>
      <c r="F261" s="81">
        <v>1</v>
      </c>
      <c r="G261" s="950">
        <v>20000</v>
      </c>
      <c r="H261" s="950"/>
    </row>
    <row r="262" spans="1:8" hidden="1">
      <c r="A262" s="78" t="s">
        <v>910</v>
      </c>
      <c r="B262" s="79">
        <v>2</v>
      </c>
      <c r="C262" s="78" t="s">
        <v>911</v>
      </c>
      <c r="D262" s="78" t="s">
        <v>832</v>
      </c>
      <c r="E262" s="78" t="s">
        <v>172</v>
      </c>
      <c r="F262" s="81">
        <v>1</v>
      </c>
      <c r="G262" s="950">
        <f>VLOOKUP(C262,'[10]за месяц 2025 (2)'!$A$8:$E$99,2,0)</f>
        <v>307057.82610000001</v>
      </c>
      <c r="H262" s="950">
        <f>VLOOKUP(C262,'[10]за месяц 2025 (2)'!$A$8:$E$99,3,0)</f>
        <v>73411.526240000007</v>
      </c>
    </row>
    <row r="263" spans="1:8" hidden="1">
      <c r="A263" s="78" t="s">
        <v>910</v>
      </c>
      <c r="B263" s="79">
        <v>2</v>
      </c>
      <c r="C263" s="78" t="s">
        <v>912</v>
      </c>
      <c r="D263" s="78" t="s">
        <v>832</v>
      </c>
      <c r="E263" s="78" t="s">
        <v>172</v>
      </c>
      <c r="F263" s="81">
        <v>1</v>
      </c>
      <c r="G263" s="950">
        <f>VLOOKUP(C263,'[10]за месяц 2025 (2)'!$A$8:$E$99,2,0)</f>
        <v>92547</v>
      </c>
      <c r="H263" s="950">
        <f>VLOOKUP(C263,'[10]за месяц 2025 (2)'!$A$8:$E$99,3,0)</f>
        <v>19588.399999999998</v>
      </c>
    </row>
    <row r="264" spans="1:8" hidden="1">
      <c r="A264" s="78" t="s">
        <v>910</v>
      </c>
      <c r="B264" s="79">
        <v>2</v>
      </c>
      <c r="C264" s="93" t="s">
        <v>915</v>
      </c>
      <c r="D264" s="78" t="s">
        <v>832</v>
      </c>
      <c r="E264" s="78" t="s">
        <v>172</v>
      </c>
      <c r="F264" s="81"/>
      <c r="G264" s="950"/>
      <c r="H264" s="950"/>
    </row>
    <row r="265" spans="1:8" hidden="1">
      <c r="A265" s="78" t="s">
        <v>905</v>
      </c>
      <c r="B265" s="79">
        <v>2</v>
      </c>
      <c r="C265" s="84" t="s">
        <v>908</v>
      </c>
      <c r="D265" s="78" t="s">
        <v>832</v>
      </c>
      <c r="E265" s="78" t="s">
        <v>173</v>
      </c>
      <c r="F265" s="81">
        <v>1</v>
      </c>
      <c r="G265" s="950">
        <f>VLOOKUP(C265,'[10]за месяц 2025 (2)'!$A$8:$E$99,2,0)</f>
        <v>60030</v>
      </c>
      <c r="H265" s="950">
        <f>VLOOKUP(C265,'[10]за месяц 2025 (2)'!$A$8:$E$99,3,0)</f>
        <v>14351.999999999996</v>
      </c>
    </row>
    <row r="266" spans="1:8" hidden="1">
      <c r="A266" s="78" t="s">
        <v>905</v>
      </c>
      <c r="B266" s="79">
        <v>2</v>
      </c>
      <c r="C266" s="78" t="s">
        <v>907</v>
      </c>
      <c r="D266" s="78" t="s">
        <v>832</v>
      </c>
      <c r="E266" s="78" t="s">
        <v>173</v>
      </c>
      <c r="F266" s="81">
        <v>1</v>
      </c>
      <c r="G266" s="950">
        <f>VLOOKUP(C266,'[10]за месяц 2025 (2)'!$A$8:$E$99,2,0)</f>
        <v>75213.563046487296</v>
      </c>
      <c r="H266" s="950">
        <f>VLOOKUP(C266,'[10]за месяц 2025 (2)'!$A$8:$E$99,3,0)</f>
        <v>17817.836953512713</v>
      </c>
    </row>
    <row r="267" spans="1:8" ht="26.4" hidden="1">
      <c r="A267" s="78" t="s">
        <v>905</v>
      </c>
      <c r="B267" s="79">
        <v>2</v>
      </c>
      <c r="C267" s="92" t="s">
        <v>909</v>
      </c>
      <c r="D267" s="78" t="s">
        <v>832</v>
      </c>
      <c r="E267" s="78" t="s">
        <v>173</v>
      </c>
      <c r="F267" s="81">
        <v>1</v>
      </c>
      <c r="G267" s="950">
        <f>VLOOKUP(C267,'[10]за месяц 2025 (2)'!$A$8:$E$99,2,0)</f>
        <v>150046.87111934338</v>
      </c>
      <c r="H267" s="950">
        <f>VLOOKUP(C267,'[10]за месяц 2025 (2)'!$A$8:$E$99,3,0)</f>
        <v>35925.006209050582</v>
      </c>
    </row>
    <row r="268" spans="1:8" ht="26.4" hidden="1">
      <c r="A268" s="91" t="s">
        <v>819</v>
      </c>
      <c r="B268" s="79">
        <v>2</v>
      </c>
      <c r="C268" s="80" t="s">
        <v>906</v>
      </c>
      <c r="D268" s="78" t="s">
        <v>832</v>
      </c>
      <c r="E268" s="963" t="s">
        <v>942</v>
      </c>
      <c r="F268" s="81">
        <v>1</v>
      </c>
      <c r="G268" s="950">
        <f>VLOOKUP(C268,'[10]за месяц 2025 (2)'!$A$8:$E$99,2,0)</f>
        <v>100129.15230742573</v>
      </c>
      <c r="H268" s="950">
        <f>VLOOKUP(C268,'[10]за месяц 2025 (2)'!$A$8:$E$99,3,0)</f>
        <v>23853.799888334841</v>
      </c>
    </row>
    <row r="269" spans="1:8" ht="26.4" hidden="1">
      <c r="A269" s="78" t="s">
        <v>905</v>
      </c>
      <c r="B269" s="79">
        <v>2</v>
      </c>
      <c r="C269" s="92" t="s">
        <v>962</v>
      </c>
      <c r="D269" s="78" t="s">
        <v>832</v>
      </c>
      <c r="E269" s="78" t="s">
        <v>173</v>
      </c>
      <c r="F269" s="81">
        <v>1</v>
      </c>
      <c r="G269" s="950">
        <f>VLOOKUP(C269,'[10]за месяц 2025 (2)'!$A$8:$E$99,2,0)</f>
        <v>15562.2</v>
      </c>
      <c r="H269" s="950">
        <f>VLOOKUP(C269,'[10]за месяц 2025 (2)'!$A$8:$E$99,3,0)</f>
        <v>3044.08</v>
      </c>
    </row>
    <row r="270" spans="1:8" hidden="1">
      <c r="A270" s="78" t="s">
        <v>890</v>
      </c>
      <c r="B270" s="79">
        <v>2</v>
      </c>
      <c r="C270" s="80" t="s">
        <v>891</v>
      </c>
      <c r="D270" s="78" t="s">
        <v>832</v>
      </c>
      <c r="E270" s="78" t="s">
        <v>210</v>
      </c>
      <c r="F270" s="81">
        <v>1</v>
      </c>
      <c r="G270" s="1838">
        <v>853900</v>
      </c>
      <c r="H270" s="1838">
        <v>216717</v>
      </c>
    </row>
    <row r="271" spans="1:8" hidden="1">
      <c r="A271" s="78" t="s">
        <v>890</v>
      </c>
      <c r="B271" s="79">
        <v>2</v>
      </c>
      <c r="C271" s="84" t="s">
        <v>892</v>
      </c>
      <c r="D271" s="78" t="s">
        <v>832</v>
      </c>
      <c r="E271" s="78" t="s">
        <v>210</v>
      </c>
      <c r="F271" s="81">
        <v>1</v>
      </c>
      <c r="G271" s="1839"/>
      <c r="H271" s="1839"/>
    </row>
    <row r="272" spans="1:8" hidden="1">
      <c r="A272" s="78" t="s">
        <v>890</v>
      </c>
      <c r="B272" s="79">
        <v>2</v>
      </c>
      <c r="C272" s="84" t="s">
        <v>893</v>
      </c>
      <c r="D272" s="78" t="s">
        <v>832</v>
      </c>
      <c r="E272" s="78" t="s">
        <v>210</v>
      </c>
      <c r="F272" s="81">
        <v>1</v>
      </c>
      <c r="G272" s="1839"/>
      <c r="H272" s="1839"/>
    </row>
    <row r="273" spans="1:8" hidden="1">
      <c r="A273" s="78" t="s">
        <v>890</v>
      </c>
      <c r="B273" s="79">
        <v>2</v>
      </c>
      <c r="C273" s="80" t="s">
        <v>894</v>
      </c>
      <c r="D273" s="78" t="s">
        <v>832</v>
      </c>
      <c r="E273" s="78" t="s">
        <v>210</v>
      </c>
      <c r="F273" s="81">
        <v>1</v>
      </c>
      <c r="G273" s="1839"/>
      <c r="H273" s="1839"/>
    </row>
    <row r="274" spans="1:8" hidden="1">
      <c r="A274" s="78" t="s">
        <v>890</v>
      </c>
      <c r="B274" s="79">
        <v>2</v>
      </c>
      <c r="C274" s="90" t="s">
        <v>961</v>
      </c>
      <c r="D274" s="78" t="s">
        <v>832</v>
      </c>
      <c r="E274" s="78" t="s">
        <v>210</v>
      </c>
      <c r="F274" s="81">
        <v>1</v>
      </c>
      <c r="G274" s="1840"/>
      <c r="H274" s="1840"/>
    </row>
    <row r="275" spans="1:8" ht="16.2" hidden="1" customHeight="1">
      <c r="A275" s="78" t="s">
        <v>340</v>
      </c>
      <c r="B275" s="79">
        <v>3</v>
      </c>
      <c r="C275" s="78" t="s">
        <v>904</v>
      </c>
      <c r="D275" s="78" t="s">
        <v>832</v>
      </c>
      <c r="E275" s="951" t="s">
        <v>180</v>
      </c>
      <c r="F275" s="81">
        <v>1</v>
      </c>
      <c r="G275" s="950">
        <f>VLOOKUP(C275,'[11]за месяц 2025'!$A$1:$C$65536,2,0)</f>
        <v>57031.05</v>
      </c>
      <c r="H275" s="950">
        <f>VLOOKUP(C275,'[11]за месяц 2025'!$A$1:$C$65536,3,0)</f>
        <v>13710.320000000002</v>
      </c>
    </row>
    <row r="276" spans="1:8" ht="16.2" hidden="1" customHeight="1">
      <c r="A276" s="78" t="s">
        <v>340</v>
      </c>
      <c r="B276" s="79">
        <v>3</v>
      </c>
      <c r="C276" s="78" t="s">
        <v>1038</v>
      </c>
      <c r="D276" s="78" t="s">
        <v>832</v>
      </c>
      <c r="E276" s="951" t="s">
        <v>180</v>
      </c>
      <c r="F276" s="81">
        <v>1</v>
      </c>
      <c r="G276" s="950">
        <f>VLOOKUP(C276,'[11]за месяц 2025'!$A$1:$C$65536,2,0)</f>
        <v>130065</v>
      </c>
      <c r="H276" s="950">
        <f>VLOOKUP(C276,'[11]за месяц 2025'!$A$1:$C$65536,3,0)</f>
        <v>31096</v>
      </c>
    </row>
    <row r="277" spans="1:8" hidden="1">
      <c r="A277" s="78" t="s">
        <v>339</v>
      </c>
      <c r="B277" s="79">
        <f>B275</f>
        <v>3</v>
      </c>
      <c r="C277" s="84" t="s">
        <v>901</v>
      </c>
      <c r="D277" s="78" t="s">
        <v>832</v>
      </c>
      <c r="E277" s="951" t="s">
        <v>9</v>
      </c>
      <c r="F277" s="81">
        <v>1</v>
      </c>
      <c r="G277" s="950">
        <f>VLOOKUP(C277,'[11]за месяц 2025'!$A$1:$C$65536,2,0)</f>
        <v>8765.25</v>
      </c>
      <c r="H277" s="950">
        <f>VLOOKUP(C277,'[11]за месяц 2025'!$A$1:$C$65536,3,0)</f>
        <v>2095.6</v>
      </c>
    </row>
    <row r="278" spans="1:8" hidden="1">
      <c r="A278" s="78" t="s">
        <v>339</v>
      </c>
      <c r="B278" s="79">
        <f t="shared" ref="B278:B336" si="17">B277</f>
        <v>3</v>
      </c>
      <c r="C278" s="92" t="s">
        <v>902</v>
      </c>
      <c r="D278" s="78" t="s">
        <v>832</v>
      </c>
      <c r="E278" s="951" t="s">
        <v>9</v>
      </c>
      <c r="F278" s="81">
        <v>1</v>
      </c>
      <c r="G278" s="950">
        <v>50000</v>
      </c>
      <c r="H278" s="950"/>
    </row>
    <row r="279" spans="1:8" hidden="1">
      <c r="A279" s="78" t="s">
        <v>339</v>
      </c>
      <c r="B279" s="79">
        <f t="shared" si="17"/>
        <v>3</v>
      </c>
      <c r="C279" s="84" t="s">
        <v>900</v>
      </c>
      <c r="D279" s="78" t="s">
        <v>832</v>
      </c>
      <c r="E279" s="951" t="s">
        <v>9</v>
      </c>
      <c r="F279" s="81">
        <v>1</v>
      </c>
      <c r="G279" s="950">
        <f>VLOOKUP(C279,'[11]за месяц 2025'!$A$1:$C$65536,2,0)</f>
        <v>58290</v>
      </c>
      <c r="H279" s="950">
        <f>VLOOKUP(C279,'[11]за месяц 2025'!$A$1:$C$65536,3,0)</f>
        <v>13936</v>
      </c>
    </row>
    <row r="280" spans="1:8" hidden="1">
      <c r="A280" s="78" t="s">
        <v>339</v>
      </c>
      <c r="B280" s="79">
        <f t="shared" si="17"/>
        <v>3</v>
      </c>
      <c r="C280" s="78" t="s">
        <v>898</v>
      </c>
      <c r="D280" s="78" t="s">
        <v>832</v>
      </c>
      <c r="E280" s="951" t="s">
        <v>9</v>
      </c>
      <c r="F280" s="81">
        <v>1</v>
      </c>
      <c r="G280" s="950">
        <f>VLOOKUP(C280,'[11]за месяц 2025'!$A$1:$C$65536,2,0)</f>
        <v>56367.726299999995</v>
      </c>
      <c r="H280" s="950">
        <f>VLOOKUP(C280,'[11]за месяц 2025'!$A$1:$C$65536,3,0)</f>
        <v>13476.421919999999</v>
      </c>
    </row>
    <row r="281" spans="1:8" hidden="1">
      <c r="A281" s="78" t="s">
        <v>339</v>
      </c>
      <c r="B281" s="79">
        <f t="shared" si="17"/>
        <v>3</v>
      </c>
      <c r="C281" s="78" t="s">
        <v>899</v>
      </c>
      <c r="D281" s="78" t="s">
        <v>832</v>
      </c>
      <c r="E281" s="951" t="s">
        <v>9</v>
      </c>
      <c r="F281" s="81">
        <v>1</v>
      </c>
      <c r="G281" s="950">
        <f>VLOOKUP(C281,'[11]за месяц 2025'!$A$1:$C$65536,2,0)</f>
        <v>91026</v>
      </c>
      <c r="H281" s="950">
        <f>VLOOKUP(C281,'[11]за месяц 2025'!$A$1:$C$65536,3,0)</f>
        <v>21086</v>
      </c>
    </row>
    <row r="282" spans="1:8" hidden="1">
      <c r="A282" s="78" t="s">
        <v>339</v>
      </c>
      <c r="B282" s="79">
        <f t="shared" si="17"/>
        <v>3</v>
      </c>
      <c r="C282" s="255" t="s">
        <v>896</v>
      </c>
      <c r="D282" s="78" t="s">
        <v>832</v>
      </c>
      <c r="E282" s="951" t="s">
        <v>9</v>
      </c>
      <c r="F282" s="81">
        <v>1</v>
      </c>
      <c r="G282" s="950">
        <f>VLOOKUP(C282,'[11]за месяц 2025'!$A$1:$C$65536,2,0)</f>
        <v>35732.144099999998</v>
      </c>
      <c r="H282" s="950">
        <f>VLOOKUP(C282,'[11]за месяц 2025'!$A$1:$C$65536,3,0)</f>
        <v>8542.8574399999998</v>
      </c>
    </row>
    <row r="283" spans="1:8" ht="26.4" hidden="1">
      <c r="A283" s="78" t="s">
        <v>339</v>
      </c>
      <c r="B283" s="79">
        <f t="shared" si="17"/>
        <v>3</v>
      </c>
      <c r="C283" s="80" t="s">
        <v>897</v>
      </c>
      <c r="D283" s="78" t="s">
        <v>832</v>
      </c>
      <c r="E283" s="951" t="s">
        <v>9</v>
      </c>
      <c r="F283" s="81">
        <v>1</v>
      </c>
      <c r="G283" s="950">
        <f>VLOOKUP(C283,'[11]за месяц 2025'!$A$1:$C$65536,2,0)</f>
        <v>103898</v>
      </c>
      <c r="H283" s="950">
        <f>VLOOKUP(C283,'[11]за месяц 2025'!$A$1:$C$65536,3,0)</f>
        <v>20072</v>
      </c>
    </row>
    <row r="284" spans="1:8" hidden="1">
      <c r="A284" s="78" t="s">
        <v>339</v>
      </c>
      <c r="B284" s="79">
        <f t="shared" si="17"/>
        <v>3</v>
      </c>
      <c r="C284" s="80" t="s">
        <v>903</v>
      </c>
      <c r="D284" s="78" t="s">
        <v>832</v>
      </c>
      <c r="E284" s="951" t="s">
        <v>9</v>
      </c>
      <c r="F284" s="81">
        <v>1</v>
      </c>
      <c r="G284" s="950">
        <f>VLOOKUP(C284,'[11]за месяц 2025'!$A$1:$C$65536,2,0)</f>
        <v>60030</v>
      </c>
      <c r="H284" s="950">
        <f>VLOOKUP(C284,'[11]за месяц 2025'!$A$1:$C$65536,3,0)</f>
        <v>14352</v>
      </c>
    </row>
    <row r="285" spans="1:8" hidden="1">
      <c r="A285" s="78" t="s">
        <v>819</v>
      </c>
      <c r="B285" s="79">
        <f t="shared" si="17"/>
        <v>3</v>
      </c>
      <c r="C285" s="80" t="s">
        <v>820</v>
      </c>
      <c r="D285" s="78" t="s">
        <v>821</v>
      </c>
      <c r="E285" s="91" t="s">
        <v>918</v>
      </c>
      <c r="F285" s="81">
        <v>1</v>
      </c>
      <c r="G285" s="950">
        <f>VLOOKUP(C285,'[11]за месяц 2025'!$A$1:$C$65536,2,0)</f>
        <v>61935.717599999996</v>
      </c>
      <c r="H285" s="950">
        <f>VLOOKUP(C285,'[11]за месяц 2025'!$A$1:$C$65536,3,0)</f>
        <v>14807.619839999999</v>
      </c>
    </row>
    <row r="286" spans="1:8" ht="26.4" hidden="1">
      <c r="A286" s="78" t="s">
        <v>819</v>
      </c>
      <c r="B286" s="79">
        <f t="shared" si="17"/>
        <v>3</v>
      </c>
      <c r="C286" s="80" t="s">
        <v>823</v>
      </c>
      <c r="D286" s="78" t="s">
        <v>821</v>
      </c>
      <c r="E286" s="91" t="s">
        <v>918</v>
      </c>
      <c r="F286" s="81">
        <v>1</v>
      </c>
      <c r="G286" s="950">
        <f>VLOOKUP(C286,'[11]за месяц 2025'!$A$1:$C$65536,2,0)</f>
        <v>109360.164</v>
      </c>
      <c r="H286" s="950">
        <f>VLOOKUP(C286,'[11]за месяц 2025'!$A$1:$C$65536,3,0)</f>
        <v>26203.257599999997</v>
      </c>
    </row>
    <row r="287" spans="1:8" hidden="1">
      <c r="A287" s="78" t="s">
        <v>819</v>
      </c>
      <c r="B287" s="79">
        <f t="shared" si="17"/>
        <v>3</v>
      </c>
      <c r="C287" s="90" t="s">
        <v>825</v>
      </c>
      <c r="D287" s="78" t="s">
        <v>821</v>
      </c>
      <c r="E287" s="78" t="s">
        <v>822</v>
      </c>
      <c r="F287" s="81">
        <v>1</v>
      </c>
      <c r="G287" s="950">
        <f>VLOOKUP(C287,'[11]за месяц 2025'!$A$1:$C$65536,2,0)</f>
        <v>90004.05</v>
      </c>
      <c r="H287" s="950">
        <f>VLOOKUP(C287,'[11]за месяц 2025'!$A$1:$C$65536,3,0)</f>
        <v>21593.52</v>
      </c>
    </row>
    <row r="288" spans="1:8" hidden="1">
      <c r="A288" s="78" t="s">
        <v>819</v>
      </c>
      <c r="B288" s="79">
        <f>B318</f>
        <v>3</v>
      </c>
      <c r="C288" s="84" t="s">
        <v>1039</v>
      </c>
      <c r="D288" s="78" t="s">
        <v>821</v>
      </c>
      <c r="E288" s="78" t="s">
        <v>829</v>
      </c>
      <c r="F288" s="81">
        <v>1</v>
      </c>
      <c r="G288" s="950">
        <f>VLOOKUP(C288,'[11]за месяц 2025'!$A$1:$C$65536,2,0)</f>
        <v>55576.05</v>
      </c>
      <c r="H288" s="950">
        <f>VLOOKUP(C288,'[11]за месяц 2025'!$A$1:$C$65536,3,0)</f>
        <v>12685.919999999998</v>
      </c>
    </row>
    <row r="289" spans="1:8" hidden="1">
      <c r="A289" s="78" t="s">
        <v>819</v>
      </c>
      <c r="B289" s="79">
        <f>B287</f>
        <v>3</v>
      </c>
      <c r="C289" s="80" t="s">
        <v>827</v>
      </c>
      <c r="D289" s="78" t="s">
        <v>821</v>
      </c>
      <c r="E289" s="78" t="s">
        <v>826</v>
      </c>
      <c r="F289" s="81">
        <v>1</v>
      </c>
      <c r="G289" s="950">
        <f>VLOOKUP(C289,'[11]за месяц 2025'!$A$1:$C$65536,2,0)</f>
        <v>45919.144099999998</v>
      </c>
      <c r="H289" s="950">
        <f>VLOOKUP(C289,'[11]за месяц 2025'!$A$1:$C$65536,3,0)</f>
        <v>10752.85744</v>
      </c>
    </row>
    <row r="290" spans="1:8" ht="26.4" hidden="1">
      <c r="A290" s="78" t="s">
        <v>819</v>
      </c>
      <c r="B290" s="79">
        <f t="shared" si="17"/>
        <v>3</v>
      </c>
      <c r="C290" s="80" t="s">
        <v>828</v>
      </c>
      <c r="D290" s="78" t="s">
        <v>821</v>
      </c>
      <c r="E290" s="78" t="s">
        <v>824</v>
      </c>
      <c r="F290" s="81">
        <v>1</v>
      </c>
      <c r="G290" s="950">
        <f>VLOOKUP(C290,'[11]за месяц 2025'!$A$1:$C$65536,2,0)</f>
        <v>19960.5579</v>
      </c>
      <c r="H290" s="950">
        <f>VLOOKUP(C290,'[11]за месяц 2025'!$A$1:$C$65536,3,0)</f>
        <v>4772.1793599999992</v>
      </c>
    </row>
    <row r="291" spans="1:8" hidden="1">
      <c r="A291" s="78" t="s">
        <v>819</v>
      </c>
      <c r="B291" s="79">
        <f t="shared" si="17"/>
        <v>3</v>
      </c>
      <c r="C291" s="80" t="s">
        <v>830</v>
      </c>
      <c r="D291" s="78" t="s">
        <v>821</v>
      </c>
      <c r="E291" s="91" t="s">
        <v>942</v>
      </c>
      <c r="F291" s="81">
        <v>1</v>
      </c>
      <c r="G291" s="950">
        <f>VLOOKUP(C291,'[11]за месяц 2025'!$A$1:$C$65536,2,0)</f>
        <v>115014</v>
      </c>
      <c r="H291" s="950">
        <f>VLOOKUP(C291,'[11]за месяц 2025'!$A$1:$C$65536,3,0)</f>
        <v>27497.599999999999</v>
      </c>
    </row>
    <row r="292" spans="1:8" hidden="1">
      <c r="A292" s="78" t="s">
        <v>819</v>
      </c>
      <c r="B292" s="79">
        <f t="shared" si="17"/>
        <v>3</v>
      </c>
      <c r="C292" s="80" t="s">
        <v>833</v>
      </c>
      <c r="D292" s="78" t="s">
        <v>821</v>
      </c>
      <c r="E292" s="78" t="s">
        <v>826</v>
      </c>
      <c r="F292" s="81">
        <v>1</v>
      </c>
      <c r="G292" s="950">
        <f>VLOOKUP(C292,'[11]за месяц 2025'!$A$1:$C$65536,2,0)</f>
        <v>64990.176599999992</v>
      </c>
      <c r="H292" s="950">
        <f>VLOOKUP(C292,'[11]за месяц 2025'!$A$1:$C$65536,3,0)</f>
        <v>14897.205439999998</v>
      </c>
    </row>
    <row r="293" spans="1:8" hidden="1">
      <c r="A293" s="78" t="s">
        <v>819</v>
      </c>
      <c r="B293" s="79">
        <f t="shared" si="17"/>
        <v>3</v>
      </c>
      <c r="C293" s="80" t="s">
        <v>831</v>
      </c>
      <c r="D293" s="78" t="s">
        <v>821</v>
      </c>
      <c r="E293" s="78" t="s">
        <v>822</v>
      </c>
      <c r="F293" s="81">
        <v>1</v>
      </c>
      <c r="G293" s="950">
        <f>VLOOKUP(C293,'[11]за месяц 2025'!$A$1:$C$65536,2,0)</f>
        <v>30015</v>
      </c>
      <c r="H293" s="950">
        <f>VLOOKUP(C293,'[11]за месяц 2025'!$A$1:$C$65536,3,0)</f>
        <v>7176</v>
      </c>
    </row>
    <row r="294" spans="1:8" hidden="1">
      <c r="A294" s="78" t="s">
        <v>819</v>
      </c>
      <c r="B294" s="79">
        <f t="shared" si="17"/>
        <v>3</v>
      </c>
      <c r="C294" s="80" t="s">
        <v>834</v>
      </c>
      <c r="D294" s="78" t="s">
        <v>821</v>
      </c>
      <c r="E294" s="91" t="s">
        <v>918</v>
      </c>
      <c r="F294" s="81">
        <v>1</v>
      </c>
      <c r="G294" s="950">
        <f>VLOOKUP(C294,'[11]за месяц 2025'!$A$1:$C$65536,2,0)</f>
        <v>65250</v>
      </c>
      <c r="H294" s="950">
        <f>VLOOKUP(C294,'[11]за месяц 2025'!$A$1:$C$65536,3,0)</f>
        <v>15600</v>
      </c>
    </row>
    <row r="295" spans="1:8" hidden="1">
      <c r="A295" s="78" t="s">
        <v>819</v>
      </c>
      <c r="B295" s="79">
        <f t="shared" si="17"/>
        <v>3</v>
      </c>
      <c r="C295" s="91" t="s">
        <v>835</v>
      </c>
      <c r="D295" s="78" t="s">
        <v>821</v>
      </c>
      <c r="E295" s="91" t="s">
        <v>918</v>
      </c>
      <c r="F295" s="81">
        <v>1</v>
      </c>
      <c r="G295" s="950">
        <f>VLOOKUP(C295,'[11]за месяц 2025'!$A$1:$C$65536,2,0)</f>
        <v>48774.81</v>
      </c>
      <c r="H295" s="950">
        <f>VLOOKUP(C295,'[11]за месяц 2025'!$A$1:$C$65536,3,0)</f>
        <v>11548.977999999999</v>
      </c>
    </row>
    <row r="296" spans="1:8" hidden="1">
      <c r="A296" s="78" t="s">
        <v>819</v>
      </c>
      <c r="B296" s="79">
        <f t="shared" si="17"/>
        <v>3</v>
      </c>
      <c r="C296" s="91" t="s">
        <v>837</v>
      </c>
      <c r="D296" s="78" t="s">
        <v>821</v>
      </c>
      <c r="E296" s="78" t="s">
        <v>822</v>
      </c>
      <c r="F296" s="81">
        <v>1</v>
      </c>
      <c r="G296" s="950">
        <f>VLOOKUP(C296,'[11]за месяц 2025'!$A$1:$C$65536,2,0)</f>
        <v>50196.755399999995</v>
      </c>
      <c r="H296" s="950">
        <f>VLOOKUP(C296,'[11]за месяц 2025'!$A$1:$C$65536,3,0)</f>
        <v>12001.06336</v>
      </c>
    </row>
    <row r="297" spans="1:8" hidden="1">
      <c r="A297" s="78" t="s">
        <v>819</v>
      </c>
      <c r="B297" s="79">
        <f t="shared" si="17"/>
        <v>3</v>
      </c>
      <c r="C297" s="80" t="s">
        <v>838</v>
      </c>
      <c r="D297" s="78" t="s">
        <v>821</v>
      </c>
      <c r="E297" s="78" t="s">
        <v>822</v>
      </c>
      <c r="F297" s="81">
        <v>1</v>
      </c>
      <c r="G297" s="950">
        <f>VLOOKUP(C297,'[11]за месяц 2025'!$A$1:$C$65536,2,0)</f>
        <v>75214.05</v>
      </c>
      <c r="H297" s="950">
        <f>VLOOKUP(C297,'[11]за месяц 2025'!$A$1:$C$65536,3,0)</f>
        <v>18057.52</v>
      </c>
    </row>
    <row r="298" spans="1:8" hidden="1">
      <c r="A298" s="78" t="s">
        <v>819</v>
      </c>
      <c r="B298" s="79">
        <f>B266</f>
        <v>2</v>
      </c>
      <c r="C298" s="91" t="s">
        <v>1045</v>
      </c>
      <c r="D298" s="78" t="s">
        <v>821</v>
      </c>
      <c r="E298" s="78" t="s">
        <v>824</v>
      </c>
      <c r="F298" s="81">
        <v>1</v>
      </c>
      <c r="G298" s="950">
        <f>17086+11553</f>
        <v>28639</v>
      </c>
      <c r="H298" s="950"/>
    </row>
    <row r="299" spans="1:8" hidden="1">
      <c r="A299" s="78" t="s">
        <v>819</v>
      </c>
      <c r="B299" s="79">
        <f>B297</f>
        <v>3</v>
      </c>
      <c r="C299" s="92" t="s">
        <v>839</v>
      </c>
      <c r="D299" s="78" t="s">
        <v>821</v>
      </c>
      <c r="E299" s="78" t="s">
        <v>836</v>
      </c>
      <c r="F299" s="81">
        <v>1</v>
      </c>
      <c r="G299" s="950">
        <f>VLOOKUP(C299,'[11]за месяц 2025'!$A$1:$C$65536,2,0)</f>
        <v>60030</v>
      </c>
      <c r="H299" s="950">
        <f>VLOOKUP(C299,'[11]за месяц 2025'!$A$1:$C$65536,3,0)</f>
        <v>14352</v>
      </c>
    </row>
    <row r="300" spans="1:8" hidden="1">
      <c r="A300" s="78" t="s">
        <v>819</v>
      </c>
      <c r="B300" s="79">
        <f t="shared" si="17"/>
        <v>3</v>
      </c>
      <c r="C300" s="78" t="s">
        <v>840</v>
      </c>
      <c r="D300" s="78" t="s">
        <v>821</v>
      </c>
      <c r="E300" s="78" t="s">
        <v>822</v>
      </c>
      <c r="F300" s="81">
        <v>1</v>
      </c>
      <c r="G300" s="950">
        <f>VLOOKUP(C300,'[11]за месяц 2025'!$A$1:$C$65536,2,0)</f>
        <v>72380.097000000009</v>
      </c>
      <c r="H300" s="950">
        <f>VLOOKUP(C300,'[11]за месяц 2025'!$A$1:$C$65536,3,0)</f>
        <v>17372.804800000002</v>
      </c>
    </row>
    <row r="301" spans="1:8" hidden="1">
      <c r="A301" s="78" t="s">
        <v>819</v>
      </c>
      <c r="B301" s="79">
        <f t="shared" si="17"/>
        <v>3</v>
      </c>
      <c r="C301" s="78" t="s">
        <v>841</v>
      </c>
      <c r="D301" s="78" t="s">
        <v>821</v>
      </c>
      <c r="E301" s="78" t="s">
        <v>826</v>
      </c>
      <c r="F301" s="81">
        <v>1</v>
      </c>
      <c r="G301" s="950">
        <f>VLOOKUP(C301,'[11]за месяц 2025'!$A$1:$C$65536,2,0)</f>
        <v>59012.500199999995</v>
      </c>
      <c r="H301" s="950">
        <f>VLOOKUP(C301,'[11]за месяц 2025'!$A$1:$C$65536,3,0)</f>
        <v>14108.735679999998</v>
      </c>
    </row>
    <row r="302" spans="1:8" hidden="1">
      <c r="A302" s="78" t="s">
        <v>819</v>
      </c>
      <c r="B302" s="79">
        <f t="shared" si="17"/>
        <v>3</v>
      </c>
      <c r="C302" s="84" t="s">
        <v>842</v>
      </c>
      <c r="D302" s="78" t="s">
        <v>821</v>
      </c>
      <c r="E302" s="78" t="s">
        <v>843</v>
      </c>
      <c r="F302" s="81">
        <v>1</v>
      </c>
      <c r="G302" s="950">
        <f>VLOOKUP(C302,'[11]за месяц 2025'!$A$1:$C$65536,2,0)</f>
        <v>100050</v>
      </c>
      <c r="H302" s="950">
        <f>VLOOKUP(C302,'[11]за месяц 2025'!$A$1:$C$65536,3,0)</f>
        <v>23920</v>
      </c>
    </row>
    <row r="303" spans="1:8" hidden="1">
      <c r="A303" s="78" t="s">
        <v>819</v>
      </c>
      <c r="B303" s="79">
        <f t="shared" si="17"/>
        <v>3</v>
      </c>
      <c r="C303" s="84" t="s">
        <v>844</v>
      </c>
      <c r="D303" s="78" t="s">
        <v>821</v>
      </c>
      <c r="E303" s="78" t="s">
        <v>826</v>
      </c>
      <c r="F303" s="81">
        <v>1</v>
      </c>
      <c r="G303" s="950">
        <f>VLOOKUP(C303,'[11]за месяц 2025'!$A$1:$C$65536,2,0)</f>
        <v>70540.05</v>
      </c>
      <c r="H303" s="950">
        <f>VLOOKUP(C303,'[11]за месяц 2025'!$A$1:$C$65536,3,0)</f>
        <v>16263.519999999999</v>
      </c>
    </row>
    <row r="304" spans="1:8" hidden="1">
      <c r="A304" s="78" t="s">
        <v>819</v>
      </c>
      <c r="B304" s="79">
        <f t="shared" si="17"/>
        <v>3</v>
      </c>
      <c r="C304" s="78" t="s">
        <v>845</v>
      </c>
      <c r="D304" s="78" t="s">
        <v>821</v>
      </c>
      <c r="E304" s="78" t="s">
        <v>824</v>
      </c>
      <c r="F304" s="81">
        <v>1</v>
      </c>
      <c r="G304" s="950">
        <f>VLOOKUP(C304,'[11]за месяц 2025'!$A$1:$C$65536,2,0)</f>
        <v>70035</v>
      </c>
      <c r="H304" s="950">
        <f>VLOOKUP(C304,'[11]за месяц 2025'!$A$1:$C$65536,3,0)</f>
        <v>16744</v>
      </c>
    </row>
    <row r="305" spans="1:8" hidden="1">
      <c r="A305" s="78" t="s">
        <v>819</v>
      </c>
      <c r="B305" s="79">
        <f t="shared" si="17"/>
        <v>3</v>
      </c>
      <c r="C305" s="84" t="s">
        <v>846</v>
      </c>
      <c r="D305" s="78" t="s">
        <v>821</v>
      </c>
      <c r="E305" s="91" t="s">
        <v>942</v>
      </c>
      <c r="F305" s="81">
        <v>1</v>
      </c>
      <c r="G305" s="950">
        <f>VLOOKUP(C305,'[11]за месяц 2025'!$A$1:$C$65536,2,0)</f>
        <v>95811</v>
      </c>
      <c r="H305" s="950">
        <f>VLOOKUP(C305,'[11]за месяц 2025'!$A$1:$C$65536,3,0)</f>
        <v>22230</v>
      </c>
    </row>
    <row r="306" spans="1:8" hidden="1">
      <c r="A306" s="78" t="s">
        <v>819</v>
      </c>
      <c r="B306" s="79">
        <f t="shared" si="17"/>
        <v>3</v>
      </c>
      <c r="C306" s="78" t="s">
        <v>847</v>
      </c>
      <c r="D306" s="78" t="s">
        <v>821</v>
      </c>
      <c r="E306" s="78" t="s">
        <v>829</v>
      </c>
      <c r="F306" s="81">
        <v>1</v>
      </c>
      <c r="G306" s="950">
        <f>VLOOKUP(C306,'[11]за месяц 2025'!$A$1:$C$65536,2,0)</f>
        <v>99955.05</v>
      </c>
      <c r="H306" s="950">
        <f>VLOOKUP(C306,'[11]за месяц 2025'!$A$1:$C$65536,3,0)</f>
        <v>24039.52</v>
      </c>
    </row>
    <row r="307" spans="1:8" hidden="1">
      <c r="A307" s="78" t="s">
        <v>819</v>
      </c>
      <c r="B307" s="79">
        <f t="shared" si="17"/>
        <v>3</v>
      </c>
      <c r="C307" s="84" t="s">
        <v>919</v>
      </c>
      <c r="D307" s="78" t="s">
        <v>821</v>
      </c>
      <c r="E307" s="78" t="s">
        <v>822</v>
      </c>
      <c r="F307" s="81">
        <v>1</v>
      </c>
      <c r="G307" s="950">
        <f>VLOOKUP(C307,'[11]за месяц 2025'!$A$1:$C$65536,2,0)</f>
        <v>80545.05</v>
      </c>
      <c r="H307" s="950">
        <f>VLOOKUP(C307,'[11]за месяц 2025'!$A$1:$C$65536,3,0)</f>
        <v>18655.52</v>
      </c>
    </row>
    <row r="308" spans="1:8" hidden="1">
      <c r="A308" s="78" t="s">
        <v>819</v>
      </c>
      <c r="B308" s="79">
        <f t="shared" si="17"/>
        <v>3</v>
      </c>
      <c r="C308" s="80" t="s">
        <v>848</v>
      </c>
      <c r="D308" s="78" t="s">
        <v>821</v>
      </c>
      <c r="E308" s="78" t="s">
        <v>826</v>
      </c>
      <c r="F308" s="81">
        <v>1</v>
      </c>
      <c r="G308" s="950">
        <f>VLOOKUP(C308,'[11]за месяц 2025'!$A$1:$C$65536,2,0)</f>
        <v>44610.520199999999</v>
      </c>
      <c r="H308" s="950">
        <f>VLOOKUP(C308,'[11]за месяц 2025'!$A$1:$C$65536,3,0)</f>
        <v>10253.9398</v>
      </c>
    </row>
    <row r="309" spans="1:8" hidden="1">
      <c r="A309" s="78" t="s">
        <v>819</v>
      </c>
      <c r="B309" s="79">
        <f t="shared" si="17"/>
        <v>3</v>
      </c>
      <c r="C309" s="78" t="s">
        <v>849</v>
      </c>
      <c r="D309" s="78" t="s">
        <v>821</v>
      </c>
      <c r="E309" s="78" t="s">
        <v>824</v>
      </c>
      <c r="F309" s="81">
        <v>1</v>
      </c>
      <c r="G309" s="950">
        <f>VLOOKUP(C309,'[11]за месяц 2025'!$A$1:$C$65536,2,0)</f>
        <v>69994.05</v>
      </c>
      <c r="H309" s="950">
        <f>VLOOKUP(C309,'[11]за месяц 2025'!$A$1:$C$65536,3,0)</f>
        <v>16809.52</v>
      </c>
    </row>
    <row r="310" spans="1:8" hidden="1">
      <c r="A310" s="78" t="s">
        <v>819</v>
      </c>
      <c r="B310" s="79">
        <f>B309</f>
        <v>3</v>
      </c>
      <c r="C310" s="90" t="s">
        <v>1044</v>
      </c>
      <c r="D310" s="78" t="s">
        <v>821</v>
      </c>
      <c r="E310" s="78" t="s">
        <v>826</v>
      </c>
      <c r="F310" s="81">
        <v>1</v>
      </c>
      <c r="G310" s="950">
        <f>74470+74470</f>
        <v>148940</v>
      </c>
      <c r="H310" s="950"/>
    </row>
    <row r="311" spans="1:8" hidden="1">
      <c r="A311" s="78" t="s">
        <v>819</v>
      </c>
      <c r="B311" s="79">
        <f>B309</f>
        <v>3</v>
      </c>
      <c r="C311" s="78" t="s">
        <v>851</v>
      </c>
      <c r="D311" s="78" t="s">
        <v>821</v>
      </c>
      <c r="E311" s="78" t="s">
        <v>826</v>
      </c>
      <c r="F311" s="81">
        <v>1</v>
      </c>
      <c r="G311" s="950">
        <f>VLOOKUP(C311,'[11]за месяц 2025'!$A$1:$C$65536,2,0)</f>
        <v>98279.378100000002</v>
      </c>
      <c r="H311" s="950">
        <f>VLOOKUP(C311,'[11]за месяц 2025'!$A$1:$C$65536,3,0)</f>
        <v>23568.403039999997</v>
      </c>
    </row>
    <row r="312" spans="1:8" hidden="1">
      <c r="A312" s="78" t="s">
        <v>819</v>
      </c>
      <c r="B312" s="79">
        <f>B310</f>
        <v>3</v>
      </c>
      <c r="C312" s="84" t="s">
        <v>853</v>
      </c>
      <c r="D312" s="78" t="s">
        <v>821</v>
      </c>
      <c r="E312" s="78" t="s">
        <v>836</v>
      </c>
      <c r="F312" s="81">
        <v>1</v>
      </c>
      <c r="G312" s="950">
        <f>VLOOKUP(C312,'[11]за месяц 2025'!$A$1:$C$65536,2,0)</f>
        <v>110055</v>
      </c>
      <c r="H312" s="950">
        <f>VLOOKUP(C312,'[11]за месяц 2025'!$A$1:$C$65536,3,0)</f>
        <v>26312</v>
      </c>
    </row>
    <row r="313" spans="1:8" hidden="1">
      <c r="A313" s="78" t="s">
        <v>819</v>
      </c>
      <c r="B313" s="79">
        <f t="shared" si="17"/>
        <v>3</v>
      </c>
      <c r="C313" s="84" t="s">
        <v>854</v>
      </c>
      <c r="D313" s="78" t="s">
        <v>821</v>
      </c>
      <c r="E313" s="78" t="s">
        <v>826</v>
      </c>
      <c r="F313" s="81">
        <v>1</v>
      </c>
      <c r="G313" s="950">
        <f>VLOOKUP(C313,'[11]за месяц 2025'!$A$1:$C$65536,2,0)</f>
        <v>92179.05</v>
      </c>
      <c r="H313" s="950">
        <f>VLOOKUP(C313,'[11]за месяц 2025'!$A$1:$C$65536,3,0)</f>
        <v>22113.52</v>
      </c>
    </row>
    <row r="314" spans="1:8" hidden="1">
      <c r="A314" s="78" t="s">
        <v>819</v>
      </c>
      <c r="B314" s="79">
        <f t="shared" si="17"/>
        <v>3</v>
      </c>
      <c r="C314" s="91" t="s">
        <v>855</v>
      </c>
      <c r="D314" s="78" t="s">
        <v>821</v>
      </c>
      <c r="E314" s="91" t="s">
        <v>822</v>
      </c>
      <c r="F314" s="81">
        <v>1</v>
      </c>
      <c r="G314" s="950">
        <f>VLOOKUP(C314,'[11]за месяц 2025'!$A$1:$C$65536,2,0)</f>
        <v>65209.05</v>
      </c>
      <c r="H314" s="950">
        <f>VLOOKUP(C314,'[11]за месяц 2025'!$A$1:$C$65536,3,0)</f>
        <v>15665.519999999999</v>
      </c>
    </row>
    <row r="315" spans="1:8" hidden="1">
      <c r="A315" s="78" t="s">
        <v>819</v>
      </c>
      <c r="B315" s="79">
        <f t="shared" si="17"/>
        <v>3</v>
      </c>
      <c r="C315" s="78" t="s">
        <v>856</v>
      </c>
      <c r="D315" s="78" t="s">
        <v>821</v>
      </c>
      <c r="E315" s="78" t="s">
        <v>826</v>
      </c>
      <c r="F315" s="81">
        <v>1</v>
      </c>
      <c r="G315" s="950">
        <f>VLOOKUP(C315,'[11]за месяц 2025'!$A$1:$C$65536,2,0)</f>
        <v>77740.697100000005</v>
      </c>
      <c r="H315" s="950">
        <f>VLOOKUP(C315,'[11]за месяц 2025'!$A$1:$C$65536,3,0)</f>
        <v>17283.412639999999</v>
      </c>
    </row>
    <row r="316" spans="1:8" hidden="1">
      <c r="A316" s="78" t="s">
        <v>819</v>
      </c>
      <c r="B316" s="79">
        <f t="shared" si="17"/>
        <v>3</v>
      </c>
      <c r="C316" s="78" t="s">
        <v>857</v>
      </c>
      <c r="D316" s="78" t="s">
        <v>821</v>
      </c>
      <c r="E316" s="78" t="s">
        <v>824</v>
      </c>
      <c r="F316" s="81">
        <v>1</v>
      </c>
      <c r="G316" s="950">
        <f>VLOOKUP(C316,'[11]за месяц 2025'!$A$1:$C$65536,2,0)</f>
        <v>79999.05</v>
      </c>
      <c r="H316" s="950">
        <f>VLOOKUP(C316,'[11]за месяц 2025'!$A$1:$C$65536,3,0)</f>
        <v>19201.52</v>
      </c>
    </row>
    <row r="317" spans="1:8" hidden="1">
      <c r="A317" s="78" t="s">
        <v>819</v>
      </c>
      <c r="B317" s="79">
        <f t="shared" si="17"/>
        <v>3</v>
      </c>
      <c r="C317" s="90" t="s">
        <v>913</v>
      </c>
      <c r="D317" s="78" t="s">
        <v>821</v>
      </c>
      <c r="E317" s="78" t="s">
        <v>822</v>
      </c>
      <c r="F317" s="81">
        <v>1</v>
      </c>
      <c r="G317" s="950">
        <f>VLOOKUP(C317,'[11]за месяц 2025'!$A$1:$C$65536,2,0)</f>
        <v>55245</v>
      </c>
      <c r="H317" s="950">
        <f>VLOOKUP(C317,'[11]за месяц 2025'!$A$1:$C$65536,3,0)</f>
        <v>13208</v>
      </c>
    </row>
    <row r="318" spans="1:8" hidden="1">
      <c r="A318" s="78" t="s">
        <v>819</v>
      </c>
      <c r="B318" s="79">
        <f t="shared" si="17"/>
        <v>3</v>
      </c>
      <c r="C318" s="78" t="s">
        <v>858</v>
      </c>
      <c r="D318" s="78" t="s">
        <v>821</v>
      </c>
      <c r="E318" s="78" t="s">
        <v>826</v>
      </c>
      <c r="F318" s="81">
        <v>1</v>
      </c>
      <c r="G318" s="950">
        <f>VLOOKUP(C318,'[11]за месяц 2025'!$A$1:$C$65536,2,0)</f>
        <v>79999.05</v>
      </c>
      <c r="H318" s="950">
        <f>VLOOKUP(C318,'[11]за месяц 2025'!$A$1:$C$65536,3,0)</f>
        <v>19201.52</v>
      </c>
    </row>
    <row r="319" spans="1:8" hidden="1">
      <c r="A319" s="78" t="s">
        <v>819</v>
      </c>
      <c r="B319" s="79">
        <f>B288</f>
        <v>3</v>
      </c>
      <c r="C319" s="91" t="s">
        <v>1037</v>
      </c>
      <c r="D319" s="78" t="s">
        <v>821</v>
      </c>
      <c r="E319" s="78" t="s">
        <v>824</v>
      </c>
      <c r="F319" s="81">
        <v>1</v>
      </c>
      <c r="G319" s="950">
        <f>VLOOKUP(C319,'[11]за месяц 2025'!$A$1:$C$65536,2,0)</f>
        <v>66374.040000000008</v>
      </c>
      <c r="H319" s="950">
        <f>VLOOKUP(C319,'[11]за месяц 2025'!$A$1:$C$65536,3,0)</f>
        <v>15716.151999999998</v>
      </c>
    </row>
    <row r="320" spans="1:8" hidden="1">
      <c r="A320" s="78" t="s">
        <v>819</v>
      </c>
      <c r="B320" s="79">
        <f>B289</f>
        <v>3</v>
      </c>
      <c r="C320" s="91" t="s">
        <v>862</v>
      </c>
      <c r="D320" s="78" t="s">
        <v>821</v>
      </c>
      <c r="E320" s="78" t="s">
        <v>822</v>
      </c>
      <c r="F320" s="81">
        <v>1</v>
      </c>
      <c r="G320" s="950">
        <f>VLOOKUP(C320,'[11]за месяц 2025'!$A$1:$C$65536,2,0)</f>
        <v>65209.05</v>
      </c>
      <c r="H320" s="950">
        <f>VLOOKUP(C320,'[11]за месяц 2025'!$A$1:$C$65536,3,0)</f>
        <v>15665.519999999999</v>
      </c>
    </row>
    <row r="321" spans="1:8" hidden="1">
      <c r="A321" s="78" t="s">
        <v>819</v>
      </c>
      <c r="B321" s="79">
        <f t="shared" si="17"/>
        <v>3</v>
      </c>
      <c r="C321" s="84" t="s">
        <v>863</v>
      </c>
      <c r="D321" s="78" t="s">
        <v>821</v>
      </c>
      <c r="E321" s="78" t="s">
        <v>829</v>
      </c>
      <c r="F321" s="81">
        <v>1</v>
      </c>
      <c r="G321" s="950">
        <f>VLOOKUP(C321,'[11]за месяц 2025'!$A$1:$C$65536,2,0)</f>
        <v>60424.05</v>
      </c>
      <c r="H321" s="950">
        <f>VLOOKUP(C321,'[11]за месяц 2025'!$A$1:$C$65536,3,0)</f>
        <v>14521.519999999999</v>
      </c>
    </row>
    <row r="322" spans="1:8" hidden="1">
      <c r="A322" s="78" t="s">
        <v>819</v>
      </c>
      <c r="B322" s="79">
        <f t="shared" si="17"/>
        <v>3</v>
      </c>
      <c r="C322" s="78" t="s">
        <v>864</v>
      </c>
      <c r="D322" s="78" t="s">
        <v>821</v>
      </c>
      <c r="E322" s="78" t="s">
        <v>826</v>
      </c>
      <c r="F322" s="81">
        <v>1</v>
      </c>
      <c r="G322" s="950">
        <f>VLOOKUP(C322,'[11]за месяц 2025'!$A$1:$C$65536,2,0)</f>
        <v>42541.26</v>
      </c>
      <c r="H322" s="950">
        <f>VLOOKUP(C322,'[11]за месяц 2025'!$A$1:$C$65536,3,0)</f>
        <v>10072.987999999999</v>
      </c>
    </row>
    <row r="323" spans="1:8" hidden="1">
      <c r="A323" s="78" t="s">
        <v>819</v>
      </c>
      <c r="B323" s="79">
        <f t="shared" si="17"/>
        <v>3</v>
      </c>
      <c r="C323" s="84" t="s">
        <v>865</v>
      </c>
      <c r="D323" s="78" t="s">
        <v>821</v>
      </c>
      <c r="E323" s="78" t="s">
        <v>822</v>
      </c>
      <c r="F323" s="81">
        <v>1</v>
      </c>
      <c r="G323" s="950">
        <f>VLOOKUP(C323,'[11]за месяц 2025'!$A$1:$C$65536,2,0)</f>
        <v>75437</v>
      </c>
      <c r="H323" s="950">
        <f>VLOOKUP(C323,'[11]за месяц 2025'!$A$1:$C$65536,3,0)</f>
        <v>17810</v>
      </c>
    </row>
    <row r="324" spans="1:8" hidden="1">
      <c r="A324" s="78" t="s">
        <v>819</v>
      </c>
      <c r="B324" s="79">
        <f>B323</f>
        <v>3</v>
      </c>
      <c r="C324" s="84" t="s">
        <v>1040</v>
      </c>
      <c r="D324" s="78" t="s">
        <v>821</v>
      </c>
      <c r="E324" s="78" t="s">
        <v>822</v>
      </c>
      <c r="F324" s="81">
        <v>1</v>
      </c>
      <c r="G324" s="950">
        <f>VLOOKUP(C324,'[11]за месяц 2025'!$A$1:$C$65536,2,0)</f>
        <v>78581.461800000005</v>
      </c>
      <c r="H324" s="950">
        <f>VLOOKUP(C324,'[11]за месяц 2025'!$A$1:$C$65536,3,0)</f>
        <v>18841.08512</v>
      </c>
    </row>
    <row r="325" spans="1:8" hidden="1">
      <c r="A325" s="78" t="s">
        <v>819</v>
      </c>
      <c r="B325" s="79">
        <f>B323</f>
        <v>3</v>
      </c>
      <c r="C325" s="91" t="s">
        <v>866</v>
      </c>
      <c r="D325" s="78" t="s">
        <v>821</v>
      </c>
      <c r="E325" s="78" t="s">
        <v>826</v>
      </c>
      <c r="F325" s="81">
        <v>1</v>
      </c>
      <c r="G325" s="950">
        <f>VLOOKUP(C325,'[11]за месяц 2025'!$A$1:$C$65536,2,0)</f>
        <v>41349.564599999998</v>
      </c>
      <c r="H325" s="950">
        <f>VLOOKUP(C325,'[11]за месяц 2025'!$A$1:$C$65536,3,0)</f>
        <v>9762.8900200000007</v>
      </c>
    </row>
    <row r="326" spans="1:8" hidden="1">
      <c r="A326" s="78" t="s">
        <v>819</v>
      </c>
      <c r="B326" s="79">
        <f t="shared" si="17"/>
        <v>3</v>
      </c>
      <c r="C326" s="83" t="s">
        <v>889</v>
      </c>
      <c r="D326" s="78" t="s">
        <v>821</v>
      </c>
      <c r="E326" s="78" t="s">
        <v>843</v>
      </c>
      <c r="F326" s="81">
        <v>1</v>
      </c>
      <c r="G326" s="950">
        <f>VLOOKUP(C326,'[11]за месяц 2025'!$A$1:$C$65536,2,0)</f>
        <v>71294.707800000004</v>
      </c>
      <c r="H326" s="950">
        <f>VLOOKUP(C326,'[11]за месяц 2025'!$A$1:$C$65536,3,0)</f>
        <v>17045.17152</v>
      </c>
    </row>
    <row r="327" spans="1:8" hidden="1">
      <c r="A327" s="78" t="s">
        <v>819</v>
      </c>
      <c r="B327" s="79">
        <f t="shared" si="17"/>
        <v>3</v>
      </c>
      <c r="C327" s="80" t="s">
        <v>867</v>
      </c>
      <c r="D327" s="78" t="s">
        <v>821</v>
      </c>
      <c r="E327" s="78" t="s">
        <v>822</v>
      </c>
      <c r="F327" s="81">
        <v>1</v>
      </c>
      <c r="G327" s="950">
        <f>VLOOKUP(C327,'[11]за месяц 2025'!$A$1:$C$65536,2,0)</f>
        <v>69994.05</v>
      </c>
      <c r="H327" s="950">
        <f>VLOOKUP(C327,'[11]за месяц 2025'!$A$1:$C$65536,3,0)</f>
        <v>16809.52</v>
      </c>
    </row>
    <row r="328" spans="1:8" hidden="1">
      <c r="A328" s="78" t="s">
        <v>819</v>
      </c>
      <c r="B328" s="79">
        <f t="shared" si="17"/>
        <v>3</v>
      </c>
      <c r="C328" s="80" t="s">
        <v>868</v>
      </c>
      <c r="D328" s="78" t="s">
        <v>821</v>
      </c>
      <c r="E328" s="78" t="s">
        <v>826</v>
      </c>
      <c r="F328" s="81">
        <v>1</v>
      </c>
      <c r="G328" s="950">
        <f>VLOOKUP(C328,'[11]за месяц 2025'!$A$1:$C$65536,2,0)</f>
        <v>70581</v>
      </c>
      <c r="H328" s="950">
        <f>VLOOKUP(C328,'[11]за месяц 2025'!$A$1:$C$65536,3,0)</f>
        <v>16198</v>
      </c>
    </row>
    <row r="329" spans="1:8" hidden="1">
      <c r="A329" s="78" t="s">
        <v>819</v>
      </c>
      <c r="B329" s="79">
        <f t="shared" si="17"/>
        <v>3</v>
      </c>
      <c r="C329" s="90" t="s">
        <v>869</v>
      </c>
      <c r="D329" s="78" t="s">
        <v>821</v>
      </c>
      <c r="E329" s="78" t="s">
        <v>822</v>
      </c>
      <c r="F329" s="81">
        <v>1</v>
      </c>
      <c r="G329" s="950">
        <f>VLOOKUP(C329,'[11]за месяц 2025'!$A$1:$C$65536,2,0)</f>
        <v>90004.05</v>
      </c>
      <c r="H329" s="950">
        <f>VLOOKUP(C329,'[11]за месяц 2025'!$A$1:$C$65536,3,0)</f>
        <v>21593.52</v>
      </c>
    </row>
    <row r="330" spans="1:8" hidden="1">
      <c r="A330" s="78" t="s">
        <v>819</v>
      </c>
      <c r="B330" s="79">
        <f t="shared" si="17"/>
        <v>3</v>
      </c>
      <c r="C330" s="90" t="s">
        <v>870</v>
      </c>
      <c r="D330" s="78" t="s">
        <v>821</v>
      </c>
      <c r="E330" s="78" t="s">
        <v>822</v>
      </c>
      <c r="F330" s="81">
        <v>1</v>
      </c>
      <c r="G330" s="950">
        <f>VLOOKUP(C330,'[11]за месяц 2025'!$A$1:$C$65536,2,0)</f>
        <v>52200</v>
      </c>
      <c r="H330" s="950">
        <f>VLOOKUP(C330,'[11]за месяц 2025'!$A$1:$C$65536,3,0)</f>
        <v>12480</v>
      </c>
    </row>
    <row r="331" spans="1:8" hidden="1">
      <c r="A331" s="78" t="s">
        <v>819</v>
      </c>
      <c r="B331" s="79">
        <f t="shared" si="17"/>
        <v>3</v>
      </c>
      <c r="C331" s="78" t="s">
        <v>871</v>
      </c>
      <c r="D331" s="78" t="s">
        <v>821</v>
      </c>
      <c r="E331" s="78" t="s">
        <v>829</v>
      </c>
      <c r="F331" s="81">
        <v>1</v>
      </c>
      <c r="G331" s="950">
        <f>VLOOKUP(C331,'[11]за месяц 2025'!$A$1:$C$65536,2,0)</f>
        <v>59096.510699999999</v>
      </c>
      <c r="H331" s="950">
        <f>VLOOKUP(C331,'[11]за месяц 2025'!$A$1:$C$65536,3,0)</f>
        <v>14196.95888</v>
      </c>
    </row>
    <row r="332" spans="1:8" hidden="1">
      <c r="A332" s="78" t="s">
        <v>819</v>
      </c>
      <c r="B332" s="79">
        <f t="shared" si="17"/>
        <v>3</v>
      </c>
      <c r="C332" s="78" t="s">
        <v>872</v>
      </c>
      <c r="D332" s="78" t="s">
        <v>821</v>
      </c>
      <c r="E332" s="78" t="s">
        <v>824</v>
      </c>
      <c r="F332" s="81">
        <v>1</v>
      </c>
      <c r="G332" s="950">
        <f>VLOOKUP(C332,'[11]за месяц 2025'!$A$1:$C$65536,2,0)</f>
        <v>95397.357799999998</v>
      </c>
      <c r="H332" s="950">
        <f>VLOOKUP(C332,'[11]за месяц 2025'!$A$1:$C$65536,3,0)</f>
        <v>22582.131520000003</v>
      </c>
    </row>
    <row r="333" spans="1:8" hidden="1">
      <c r="A333" s="78" t="s">
        <v>819</v>
      </c>
      <c r="B333" s="79">
        <f t="shared" si="17"/>
        <v>3</v>
      </c>
      <c r="C333" s="78" t="s">
        <v>873</v>
      </c>
      <c r="D333" s="78" t="s">
        <v>821</v>
      </c>
      <c r="E333" s="78" t="s">
        <v>843</v>
      </c>
      <c r="F333" s="81">
        <v>1</v>
      </c>
      <c r="G333" s="950">
        <f>VLOOKUP(C333,'[11]за месяц 2025'!$A$1:$C$65536,2,0)</f>
        <v>88615.238700000016</v>
      </c>
      <c r="H333" s="950">
        <f>VLOOKUP(C333,'[11]за месяц 2025'!$A$1:$C$65536,3,0)</f>
        <v>20509.634080000003</v>
      </c>
    </row>
    <row r="334" spans="1:8" hidden="1">
      <c r="A334" s="78" t="s">
        <v>819</v>
      </c>
      <c r="B334" s="79">
        <f t="shared" si="17"/>
        <v>3</v>
      </c>
      <c r="C334" s="91" t="s">
        <v>874</v>
      </c>
      <c r="D334" s="78" t="s">
        <v>821</v>
      </c>
      <c r="E334" s="78" t="s">
        <v>836</v>
      </c>
      <c r="F334" s="81">
        <v>1</v>
      </c>
      <c r="G334" s="950">
        <f>VLOOKUP(C334,'[11]за месяц 2025'!$A$1:$C$65536,2,0)</f>
        <v>59100.716400000005</v>
      </c>
      <c r="H334" s="950">
        <f>VLOOKUP(C334,'[11]за месяц 2025'!$A$1:$C$65536,3,0)</f>
        <v>14187.205760000001</v>
      </c>
    </row>
    <row r="335" spans="1:8" hidden="1">
      <c r="A335" s="78" t="s">
        <v>819</v>
      </c>
      <c r="B335" s="79">
        <f>B337</f>
        <v>3</v>
      </c>
      <c r="C335" s="85" t="s">
        <v>876</v>
      </c>
      <c r="D335" s="78" t="s">
        <v>821</v>
      </c>
      <c r="E335" s="78" t="s">
        <v>824</v>
      </c>
      <c r="F335" s="81">
        <v>1</v>
      </c>
      <c r="G335" s="950">
        <f>VLOOKUP(C335,'[11]за месяц 2025'!$A$1:$C$65536,2,0)</f>
        <v>69492.728999999992</v>
      </c>
      <c r="H335" s="950">
        <f>VLOOKUP(C335,'[11]за месяц 2025'!$A$1:$C$65536,3,0)</f>
        <v>16614.353600000002</v>
      </c>
    </row>
    <row r="336" spans="1:8" hidden="1">
      <c r="A336" s="78" t="s">
        <v>819</v>
      </c>
      <c r="B336" s="79">
        <f t="shared" si="17"/>
        <v>3</v>
      </c>
      <c r="C336" s="84" t="s">
        <v>877</v>
      </c>
      <c r="D336" s="78" t="s">
        <v>821</v>
      </c>
      <c r="E336" s="91" t="s">
        <v>942</v>
      </c>
      <c r="F336" s="81">
        <v>1</v>
      </c>
      <c r="G336" s="950">
        <f>VLOOKUP(C336,'[11]за месяц 2025'!$A$1:$C$65536,2,0)</f>
        <v>130065</v>
      </c>
      <c r="H336" s="950">
        <f>VLOOKUP(C336,'[11]за месяц 2025'!$A$1:$C$65536,3,0)</f>
        <v>31096</v>
      </c>
    </row>
    <row r="337" spans="1:8" hidden="1">
      <c r="A337" s="78" t="s">
        <v>819</v>
      </c>
      <c r="B337" s="79">
        <f>B334</f>
        <v>3</v>
      </c>
      <c r="C337" s="84" t="s">
        <v>1041</v>
      </c>
      <c r="D337" s="78" t="s">
        <v>821</v>
      </c>
      <c r="E337" s="78" t="s">
        <v>822</v>
      </c>
      <c r="F337" s="81">
        <v>1</v>
      </c>
      <c r="G337" s="950">
        <f>VLOOKUP(C337,'[11]за месяц 2025'!$A$1:$C$65536,2,0)</f>
        <v>99536.520600000003</v>
      </c>
      <c r="H337" s="950">
        <f>VLOOKUP(C337,'[11]за месяц 2025'!$A$1:$C$65536,3,0)</f>
        <v>23865.375040000003</v>
      </c>
    </row>
    <row r="338" spans="1:8" hidden="1">
      <c r="A338" s="78" t="s">
        <v>819</v>
      </c>
      <c r="B338" s="79">
        <f>B336</f>
        <v>3</v>
      </c>
      <c r="C338" s="78" t="s">
        <v>878</v>
      </c>
      <c r="D338" s="78" t="s">
        <v>821</v>
      </c>
      <c r="E338" s="78" t="s">
        <v>836</v>
      </c>
      <c r="F338" s="81">
        <v>1</v>
      </c>
      <c r="G338" s="950">
        <f>VLOOKUP(C338,'[11]за месяц 2025'!$A$1:$C$65536,2,0)</f>
        <v>70176.05</v>
      </c>
      <c r="H338" s="950">
        <f>VLOOKUP(C338,'[11]за месяц 2025'!$A$1:$C$65536,3,0)</f>
        <v>16627.52</v>
      </c>
    </row>
    <row r="339" spans="1:8" hidden="1">
      <c r="A339" s="78" t="s">
        <v>819</v>
      </c>
      <c r="B339" s="79">
        <f>B338</f>
        <v>3</v>
      </c>
      <c r="C339" s="80" t="s">
        <v>1043</v>
      </c>
      <c r="D339" s="78" t="s">
        <v>821</v>
      </c>
      <c r="E339" s="78" t="s">
        <v>826</v>
      </c>
      <c r="F339" s="81">
        <v>1</v>
      </c>
      <c r="G339" s="950">
        <f>VLOOKUP(C339,'[11]за месяц 2025'!$A$1:$C$65536,2,0)</f>
        <v>120764.7</v>
      </c>
      <c r="H339" s="950">
        <f>VLOOKUP(C339,'[11]за месяц 2025'!$A$1:$C$65536,3,0)</f>
        <v>28594.86</v>
      </c>
    </row>
    <row r="340" spans="1:8" hidden="1">
      <c r="A340" s="78" t="s">
        <v>819</v>
      </c>
      <c r="B340" s="79">
        <f>B338</f>
        <v>3</v>
      </c>
      <c r="C340" s="83" t="s">
        <v>879</v>
      </c>
      <c r="D340" s="78" t="s">
        <v>821</v>
      </c>
      <c r="E340" s="78" t="s">
        <v>822</v>
      </c>
      <c r="F340" s="81">
        <v>1</v>
      </c>
      <c r="G340" s="950">
        <f>VLOOKUP(C340,'[11]за месяц 2025'!$A$1:$C$65536,2,0)</f>
        <v>120060</v>
      </c>
      <c r="H340" s="950">
        <f>VLOOKUP(C340,'[11]за месяц 2025'!$A$1:$C$65536,3,0)</f>
        <v>28704</v>
      </c>
    </row>
    <row r="341" spans="1:8" hidden="1">
      <c r="A341" s="78" t="s">
        <v>819</v>
      </c>
      <c r="B341" s="79">
        <f t="shared" ref="B341:B362" si="18">B340</f>
        <v>3</v>
      </c>
      <c r="C341" s="83" t="s">
        <v>880</v>
      </c>
      <c r="D341" s="78" t="s">
        <v>821</v>
      </c>
      <c r="E341" s="78" t="s">
        <v>822</v>
      </c>
      <c r="F341" s="81">
        <v>1</v>
      </c>
      <c r="G341" s="950">
        <f>VLOOKUP(C341,'[11]за месяц 2025'!$A$1:$C$65536,2,0)</f>
        <v>130060.65</v>
      </c>
      <c r="H341" s="950">
        <f>VLOOKUP(C341,'[11]за месяц 2025'!$A$1:$C$65536,3,0)</f>
        <v>31094.959999999999</v>
      </c>
    </row>
    <row r="342" spans="1:8" hidden="1">
      <c r="A342" s="78" t="s">
        <v>819</v>
      </c>
      <c r="B342" s="79">
        <f t="shared" si="18"/>
        <v>3</v>
      </c>
      <c r="C342" s="91" t="s">
        <v>881</v>
      </c>
      <c r="D342" s="78" t="s">
        <v>821</v>
      </c>
      <c r="E342" s="91" t="s">
        <v>942</v>
      </c>
      <c r="F342" s="81">
        <v>1</v>
      </c>
      <c r="G342" s="950">
        <v>80000</v>
      </c>
      <c r="H342" s="950"/>
    </row>
    <row r="343" spans="1:8" hidden="1">
      <c r="A343" s="78" t="s">
        <v>819</v>
      </c>
      <c r="B343" s="79">
        <f t="shared" si="18"/>
        <v>3</v>
      </c>
      <c r="C343" s="78" t="s">
        <v>882</v>
      </c>
      <c r="D343" s="78" t="s">
        <v>821</v>
      </c>
      <c r="E343" s="78" t="s">
        <v>822</v>
      </c>
      <c r="F343" s="81">
        <v>1</v>
      </c>
      <c r="G343" s="950">
        <f>VLOOKUP(C343,'[11]за месяц 2025'!$A$1:$C$65536,2,0)</f>
        <v>80040</v>
      </c>
      <c r="H343" s="950">
        <f>VLOOKUP(C343,'[11]за месяц 2025'!$A$1:$C$65536,3,0)</f>
        <v>19136</v>
      </c>
    </row>
    <row r="344" spans="1:8" hidden="1">
      <c r="A344" s="78" t="s">
        <v>819</v>
      </c>
      <c r="B344" s="79">
        <f>B343</f>
        <v>3</v>
      </c>
      <c r="C344" s="78" t="s">
        <v>1042</v>
      </c>
      <c r="D344" s="78" t="s">
        <v>821</v>
      </c>
      <c r="E344" s="78" t="s">
        <v>822</v>
      </c>
      <c r="F344" s="81">
        <v>1</v>
      </c>
      <c r="G344" s="950">
        <f>VLOOKUP(C344,'[11]за месяц 2025'!$A$1:$C$65536,2,0)</f>
        <v>71435.038199999995</v>
      </c>
      <c r="H344" s="950">
        <f>VLOOKUP(C344,'[11]за месяц 2025'!$A$1:$C$65536,3,0)</f>
        <v>17132.514879999999</v>
      </c>
    </row>
    <row r="345" spans="1:8" ht="26.4" hidden="1">
      <c r="A345" s="78" t="s">
        <v>819</v>
      </c>
      <c r="B345" s="79">
        <f>B343</f>
        <v>3</v>
      </c>
      <c r="C345" s="80" t="s">
        <v>883</v>
      </c>
      <c r="D345" s="78" t="s">
        <v>821</v>
      </c>
      <c r="E345" s="78" t="s">
        <v>826</v>
      </c>
      <c r="F345" s="81">
        <v>1</v>
      </c>
      <c r="G345" s="950">
        <f>VLOOKUP(C345,'[11]за месяц 2025'!$A$1:$C$65536,2,0)</f>
        <v>60030</v>
      </c>
      <c r="H345" s="950">
        <f>VLOOKUP(C345,'[11]за месяц 2025'!$A$1:$C$65536,3,0)</f>
        <v>14214</v>
      </c>
    </row>
    <row r="346" spans="1:8" hidden="1">
      <c r="A346" s="78" t="s">
        <v>819</v>
      </c>
      <c r="B346" s="79">
        <f t="shared" si="18"/>
        <v>3</v>
      </c>
      <c r="C346" s="90" t="s">
        <v>963</v>
      </c>
      <c r="D346" s="78" t="s">
        <v>821</v>
      </c>
      <c r="E346" s="78" t="s">
        <v>822</v>
      </c>
      <c r="F346" s="81">
        <v>1</v>
      </c>
      <c r="G346" s="950">
        <f>VLOOKUP(C346,'[11]за месяц 2025'!$A$1:$C$65536,2,0)</f>
        <v>60535.05</v>
      </c>
      <c r="H346" s="950">
        <f>VLOOKUP(C346,'[11]за месяц 2025'!$A$1:$C$65536,3,0)</f>
        <v>13871.519999999999</v>
      </c>
    </row>
    <row r="347" spans="1:8" hidden="1">
      <c r="A347" s="78" t="s">
        <v>819</v>
      </c>
      <c r="B347" s="79">
        <f t="shared" si="18"/>
        <v>3</v>
      </c>
      <c r="C347" s="91" t="s">
        <v>884</v>
      </c>
      <c r="D347" s="78" t="s">
        <v>821</v>
      </c>
      <c r="E347" s="78" t="s">
        <v>824</v>
      </c>
      <c r="F347" s="81">
        <v>1</v>
      </c>
      <c r="G347" s="950">
        <f>VLOOKUP(C347,'[11]за месяц 2025'!$A$1:$C$65536,2,0)</f>
        <v>70000.2</v>
      </c>
      <c r="H347" s="950">
        <f>VLOOKUP(C347,'[11]за месяц 2025'!$A$1:$C$65536,3,0)</f>
        <v>16574.759999999998</v>
      </c>
    </row>
    <row r="348" spans="1:8" hidden="1">
      <c r="A348" s="78" t="s">
        <v>819</v>
      </c>
      <c r="B348" s="79">
        <f t="shared" si="18"/>
        <v>3</v>
      </c>
      <c r="C348" s="80" t="s">
        <v>887</v>
      </c>
      <c r="D348" s="78" t="s">
        <v>821</v>
      </c>
      <c r="E348" s="78" t="s">
        <v>822</v>
      </c>
      <c r="F348" s="81">
        <v>1</v>
      </c>
      <c r="G348" s="950">
        <f>VLOOKUP(C348,'[11]за месяц 2025'!$A$1:$C$65536,2,0)+40020</f>
        <v>120565.05</v>
      </c>
      <c r="H348" s="950">
        <f>VLOOKUP(C348,'[11]за месяц 2025'!$A$1:$C$65536,3,0)+9568</f>
        <v>28223.52</v>
      </c>
    </row>
    <row r="349" spans="1:8" hidden="1">
      <c r="A349" s="78" t="s">
        <v>819</v>
      </c>
      <c r="B349" s="79">
        <f t="shared" si="18"/>
        <v>3</v>
      </c>
      <c r="C349" s="80" t="s">
        <v>886</v>
      </c>
      <c r="D349" s="78" t="s">
        <v>821</v>
      </c>
      <c r="E349" s="78" t="s">
        <v>822</v>
      </c>
      <c r="F349" s="81">
        <v>1</v>
      </c>
      <c r="G349" s="950">
        <f>VLOOKUP(C349,'[11]за месяц 2025'!$A$1:$C$65536,2,0)</f>
        <v>100050</v>
      </c>
      <c r="H349" s="950">
        <f>VLOOKUP(C349,'[11]за месяц 2025'!$A$1:$C$65536,3,0)</f>
        <v>23920</v>
      </c>
    </row>
    <row r="350" spans="1:8" hidden="1">
      <c r="A350" s="78" t="s">
        <v>819</v>
      </c>
      <c r="B350" s="79">
        <f t="shared" si="18"/>
        <v>3</v>
      </c>
      <c r="C350" s="80" t="s">
        <v>888</v>
      </c>
      <c r="D350" s="78" t="s">
        <v>821</v>
      </c>
      <c r="E350" s="78" t="s">
        <v>822</v>
      </c>
      <c r="F350" s="81">
        <v>1</v>
      </c>
      <c r="G350" s="950">
        <f>VLOOKUP(C350,'[11]за месяц 2025'!$A$1:$C$65536,2,0)</f>
        <v>35020.050000000003</v>
      </c>
      <c r="H350" s="950">
        <f>VLOOKUP(C350,'[11]за месяц 2025'!$A$1:$C$65536,3,0)</f>
        <v>8447.9199999999983</v>
      </c>
    </row>
    <row r="351" spans="1:8" hidden="1">
      <c r="A351" s="78" t="s">
        <v>910</v>
      </c>
      <c r="B351" s="79">
        <f t="shared" si="18"/>
        <v>3</v>
      </c>
      <c r="C351" s="83" t="s">
        <v>914</v>
      </c>
      <c r="D351" s="78" t="s">
        <v>832</v>
      </c>
      <c r="E351" s="78" t="s">
        <v>172</v>
      </c>
      <c r="F351" s="81">
        <v>1</v>
      </c>
      <c r="G351" s="950">
        <f>VLOOKUP(C351,'[11]за месяц 2025'!$A$1:$C$65536,2,0)</f>
        <v>80040</v>
      </c>
      <c r="H351" s="950">
        <f>VLOOKUP(C351,'[11]за месяц 2025'!$A$1:$C$65536,3,0)</f>
        <v>19136</v>
      </c>
    </row>
    <row r="352" spans="1:8" hidden="1">
      <c r="A352" s="78" t="s">
        <v>910</v>
      </c>
      <c r="B352" s="79">
        <f t="shared" si="18"/>
        <v>3</v>
      </c>
      <c r="C352" s="78" t="s">
        <v>917</v>
      </c>
      <c r="D352" s="78" t="s">
        <v>821</v>
      </c>
      <c r="E352" s="78" t="s">
        <v>172</v>
      </c>
      <c r="F352" s="81">
        <v>1</v>
      </c>
      <c r="G352" s="950">
        <f>VLOOKUP(C352,'[11]за месяц 2025'!$A$1:$C$65536,2,0)</f>
        <v>90832.080300000001</v>
      </c>
      <c r="H352" s="950">
        <f>VLOOKUP(C352,'[11]за месяц 2025'!$A$1:$C$65536,3,0)</f>
        <v>21090.323800000002</v>
      </c>
    </row>
    <row r="353" spans="1:8" hidden="1">
      <c r="A353" s="78" t="s">
        <v>910</v>
      </c>
      <c r="B353" s="79">
        <f t="shared" si="18"/>
        <v>3</v>
      </c>
      <c r="C353" s="78" t="s">
        <v>912</v>
      </c>
      <c r="D353" s="78" t="s">
        <v>832</v>
      </c>
      <c r="E353" s="78" t="s">
        <v>172</v>
      </c>
      <c r="F353" s="81">
        <v>1</v>
      </c>
      <c r="G353" s="950">
        <f>VLOOKUP(C353,'[11]за месяц 2025'!$A$1:$C$65536,2,0)</f>
        <v>127604.57040000001</v>
      </c>
      <c r="H353" s="950">
        <f>VLOOKUP(C353,'[11]за месяц 2025'!$A$1:$C$65536,3,0)</f>
        <v>30507.759360000004</v>
      </c>
    </row>
    <row r="354" spans="1:8" hidden="1">
      <c r="A354" s="78" t="s">
        <v>905</v>
      </c>
      <c r="B354" s="79">
        <f t="shared" si="18"/>
        <v>3</v>
      </c>
      <c r="C354" s="84" t="s">
        <v>908</v>
      </c>
      <c r="D354" s="78" t="s">
        <v>832</v>
      </c>
      <c r="E354" s="78" t="s">
        <v>173</v>
      </c>
      <c r="F354" s="81">
        <v>1</v>
      </c>
      <c r="G354" s="950">
        <f>VLOOKUP(C354,'[11]за месяц 2025'!$A$1:$C$65536,2,0)</f>
        <v>60030</v>
      </c>
      <c r="H354" s="950">
        <f>VLOOKUP(C354,'[11]за месяц 2025'!$A$1:$C$65536,3,0)</f>
        <v>14352</v>
      </c>
    </row>
    <row r="355" spans="1:8" hidden="1">
      <c r="A355" s="78" t="s">
        <v>905</v>
      </c>
      <c r="B355" s="79">
        <f t="shared" si="18"/>
        <v>3</v>
      </c>
      <c r="C355" s="78" t="s">
        <v>907</v>
      </c>
      <c r="D355" s="78" t="s">
        <v>832</v>
      </c>
      <c r="E355" s="78" t="s">
        <v>173</v>
      </c>
      <c r="F355" s="81">
        <v>1</v>
      </c>
      <c r="G355" s="950">
        <f>VLOOKUP(C355,'[11]за месяц 2025'!$A$1:$C$65536,2,0)</f>
        <v>86109.507500000007</v>
      </c>
      <c r="H355" s="950">
        <f>VLOOKUP(C355,'[11]за месяц 2025'!$A$1:$C$65536,3,0)</f>
        <v>20361.588000000003</v>
      </c>
    </row>
    <row r="356" spans="1:8" ht="26.4" hidden="1">
      <c r="A356" s="78" t="s">
        <v>905</v>
      </c>
      <c r="B356" s="79">
        <f t="shared" si="18"/>
        <v>3</v>
      </c>
      <c r="C356" s="92" t="s">
        <v>909</v>
      </c>
      <c r="D356" s="78" t="s">
        <v>832</v>
      </c>
      <c r="E356" s="78" t="s">
        <v>173</v>
      </c>
      <c r="F356" s="81">
        <v>1</v>
      </c>
      <c r="G356" s="950">
        <f>VLOOKUP(C356,'[11]за месяц 2025'!$A$1:$C$65536,2,0)</f>
        <v>150034.04999999999</v>
      </c>
      <c r="H356" s="950">
        <f>VLOOKUP(C356,'[11]за месяц 2025'!$A$1:$C$65536,3,0)</f>
        <v>35945.519999999997</v>
      </c>
    </row>
    <row r="357" spans="1:8" hidden="1">
      <c r="A357" s="78" t="s">
        <v>905</v>
      </c>
      <c r="B357" s="79">
        <f>B356</f>
        <v>3</v>
      </c>
      <c r="C357" s="84" t="s">
        <v>850</v>
      </c>
      <c r="D357" s="78" t="s">
        <v>832</v>
      </c>
      <c r="E357" s="78" t="s">
        <v>173</v>
      </c>
      <c r="F357" s="81">
        <v>1</v>
      </c>
      <c r="G357" s="950">
        <f>VLOOKUP(C357,'[11]за месяц 2025'!$A$1:$C$65536,2,0)</f>
        <v>73463.998499999987</v>
      </c>
      <c r="H357" s="950">
        <f>VLOOKUP(C357,'[11]за месяц 2025'!$A$1:$C$65536,3,0)</f>
        <v>17596.082399999999</v>
      </c>
    </row>
    <row r="358" spans="1:8" ht="26.4" hidden="1">
      <c r="A358" s="91" t="s">
        <v>819</v>
      </c>
      <c r="B358" s="79">
        <f>B356</f>
        <v>3</v>
      </c>
      <c r="C358" s="80" t="s">
        <v>906</v>
      </c>
      <c r="D358" s="78" t="s">
        <v>821</v>
      </c>
      <c r="E358" s="963" t="s">
        <v>942</v>
      </c>
      <c r="F358" s="81">
        <v>1</v>
      </c>
      <c r="G358" s="950">
        <f>VLOOKUP(C358,'[11]за месяц 2025'!$A$1:$C$65536,2,0)</f>
        <v>100009.05</v>
      </c>
      <c r="H358" s="950">
        <f>VLOOKUP(C358,'[11]за месяц 2025'!$A$1:$C$65536,3,0)</f>
        <v>23985.52</v>
      </c>
    </row>
    <row r="359" spans="1:8" ht="26.4" hidden="1">
      <c r="A359" s="78" t="s">
        <v>905</v>
      </c>
      <c r="B359" s="79">
        <f t="shared" si="18"/>
        <v>3</v>
      </c>
      <c r="C359" s="92" t="s">
        <v>962</v>
      </c>
      <c r="D359" s="78" t="s">
        <v>832</v>
      </c>
      <c r="E359" s="78" t="s">
        <v>173</v>
      </c>
      <c r="F359" s="81">
        <v>1</v>
      </c>
      <c r="G359" s="950">
        <f>VLOOKUP(C359,'[11]за месяц 2025'!$A$1:$C$65536,2,0)</f>
        <v>75627</v>
      </c>
      <c r="H359" s="950">
        <f>VLOOKUP(C359,'[11]за месяц 2025'!$A$1:$C$65536,3,0)</f>
        <v>17404.399999999998</v>
      </c>
    </row>
    <row r="360" spans="1:8" hidden="1">
      <c r="A360" s="78" t="s">
        <v>890</v>
      </c>
      <c r="B360" s="79">
        <f t="shared" si="18"/>
        <v>3</v>
      </c>
      <c r="C360" s="80" t="s">
        <v>891</v>
      </c>
      <c r="D360" s="78" t="s">
        <v>832</v>
      </c>
      <c r="E360" s="78" t="s">
        <v>210</v>
      </c>
      <c r="F360" s="81">
        <v>1</v>
      </c>
      <c r="G360" s="1838">
        <v>912669</v>
      </c>
      <c r="H360" s="1838">
        <v>231756</v>
      </c>
    </row>
    <row r="361" spans="1:8" hidden="1">
      <c r="A361" s="78" t="s">
        <v>890</v>
      </c>
      <c r="B361" s="79">
        <f t="shared" si="18"/>
        <v>3</v>
      </c>
      <c r="C361" s="84" t="s">
        <v>892</v>
      </c>
      <c r="D361" s="78" t="s">
        <v>832</v>
      </c>
      <c r="E361" s="78" t="s">
        <v>210</v>
      </c>
      <c r="F361" s="81">
        <v>1</v>
      </c>
      <c r="G361" s="1839"/>
      <c r="H361" s="1839"/>
    </row>
    <row r="362" spans="1:8" hidden="1">
      <c r="A362" s="78" t="s">
        <v>890</v>
      </c>
      <c r="B362" s="79">
        <f t="shared" si="18"/>
        <v>3</v>
      </c>
      <c r="C362" s="80" t="s">
        <v>894</v>
      </c>
      <c r="D362" s="78" t="s">
        <v>832</v>
      </c>
      <c r="E362" s="78" t="s">
        <v>210</v>
      </c>
      <c r="F362" s="81">
        <v>1</v>
      </c>
      <c r="G362" s="1840"/>
      <c r="H362" s="1840"/>
    </row>
    <row r="363" spans="1:8" hidden="1">
      <c r="A363" s="78" t="s">
        <v>340</v>
      </c>
      <c r="B363" s="79">
        <v>4</v>
      </c>
      <c r="C363" s="78" t="s">
        <v>904</v>
      </c>
      <c r="D363" s="78" t="s">
        <v>832</v>
      </c>
      <c r="E363" s="951" t="s">
        <v>180</v>
      </c>
      <c r="F363" s="81">
        <v>1</v>
      </c>
      <c r="G363" s="950">
        <f>VLOOKUP(C363,'[12]за месяц 2025'!$A$1:$G$65536,6,0)</f>
        <v>57029.1</v>
      </c>
      <c r="H363" s="950">
        <f>VLOOKUP(C363,'[12]за месяц 2025'!$A$1:$G$65536,7,0)</f>
        <v>13713.44</v>
      </c>
    </row>
    <row r="364" spans="1:8" hidden="1">
      <c r="A364" s="78" t="s">
        <v>340</v>
      </c>
      <c r="B364" s="79">
        <v>4</v>
      </c>
      <c r="C364" s="78" t="s">
        <v>1038</v>
      </c>
      <c r="D364" s="78" t="s">
        <v>832</v>
      </c>
      <c r="E364" s="951" t="s">
        <v>180</v>
      </c>
      <c r="F364" s="81">
        <v>1</v>
      </c>
      <c r="G364" s="950">
        <f>VLOOKUP(C364,'[12]за месяц 2025'!$A$1:$G$65536,6,0)</f>
        <v>130065</v>
      </c>
      <c r="H364" s="950">
        <f>VLOOKUP(C364,'[12]за месяц 2025'!$A$1:$G$65536,7,0)</f>
        <v>31096</v>
      </c>
    </row>
    <row r="365" spans="1:8" hidden="1">
      <c r="A365" s="78" t="s">
        <v>339</v>
      </c>
      <c r="B365" s="79">
        <f>B363</f>
        <v>4</v>
      </c>
      <c r="C365" s="84" t="s">
        <v>901</v>
      </c>
      <c r="D365" s="78" t="s">
        <v>832</v>
      </c>
      <c r="E365" s="951" t="s">
        <v>9</v>
      </c>
      <c r="F365" s="81">
        <v>1</v>
      </c>
      <c r="G365" s="950">
        <f>VLOOKUP(C365,'[12]за месяц 2025'!$A$1:$G$65536,6,0)</f>
        <v>8765.25</v>
      </c>
      <c r="H365" s="950">
        <f>VLOOKUP(C365,'[12]за месяц 2025'!$A$1:$G$65536,7,0)</f>
        <v>2095.6</v>
      </c>
    </row>
    <row r="366" spans="1:8" ht="26.4" hidden="1">
      <c r="A366" s="78" t="s">
        <v>339</v>
      </c>
      <c r="B366" s="79">
        <f>B364</f>
        <v>4</v>
      </c>
      <c r="C366" s="84" t="str">
        <f>'[12]за месяц 2025'!$A$68</f>
        <v>Проклашкин Александр  Сергеевич</v>
      </c>
      <c r="D366" s="78" t="s">
        <v>832</v>
      </c>
      <c r="E366" s="951" t="s">
        <v>9</v>
      </c>
      <c r="F366" s="81">
        <v>1</v>
      </c>
      <c r="G366" s="950">
        <f>VLOOKUP(C366,'[12]за месяц 2025'!$A$1:$G$65536,6,0)</f>
        <v>11278.541500000001</v>
      </c>
      <c r="H366" s="950">
        <f>VLOOKUP(C366,'[12]за месяц 2025'!$A$1:$G$65536,7,0)</f>
        <v>2245.4536000000003</v>
      </c>
    </row>
    <row r="367" spans="1:8" hidden="1">
      <c r="A367" s="78" t="s">
        <v>339</v>
      </c>
      <c r="B367" s="79">
        <f>B365</f>
        <v>4</v>
      </c>
      <c r="C367" s="92" t="s">
        <v>902</v>
      </c>
      <c r="D367" s="78" t="s">
        <v>832</v>
      </c>
      <c r="E367" s="951" t="s">
        <v>9</v>
      </c>
      <c r="F367" s="81">
        <v>1</v>
      </c>
      <c r="G367" s="950">
        <v>50000</v>
      </c>
      <c r="H367" s="950"/>
    </row>
    <row r="368" spans="1:8" hidden="1">
      <c r="A368" s="78" t="s">
        <v>339</v>
      </c>
      <c r="B368" s="79">
        <f t="shared" ref="B368:B424" si="19">B367</f>
        <v>4</v>
      </c>
      <c r="C368" s="84" t="s">
        <v>900</v>
      </c>
      <c r="D368" s="78" t="s">
        <v>832</v>
      </c>
      <c r="E368" s="951" t="s">
        <v>9</v>
      </c>
      <c r="F368" s="81">
        <v>1</v>
      </c>
      <c r="G368" s="950">
        <f>VLOOKUP(C368,'[12]за месяц 2025'!$A$1:$G$65536,6,0)</f>
        <v>59735.339699999997</v>
      </c>
      <c r="H368" s="950">
        <f>VLOOKUP(C368,'[12]за месяц 2025'!$A$1:$G$65536,7,0)</f>
        <v>14281.55248</v>
      </c>
    </row>
    <row r="369" spans="1:8" hidden="1">
      <c r="A369" s="78" t="s">
        <v>339</v>
      </c>
      <c r="B369" s="79">
        <f t="shared" si="19"/>
        <v>4</v>
      </c>
      <c r="C369" s="78" t="s">
        <v>898</v>
      </c>
      <c r="D369" s="78" t="s">
        <v>832</v>
      </c>
      <c r="E369" s="951" t="s">
        <v>9</v>
      </c>
      <c r="F369" s="81">
        <v>1</v>
      </c>
      <c r="G369" s="950">
        <f>VLOOKUP(C369,'[12]за месяц 2025'!$A$1:$G$65536,6,0)</f>
        <v>60030</v>
      </c>
      <c r="H369" s="950">
        <f>VLOOKUP(C369,'[12]за месяц 2025'!$A$1:$G$65536,7,0)</f>
        <v>14352</v>
      </c>
    </row>
    <row r="370" spans="1:8" hidden="1">
      <c r="A370" s="78" t="s">
        <v>339</v>
      </c>
      <c r="B370" s="79">
        <f t="shared" si="19"/>
        <v>4</v>
      </c>
      <c r="C370" s="78" t="s">
        <v>899</v>
      </c>
      <c r="D370" s="78" t="s">
        <v>832</v>
      </c>
      <c r="E370" s="951" t="s">
        <v>9</v>
      </c>
      <c r="F370" s="81">
        <v>1</v>
      </c>
      <c r="G370" s="950">
        <f>VLOOKUP(C370,'[12]за месяц 2025'!$A$1:$G$65536,6,0)</f>
        <v>91026</v>
      </c>
      <c r="H370" s="950">
        <f>VLOOKUP(C370,'[12]за месяц 2025'!$A$1:$G$65536,7,0)</f>
        <v>21086</v>
      </c>
    </row>
    <row r="371" spans="1:8" hidden="1">
      <c r="A371" s="78" t="s">
        <v>339</v>
      </c>
      <c r="B371" s="79">
        <f t="shared" si="19"/>
        <v>4</v>
      </c>
      <c r="C371" s="255" t="s">
        <v>896</v>
      </c>
      <c r="D371" s="78" t="s">
        <v>832</v>
      </c>
      <c r="E371" s="951" t="s">
        <v>9</v>
      </c>
      <c r="F371" s="81">
        <v>1</v>
      </c>
      <c r="G371" s="950">
        <f>VLOOKUP(C371,'[12]за месяц 2025'!$A$1:$G$65536,6,0)</f>
        <v>50025</v>
      </c>
      <c r="H371" s="950">
        <f>VLOOKUP(C371,'[12]за месяц 2025'!$A$1:$G$65536,7,0)</f>
        <v>11960</v>
      </c>
    </row>
    <row r="372" spans="1:8" ht="26.4" hidden="1">
      <c r="A372" s="78" t="s">
        <v>339</v>
      </c>
      <c r="B372" s="79">
        <f t="shared" si="19"/>
        <v>4</v>
      </c>
      <c r="C372" s="80" t="s">
        <v>897</v>
      </c>
      <c r="D372" s="78" t="s">
        <v>832</v>
      </c>
      <c r="E372" s="951" t="s">
        <v>9</v>
      </c>
      <c r="F372" s="81">
        <v>1</v>
      </c>
      <c r="G372" s="950">
        <f>VLOOKUP(C372,'[12]за месяц 2025'!$A$1:$G$65536,6,0)</f>
        <v>396739.13</v>
      </c>
      <c r="H372" s="950">
        <f>VLOOKUP(C372,'[12]за месяц 2025'!$A$1:$G$65536,7,0)</f>
        <v>99620.720140000005</v>
      </c>
    </row>
    <row r="373" spans="1:8" hidden="1">
      <c r="A373" s="78" t="s">
        <v>339</v>
      </c>
      <c r="B373" s="79">
        <f t="shared" si="19"/>
        <v>4</v>
      </c>
      <c r="C373" s="80" t="s">
        <v>903</v>
      </c>
      <c r="D373" s="78" t="s">
        <v>832</v>
      </c>
      <c r="E373" s="951" t="s">
        <v>9</v>
      </c>
      <c r="F373" s="81">
        <v>1</v>
      </c>
      <c r="G373" s="950">
        <f>VLOOKUP(C373,'[12]за месяц 2025'!$A$1:$G$65536,6,0)</f>
        <v>70379.520000000004</v>
      </c>
      <c r="H373" s="950">
        <f>VLOOKUP(C373,'[12]за месяц 2025'!$A$1:$G$65536,7,0)</f>
        <v>16826.368000000002</v>
      </c>
    </row>
    <row r="374" spans="1:8" hidden="1">
      <c r="A374" s="78" t="s">
        <v>819</v>
      </c>
      <c r="B374" s="79">
        <f>B373</f>
        <v>4</v>
      </c>
      <c r="C374" s="80" t="s">
        <v>820</v>
      </c>
      <c r="D374" s="78" t="s">
        <v>821</v>
      </c>
      <c r="E374" s="91" t="s">
        <v>918</v>
      </c>
      <c r="F374" s="81">
        <v>1</v>
      </c>
      <c r="G374" s="950">
        <f>VLOOKUP(C374,'[12]за месяц 2025'!$A$1:$G$65536,6,0)</f>
        <v>100050</v>
      </c>
      <c r="H374" s="950">
        <f>VLOOKUP(C374,'[12]за месяц 2025'!$A$1:$G$65536,7,0)</f>
        <v>23920</v>
      </c>
    </row>
    <row r="375" spans="1:8" ht="26.4" hidden="1">
      <c r="A375" s="78" t="s">
        <v>819</v>
      </c>
      <c r="B375" s="79">
        <f t="shared" si="19"/>
        <v>4</v>
      </c>
      <c r="C375" s="80" t="s">
        <v>823</v>
      </c>
      <c r="D375" s="78" t="s">
        <v>821</v>
      </c>
      <c r="E375" s="91" t="s">
        <v>918</v>
      </c>
      <c r="F375" s="81">
        <v>1</v>
      </c>
      <c r="G375" s="950">
        <f>VLOOKUP(C375,'[12]за месяц 2025'!$A$1:$G$65536,6,0)</f>
        <v>110012.1</v>
      </c>
      <c r="H375" s="950">
        <f>VLOOKUP(C375,'[12]за месяц 2025'!$A$1:$G$65536,7,0)</f>
        <v>26380.640000000003</v>
      </c>
    </row>
    <row r="376" spans="1:8" hidden="1">
      <c r="A376" s="78" t="s">
        <v>819</v>
      </c>
      <c r="B376" s="79">
        <f t="shared" si="19"/>
        <v>4</v>
      </c>
      <c r="C376" s="90" t="s">
        <v>825</v>
      </c>
      <c r="D376" s="78" t="s">
        <v>821</v>
      </c>
      <c r="E376" s="78" t="s">
        <v>822</v>
      </c>
      <c r="F376" s="81">
        <v>1</v>
      </c>
      <c r="G376" s="950">
        <f>VLOOKUP(C376,'[12]за месяц 2025'!$A$1:$G$65536,6,0)</f>
        <v>87870.720000000001</v>
      </c>
      <c r="H376" s="950">
        <f>VLOOKUP(C376,'[12]за месяц 2025'!$A$1:$G$65536,7,0)</f>
        <v>21040.448</v>
      </c>
    </row>
    <row r="377" spans="1:8" hidden="1">
      <c r="A377" s="78" t="s">
        <v>819</v>
      </c>
      <c r="B377" s="79">
        <f>B407</f>
        <v>4</v>
      </c>
      <c r="C377" s="84" t="s">
        <v>1039</v>
      </c>
      <c r="D377" s="78" t="s">
        <v>821</v>
      </c>
      <c r="E377" s="78" t="s">
        <v>829</v>
      </c>
      <c r="F377" s="81">
        <v>1</v>
      </c>
      <c r="G377" s="950">
        <f>VLOOKUP(C377,'[12]за месяц 2025'!$A$1:$G$65536,6,0)</f>
        <v>55210.1</v>
      </c>
      <c r="H377" s="950">
        <f>VLOOKUP(C377,'[12]за месяц 2025'!$A$1:$G$65536,7,0)</f>
        <v>13053.039999999999</v>
      </c>
    </row>
    <row r="378" spans="1:8" hidden="1">
      <c r="A378" s="78" t="s">
        <v>819</v>
      </c>
      <c r="B378" s="79">
        <f>B376</f>
        <v>4</v>
      </c>
      <c r="C378" s="80" t="s">
        <v>827</v>
      </c>
      <c r="D378" s="78" t="s">
        <v>821</v>
      </c>
      <c r="E378" s="78" t="s">
        <v>826</v>
      </c>
      <c r="F378" s="81">
        <v>1</v>
      </c>
      <c r="G378" s="950">
        <f>VLOOKUP(C378,'[12]за месяц 2025'!$A$1:$G$65536,6,0)</f>
        <v>62198.949499999988</v>
      </c>
      <c r="H378" s="950">
        <f>VLOOKUP(C378,'[12]за месяц 2025'!$A$1:$G$65536,7,0)</f>
        <v>14645.040799999999</v>
      </c>
    </row>
    <row r="379" spans="1:8" ht="26.4" hidden="1">
      <c r="A379" s="78" t="s">
        <v>819</v>
      </c>
      <c r="B379" s="79">
        <f t="shared" si="19"/>
        <v>4</v>
      </c>
      <c r="C379" s="80" t="s">
        <v>828</v>
      </c>
      <c r="D379" s="78" t="s">
        <v>821</v>
      </c>
      <c r="E379" s="78" t="s">
        <v>824</v>
      </c>
      <c r="F379" s="81">
        <v>1</v>
      </c>
      <c r="G379" s="950">
        <f>VLOOKUP(C379,'[12]за месяц 2025'!$A$1:$G$65536,6,0)</f>
        <v>23323.83</v>
      </c>
      <c r="H379" s="950">
        <f>VLOOKUP(C379,'[12]за месяц 2025'!$A$1:$G$65536,7,0)</f>
        <v>5576.2720000000008</v>
      </c>
    </row>
    <row r="380" spans="1:8" hidden="1">
      <c r="A380" s="78" t="s">
        <v>819</v>
      </c>
      <c r="B380" s="79">
        <f t="shared" si="19"/>
        <v>4</v>
      </c>
      <c r="C380" s="80" t="s">
        <v>830</v>
      </c>
      <c r="D380" s="78" t="s">
        <v>821</v>
      </c>
      <c r="E380" s="91" t="s">
        <v>942</v>
      </c>
      <c r="F380" s="81">
        <v>1</v>
      </c>
      <c r="G380" s="950">
        <f>VLOOKUP(C380,'[12]за месяц 2025'!$A$1:$G$65536,6,0)</f>
        <v>115014</v>
      </c>
      <c r="H380" s="950">
        <f>VLOOKUP(C380,'[12]за месяц 2025'!$A$1:$G$65536,7,0)</f>
        <v>27497.599999999999</v>
      </c>
    </row>
    <row r="381" spans="1:8" hidden="1">
      <c r="A381" s="78" t="s">
        <v>819</v>
      </c>
      <c r="B381" s="79">
        <f t="shared" si="19"/>
        <v>4</v>
      </c>
      <c r="C381" s="80" t="s">
        <v>833</v>
      </c>
      <c r="D381" s="78" t="s">
        <v>821</v>
      </c>
      <c r="E381" s="78" t="s">
        <v>826</v>
      </c>
      <c r="F381" s="81">
        <v>1</v>
      </c>
      <c r="G381" s="950">
        <f>VLOOKUP(C381,'[12]за месяц 2025'!$A$1:$G$65536,6,0)</f>
        <v>70538.100000000006</v>
      </c>
      <c r="H381" s="950">
        <f>VLOOKUP(C381,'[12]за месяц 2025'!$A$1:$G$65536,7,0)</f>
        <v>16266.64</v>
      </c>
    </row>
    <row r="382" spans="1:8" hidden="1">
      <c r="A382" s="78" t="s">
        <v>819</v>
      </c>
      <c r="B382" s="79">
        <f t="shared" si="19"/>
        <v>4</v>
      </c>
      <c r="C382" s="80" t="s">
        <v>831</v>
      </c>
      <c r="D382" s="78" t="s">
        <v>821</v>
      </c>
      <c r="E382" s="78" t="s">
        <v>822</v>
      </c>
      <c r="F382" s="81">
        <v>1</v>
      </c>
      <c r="G382" s="950">
        <f>VLOOKUP(C382,'[12]за месяц 2025'!$A$1:$G$65536,6,0)</f>
        <v>40020</v>
      </c>
      <c r="H382" s="950">
        <f>VLOOKUP(C382,'[12]за месяц 2025'!$A$1:$G$65536,7,0)</f>
        <v>9568</v>
      </c>
    </row>
    <row r="383" spans="1:8" hidden="1">
      <c r="A383" s="78" t="s">
        <v>819</v>
      </c>
      <c r="B383" s="79">
        <f t="shared" si="19"/>
        <v>4</v>
      </c>
      <c r="C383" s="80" t="s">
        <v>834</v>
      </c>
      <c r="D383" s="78" t="s">
        <v>821</v>
      </c>
      <c r="E383" s="91" t="s">
        <v>918</v>
      </c>
      <c r="F383" s="81">
        <v>1</v>
      </c>
      <c r="G383" s="950">
        <f>VLOOKUP(C383,'[12]за месяц 2025'!$A$1:$G$65536,6,0)</f>
        <v>65250</v>
      </c>
      <c r="H383" s="950">
        <f>VLOOKUP(C383,'[12]за месяц 2025'!$A$1:$G$65536,7,0)</f>
        <v>15600</v>
      </c>
    </row>
    <row r="384" spans="1:8" hidden="1">
      <c r="A384" s="78" t="s">
        <v>819</v>
      </c>
      <c r="B384" s="79">
        <f t="shared" si="19"/>
        <v>4</v>
      </c>
      <c r="C384" s="91" t="s">
        <v>835</v>
      </c>
      <c r="D384" s="78" t="s">
        <v>821</v>
      </c>
      <c r="E384" s="91" t="s">
        <v>918</v>
      </c>
      <c r="F384" s="81">
        <v>1</v>
      </c>
      <c r="G384" s="950">
        <f>VLOOKUP(C384,'[12]за месяц 2025'!$A$1:$G$65536,6,0)</f>
        <v>7803.9</v>
      </c>
      <c r="H384" s="950">
        <f>VLOOKUP(C384,'[12]за месяц 2025'!$A$1:$G$65536,7,0)</f>
        <v>1847.82</v>
      </c>
    </row>
    <row r="385" spans="1:8" hidden="1">
      <c r="A385" s="78" t="s">
        <v>819</v>
      </c>
      <c r="B385" s="79">
        <f t="shared" si="19"/>
        <v>4</v>
      </c>
      <c r="C385" s="91" t="s">
        <v>837</v>
      </c>
      <c r="D385" s="78" t="s">
        <v>821</v>
      </c>
      <c r="E385" s="78" t="s">
        <v>822</v>
      </c>
      <c r="F385" s="81">
        <v>1</v>
      </c>
      <c r="G385" s="950">
        <f>VLOOKUP(C385,'[12]за месяц 2025'!$A$1:$G$65536,6,0)</f>
        <v>49052.418299999998</v>
      </c>
      <c r="H385" s="950">
        <f>VLOOKUP(C385,'[12]за месяц 2025'!$A$1:$G$65536,7,0)</f>
        <v>11727.474719999998</v>
      </c>
    </row>
    <row r="386" spans="1:8" hidden="1">
      <c r="A386" s="78" t="s">
        <v>819</v>
      </c>
      <c r="B386" s="79">
        <f t="shared" si="19"/>
        <v>4</v>
      </c>
      <c r="C386" s="80" t="s">
        <v>838</v>
      </c>
      <c r="D386" s="78" t="s">
        <v>821</v>
      </c>
      <c r="E386" s="78" t="s">
        <v>822</v>
      </c>
      <c r="F386" s="81">
        <v>1</v>
      </c>
      <c r="G386" s="950">
        <f>VLOOKUP(C386,'[12]за месяц 2025'!$A$1:$G$65536,6,0)</f>
        <v>74850.857099999994</v>
      </c>
      <c r="H386" s="950">
        <f>VLOOKUP(C386,'[12]за месяц 2025'!$A$1:$G$65536,7,0)</f>
        <v>17952.75664</v>
      </c>
    </row>
    <row r="387" spans="1:8" ht="18" hidden="1" customHeight="1">
      <c r="A387" s="78" t="s">
        <v>819</v>
      </c>
      <c r="B387" s="79">
        <f t="shared" si="19"/>
        <v>4</v>
      </c>
      <c r="C387" s="91" t="s">
        <v>1045</v>
      </c>
      <c r="D387" s="78" t="s">
        <v>821</v>
      </c>
      <c r="E387" s="78" t="s">
        <v>824</v>
      </c>
      <c r="F387" s="81">
        <v>1</v>
      </c>
      <c r="G387" s="950">
        <v>20135</v>
      </c>
      <c r="H387" s="950"/>
    </row>
    <row r="388" spans="1:8" ht="16.95" hidden="1" customHeight="1">
      <c r="A388" s="78" t="s">
        <v>819</v>
      </c>
      <c r="B388" s="79">
        <f>B386</f>
        <v>4</v>
      </c>
      <c r="C388" s="92" t="s">
        <v>839</v>
      </c>
      <c r="D388" s="78" t="s">
        <v>821</v>
      </c>
      <c r="E388" s="78" t="s">
        <v>836</v>
      </c>
      <c r="F388" s="81">
        <v>1</v>
      </c>
      <c r="G388" s="950">
        <f>VLOOKUP(C388,'[12]за месяц 2025'!$A$1:$G$65536,6,0)</f>
        <v>56018.969400000002</v>
      </c>
      <c r="H388" s="950">
        <f>VLOOKUP(C388,'[12]за месяц 2025'!$A$1:$G$65536,7,0)</f>
        <v>13393.040960000002</v>
      </c>
    </row>
    <row r="389" spans="1:8" ht="14.4" hidden="1" customHeight="1">
      <c r="A389" s="78" t="s">
        <v>819</v>
      </c>
      <c r="B389" s="79">
        <f t="shared" si="19"/>
        <v>4</v>
      </c>
      <c r="C389" s="78" t="s">
        <v>840</v>
      </c>
      <c r="D389" s="78" t="s">
        <v>821</v>
      </c>
      <c r="E389" s="78" t="s">
        <v>822</v>
      </c>
      <c r="F389" s="81">
        <v>1</v>
      </c>
      <c r="G389" s="950">
        <f>VLOOKUP(C389,'[12]за месяц 2025'!$A$1:$G$65536,6,0)</f>
        <v>79997.100000000006</v>
      </c>
      <c r="H389" s="950">
        <f>VLOOKUP(C389,'[12]за месяц 2025'!$A$1:$G$65536,7,0)</f>
        <v>19204.64</v>
      </c>
    </row>
    <row r="390" spans="1:8" hidden="1">
      <c r="A390" s="78" t="s">
        <v>819</v>
      </c>
      <c r="B390" s="79">
        <f t="shared" si="19"/>
        <v>4</v>
      </c>
      <c r="C390" s="78" t="s">
        <v>841</v>
      </c>
      <c r="D390" s="78" t="s">
        <v>821</v>
      </c>
      <c r="E390" s="78" t="s">
        <v>826</v>
      </c>
      <c r="F390" s="81">
        <v>1</v>
      </c>
      <c r="G390" s="950">
        <f>VLOOKUP(C390,'[12]за месяц 2025'!$A$1:$G$65536,6,0)</f>
        <v>60030</v>
      </c>
      <c r="H390" s="950">
        <f>VLOOKUP(C390,'[12]за месяц 2025'!$A$1:$G$65536,7,0)</f>
        <v>14352</v>
      </c>
    </row>
    <row r="391" spans="1:8" hidden="1">
      <c r="A391" s="78" t="s">
        <v>819</v>
      </c>
      <c r="B391" s="79">
        <f t="shared" si="19"/>
        <v>4</v>
      </c>
      <c r="C391" s="84" t="s">
        <v>842</v>
      </c>
      <c r="D391" s="78" t="s">
        <v>821</v>
      </c>
      <c r="E391" s="78" t="s">
        <v>843</v>
      </c>
      <c r="F391" s="81">
        <v>1</v>
      </c>
      <c r="G391" s="950">
        <f>VLOOKUP(C391,'[12]за месяц 2025'!$A$1:$G$65536,6,0)</f>
        <v>100742.1807</v>
      </c>
      <c r="H391" s="950">
        <f>VLOOKUP(C391,'[12]за месяц 2025'!$A$1:$G$65536,7,0)</f>
        <v>24085.48688</v>
      </c>
    </row>
    <row r="392" spans="1:8" hidden="1">
      <c r="A392" s="78" t="s">
        <v>819</v>
      </c>
      <c r="B392" s="79">
        <f t="shared" si="19"/>
        <v>4</v>
      </c>
      <c r="C392" s="84" t="s">
        <v>844</v>
      </c>
      <c r="D392" s="78" t="s">
        <v>821</v>
      </c>
      <c r="E392" s="78" t="s">
        <v>826</v>
      </c>
      <c r="F392" s="81">
        <v>1</v>
      </c>
      <c r="G392" s="950">
        <f>VLOOKUP(C392,'[12]за месяц 2025'!$A$1:$G$65536,6,0)</f>
        <v>34823.266799999998</v>
      </c>
      <c r="H392" s="950">
        <f>VLOOKUP(C392,'[12]за месяц 2025'!$A$1:$G$65536,7,0)</f>
        <v>13209.797119999999</v>
      </c>
    </row>
    <row r="393" spans="1:8" hidden="1">
      <c r="A393" s="78" t="s">
        <v>819</v>
      </c>
      <c r="B393" s="79">
        <f t="shared" si="19"/>
        <v>4</v>
      </c>
      <c r="C393" s="78" t="s">
        <v>845</v>
      </c>
      <c r="D393" s="78" t="s">
        <v>821</v>
      </c>
      <c r="E393" s="78" t="s">
        <v>824</v>
      </c>
      <c r="F393" s="81">
        <v>1</v>
      </c>
      <c r="G393" s="950">
        <f>VLOOKUP(C393,'[12]за месяц 2025'!$A$1:$G$65536,6,0)</f>
        <v>69814.220099999991</v>
      </c>
      <c r="H393" s="950">
        <f>VLOOKUP(C393,'[12]за месяц 2025'!$A$1:$G$65536,7,0)</f>
        <v>16691.215840000001</v>
      </c>
    </row>
    <row r="394" spans="1:8" hidden="1">
      <c r="A394" s="78" t="s">
        <v>819</v>
      </c>
      <c r="B394" s="79">
        <f t="shared" si="19"/>
        <v>4</v>
      </c>
      <c r="C394" s="84" t="s">
        <v>846</v>
      </c>
      <c r="D394" s="78" t="s">
        <v>821</v>
      </c>
      <c r="E394" s="91" t="s">
        <v>942</v>
      </c>
      <c r="F394" s="81">
        <v>1</v>
      </c>
      <c r="G394" s="950">
        <f>VLOOKUP(C394,'[12]за месяц 2025'!$A$1:$G$65536,6,0)</f>
        <v>95811</v>
      </c>
      <c r="H394" s="950">
        <f>VLOOKUP(C394,'[12]за месяц 2025'!$A$1:$G$65536,7,0)</f>
        <v>22230</v>
      </c>
    </row>
    <row r="395" spans="1:8" hidden="1">
      <c r="A395" s="78" t="s">
        <v>819</v>
      </c>
      <c r="B395" s="79">
        <f t="shared" si="19"/>
        <v>4</v>
      </c>
      <c r="C395" s="78" t="s">
        <v>847</v>
      </c>
      <c r="D395" s="78" t="s">
        <v>821</v>
      </c>
      <c r="E395" s="78" t="s">
        <v>829</v>
      </c>
      <c r="F395" s="81">
        <v>1</v>
      </c>
      <c r="G395" s="950">
        <f>VLOOKUP(C395,'[12]за месяц 2025'!$A$1:$G$65536,6,0)</f>
        <v>99694.1</v>
      </c>
      <c r="H395" s="950">
        <f>VLOOKUP(C395,'[12]за месяц 2025'!$A$1:$G$65536,7,0)</f>
        <v>24301.64</v>
      </c>
    </row>
    <row r="396" spans="1:8" hidden="1">
      <c r="A396" s="78" t="s">
        <v>819</v>
      </c>
      <c r="B396" s="79">
        <f t="shared" si="19"/>
        <v>4</v>
      </c>
      <c r="C396" s="84" t="s">
        <v>919</v>
      </c>
      <c r="D396" s="78" t="s">
        <v>821</v>
      </c>
      <c r="E396" s="78" t="s">
        <v>822</v>
      </c>
      <c r="F396" s="81">
        <v>1</v>
      </c>
      <c r="G396" s="950">
        <f>VLOOKUP(C396,'[12]за месяц 2025'!$A$1:$G$65536,6,0)</f>
        <v>80543.100000000006</v>
      </c>
      <c r="H396" s="950">
        <f>VLOOKUP(C396,'[12]за месяц 2025'!$A$1:$G$65536,7,0)</f>
        <v>18658.64</v>
      </c>
    </row>
    <row r="397" spans="1:8" hidden="1">
      <c r="A397" s="78" t="s">
        <v>819</v>
      </c>
      <c r="B397" s="79">
        <f t="shared" si="19"/>
        <v>4</v>
      </c>
      <c r="C397" s="80" t="s">
        <v>848</v>
      </c>
      <c r="D397" s="78" t="s">
        <v>821</v>
      </c>
      <c r="E397" s="78" t="s">
        <v>826</v>
      </c>
      <c r="F397" s="81">
        <v>1</v>
      </c>
      <c r="G397" s="950">
        <f>VLOOKUP(C397,'[12]за месяц 2025'!$A$1:$G$65536,6,0)</f>
        <v>70035</v>
      </c>
      <c r="H397" s="950">
        <f>VLOOKUP(C397,'[12]за месяц 2025'!$A$1:$G$65536,7,0)</f>
        <v>16744</v>
      </c>
    </row>
    <row r="398" spans="1:8" hidden="1">
      <c r="A398" s="78" t="s">
        <v>819</v>
      </c>
      <c r="B398" s="79">
        <f t="shared" si="19"/>
        <v>4</v>
      </c>
      <c r="C398" s="78" t="s">
        <v>849</v>
      </c>
      <c r="D398" s="78" t="s">
        <v>821</v>
      </c>
      <c r="E398" s="78" t="s">
        <v>824</v>
      </c>
      <c r="F398" s="81">
        <v>1</v>
      </c>
      <c r="G398" s="950">
        <f>VLOOKUP(C398,'[12]за месяц 2025'!$A$1:$G$65536,6,0)</f>
        <v>84997.86</v>
      </c>
      <c r="H398" s="950">
        <f>VLOOKUP(C398,'[12]за месяц 2025'!$A$1:$G$65536,7,0)</f>
        <v>20400.223999999998</v>
      </c>
    </row>
    <row r="399" spans="1:8" hidden="1">
      <c r="A399" s="78" t="s">
        <v>819</v>
      </c>
      <c r="B399" s="79">
        <f>B398</f>
        <v>4</v>
      </c>
      <c r="C399" s="90" t="s">
        <v>1044</v>
      </c>
      <c r="D399" s="78" t="s">
        <v>821</v>
      </c>
      <c r="E399" s="78" t="s">
        <v>826</v>
      </c>
      <c r="F399" s="81">
        <v>1</v>
      </c>
      <c r="G399" s="950">
        <v>74470</v>
      </c>
      <c r="H399" s="950"/>
    </row>
    <row r="400" spans="1:8" hidden="1">
      <c r="A400" s="78" t="s">
        <v>819</v>
      </c>
      <c r="B400" s="79">
        <f>B398</f>
        <v>4</v>
      </c>
      <c r="C400" s="78" t="s">
        <v>851</v>
      </c>
      <c r="D400" s="78" t="s">
        <v>821</v>
      </c>
      <c r="E400" s="78" t="s">
        <v>826</v>
      </c>
      <c r="F400" s="81">
        <v>1</v>
      </c>
      <c r="G400" s="950">
        <f>VLOOKUP(C400,'[12]за месяц 2025'!$A$1:$G$65536,6,0)</f>
        <v>41358.9666</v>
      </c>
      <c r="H400" s="950">
        <f>VLOOKUP(C400,'[12]за месяц 2025'!$A$1:$G$65536,7,0)</f>
        <v>9934.7414399999998</v>
      </c>
    </row>
    <row r="401" spans="1:8" hidden="1">
      <c r="A401" s="78" t="s">
        <v>819</v>
      </c>
      <c r="B401" s="79">
        <f>B399</f>
        <v>4</v>
      </c>
      <c r="C401" s="84" t="s">
        <v>853</v>
      </c>
      <c r="D401" s="78" t="s">
        <v>821</v>
      </c>
      <c r="E401" s="78" t="s">
        <v>836</v>
      </c>
      <c r="F401" s="81">
        <v>1</v>
      </c>
      <c r="G401" s="950">
        <f>VLOOKUP(C401,'[12]за месяц 2025'!$A$1:$G$65536,6,0)</f>
        <v>110055</v>
      </c>
      <c r="H401" s="950">
        <f>VLOOKUP(C401,'[12]за месяц 2025'!$A$1:$G$65536,7,0)</f>
        <v>26312</v>
      </c>
    </row>
    <row r="402" spans="1:8" hidden="1">
      <c r="A402" s="78" t="s">
        <v>819</v>
      </c>
      <c r="B402" s="79">
        <f t="shared" si="19"/>
        <v>4</v>
      </c>
      <c r="C402" s="84" t="s">
        <v>854</v>
      </c>
      <c r="D402" s="78" t="s">
        <v>821</v>
      </c>
      <c r="E402" s="78" t="s">
        <v>826</v>
      </c>
      <c r="F402" s="81">
        <v>1</v>
      </c>
      <c r="G402" s="950">
        <f>VLOOKUP(C402,'[12]за месяц 2025'!$A$1:$G$65536,6,0)</f>
        <v>125218.6734</v>
      </c>
      <c r="H402" s="950">
        <f>VLOOKUP(C402,'[12]за месяц 2025'!$A$1:$G$65536,7,0)</f>
        <v>30016.234560000001</v>
      </c>
    </row>
    <row r="403" spans="1:8" hidden="1">
      <c r="A403" s="78" t="s">
        <v>819</v>
      </c>
      <c r="B403" s="79">
        <f t="shared" si="19"/>
        <v>4</v>
      </c>
      <c r="C403" s="91" t="s">
        <v>855</v>
      </c>
      <c r="D403" s="78" t="s">
        <v>821</v>
      </c>
      <c r="E403" s="91" t="s">
        <v>822</v>
      </c>
      <c r="F403" s="81">
        <v>1</v>
      </c>
      <c r="G403" s="950">
        <f>VLOOKUP(C403,'[12]за месяц 2025'!$A$1:$G$65536,6,0)</f>
        <v>92453.690399999992</v>
      </c>
      <c r="H403" s="950">
        <f>VLOOKUP(C403,'[12]за месяц 2025'!$A$1:$G$65536,7,0)</f>
        <v>22182.767359999998</v>
      </c>
    </row>
    <row r="404" spans="1:8" hidden="1">
      <c r="A404" s="78" t="s">
        <v>819</v>
      </c>
      <c r="B404" s="79">
        <f t="shared" si="19"/>
        <v>4</v>
      </c>
      <c r="C404" s="78" t="s">
        <v>856</v>
      </c>
      <c r="D404" s="78" t="s">
        <v>821</v>
      </c>
      <c r="E404" s="78" t="s">
        <v>826</v>
      </c>
      <c r="F404" s="81">
        <v>1</v>
      </c>
      <c r="G404" s="950">
        <f>VLOOKUP(C404,'[12]за месяц 2025'!$A$1:$G$65536,6,0)</f>
        <v>115517.1</v>
      </c>
      <c r="H404" s="950">
        <f>VLOOKUP(C404,'[12]за месяц 2025'!$A$1:$G$65536,7,0)</f>
        <v>27020.240000000002</v>
      </c>
    </row>
    <row r="405" spans="1:8" hidden="1">
      <c r="A405" s="78" t="s">
        <v>819</v>
      </c>
      <c r="B405" s="79">
        <f t="shared" si="19"/>
        <v>4</v>
      </c>
      <c r="C405" s="78" t="s">
        <v>857</v>
      </c>
      <c r="D405" s="78" t="s">
        <v>821</v>
      </c>
      <c r="E405" s="78" t="s">
        <v>824</v>
      </c>
      <c r="F405" s="81">
        <v>1</v>
      </c>
      <c r="G405" s="950">
        <f>VLOOKUP(C405,'[12]за месяц 2025'!$A$1:$G$65536,6,0)</f>
        <v>104006.29950000001</v>
      </c>
      <c r="H405" s="950">
        <f>VLOOKUP(C405,'[12]за месяц 2025'!$A$1:$G$65536,7,0)</f>
        <v>24916.080800000003</v>
      </c>
    </row>
    <row r="406" spans="1:8" hidden="1">
      <c r="A406" s="78" t="s">
        <v>819</v>
      </c>
      <c r="B406" s="79">
        <f t="shared" si="19"/>
        <v>4</v>
      </c>
      <c r="C406" s="90" t="s">
        <v>913</v>
      </c>
      <c r="D406" s="78" t="s">
        <v>821</v>
      </c>
      <c r="E406" s="78" t="s">
        <v>822</v>
      </c>
      <c r="F406" s="81">
        <v>1</v>
      </c>
      <c r="G406" s="950">
        <f>VLOOKUP(C406,'[12]за месяц 2025'!$A$1:$G$65536,6,0)</f>
        <v>55245</v>
      </c>
      <c r="H406" s="950">
        <f>VLOOKUP(C406,'[12]за месяц 2025'!$A$1:$G$65536,7,0)</f>
        <v>13208</v>
      </c>
    </row>
    <row r="407" spans="1:8" hidden="1">
      <c r="A407" s="78" t="s">
        <v>819</v>
      </c>
      <c r="B407" s="79">
        <f t="shared" si="19"/>
        <v>4</v>
      </c>
      <c r="C407" s="78" t="s">
        <v>858</v>
      </c>
      <c r="D407" s="78" t="s">
        <v>821</v>
      </c>
      <c r="E407" s="78" t="s">
        <v>826</v>
      </c>
      <c r="F407" s="81">
        <v>1</v>
      </c>
      <c r="G407" s="950">
        <f>VLOOKUP(C407,'[12]за месяц 2025'!$A$1:$G$65536,6,0)</f>
        <v>79997.100000000006</v>
      </c>
      <c r="H407" s="950">
        <f>VLOOKUP(C407,'[12]за месяц 2025'!$A$1:$G$65536,7,0)</f>
        <v>19204.64</v>
      </c>
    </row>
    <row r="408" spans="1:8" hidden="1">
      <c r="A408" s="78" t="s">
        <v>819</v>
      </c>
      <c r="B408" s="79">
        <f>B377</f>
        <v>4</v>
      </c>
      <c r="C408" s="91" t="s">
        <v>1037</v>
      </c>
      <c r="D408" s="78" t="s">
        <v>821</v>
      </c>
      <c r="E408" s="78" t="s">
        <v>824</v>
      </c>
      <c r="F408" s="81">
        <v>1</v>
      </c>
      <c r="G408" s="950">
        <f>VLOOKUP(C408,'[12]за месяц 2025'!$A$1:$G$65536,6,0)</f>
        <v>8444.2199999999993</v>
      </c>
      <c r="H408" s="950">
        <f>VLOOKUP(C408,'[12]за месяц 2025'!$A$1:$G$65536,7,0)</f>
        <v>1999.4359999999999</v>
      </c>
    </row>
    <row r="409" spans="1:8" hidden="1">
      <c r="A409" s="78" t="s">
        <v>819</v>
      </c>
      <c r="B409" s="79">
        <f>B378</f>
        <v>4</v>
      </c>
      <c r="C409" s="91" t="s">
        <v>862</v>
      </c>
      <c r="D409" s="78" t="s">
        <v>821</v>
      </c>
      <c r="E409" s="78" t="s">
        <v>822</v>
      </c>
      <c r="F409" s="81">
        <v>1</v>
      </c>
      <c r="G409" s="950">
        <f>VLOOKUP(C409,'[12]за месяц 2025'!$A$1:$G$65536,6,0)</f>
        <v>65207.1</v>
      </c>
      <c r="H409" s="950">
        <f>VLOOKUP(C409,'[12]за месяц 2025'!$A$1:$G$65536,7,0)</f>
        <v>15668.64</v>
      </c>
    </row>
    <row r="410" spans="1:8" hidden="1">
      <c r="A410" s="78" t="s">
        <v>819</v>
      </c>
      <c r="B410" s="79">
        <f t="shared" si="19"/>
        <v>4</v>
      </c>
      <c r="C410" s="84" t="s">
        <v>863</v>
      </c>
      <c r="D410" s="78" t="s">
        <v>821</v>
      </c>
      <c r="E410" s="78" t="s">
        <v>829</v>
      </c>
      <c r="F410" s="81">
        <v>1</v>
      </c>
      <c r="G410" s="950">
        <f>VLOOKUP(C410,'[12]за месяц 2025'!$A$1:$G$65536,6,0)</f>
        <v>66771.337499999994</v>
      </c>
      <c r="H410" s="950">
        <f>VLOOKUP(C410,'[12]за месяц 2025'!$A$1:$G$65536,7,0)</f>
        <v>16031.86</v>
      </c>
    </row>
    <row r="411" spans="1:8" hidden="1">
      <c r="A411" s="78" t="s">
        <v>819</v>
      </c>
      <c r="B411" s="79">
        <f t="shared" si="19"/>
        <v>4</v>
      </c>
      <c r="C411" s="78" t="s">
        <v>864</v>
      </c>
      <c r="D411" s="78" t="s">
        <v>821</v>
      </c>
      <c r="E411" s="78" t="s">
        <v>826</v>
      </c>
      <c r="F411" s="81">
        <v>1</v>
      </c>
      <c r="G411" s="950">
        <f>VLOOKUP(C411,'[12]за месяц 2025'!$A$1:$G$65536,6,0)</f>
        <v>33035.64</v>
      </c>
      <c r="H411" s="950">
        <f>VLOOKUP(C411,'[12]за месяц 2025'!$A$1:$G$65536,7,0)</f>
        <v>7822.232</v>
      </c>
    </row>
    <row r="412" spans="1:8" hidden="1">
      <c r="A412" s="78" t="s">
        <v>819</v>
      </c>
      <c r="B412" s="79">
        <f t="shared" si="19"/>
        <v>4</v>
      </c>
      <c r="C412" s="84" t="s">
        <v>865</v>
      </c>
      <c r="D412" s="78" t="s">
        <v>821</v>
      </c>
      <c r="E412" s="78" t="s">
        <v>822</v>
      </c>
      <c r="F412" s="81">
        <v>1</v>
      </c>
      <c r="G412" s="950">
        <f>VLOOKUP(C412,'[12]за месяц 2025'!$A$1:$G$65536,6,0)</f>
        <v>75437</v>
      </c>
      <c r="H412" s="950">
        <f>VLOOKUP(C412,'[12]за месяц 2025'!$A$1:$G$65536,7,0)</f>
        <v>17810</v>
      </c>
    </row>
    <row r="413" spans="1:8" hidden="1">
      <c r="A413" s="78" t="s">
        <v>819</v>
      </c>
      <c r="B413" s="79">
        <f>B412</f>
        <v>4</v>
      </c>
      <c r="C413" s="84" t="s">
        <v>1040</v>
      </c>
      <c r="D413" s="78" t="s">
        <v>821</v>
      </c>
      <c r="E413" s="78" t="s">
        <v>822</v>
      </c>
      <c r="F413" s="81">
        <v>1</v>
      </c>
      <c r="G413" s="950">
        <f>VLOOKUP(C413,'[12]за месяц 2025'!$A$1:$G$65536,6,0)</f>
        <v>110012.1</v>
      </c>
      <c r="H413" s="950">
        <f>VLOOKUP(C413,'[12]за месяц 2025'!$A$1:$G$65536,7,0)</f>
        <v>26380.640000000003</v>
      </c>
    </row>
    <row r="414" spans="1:8" hidden="1">
      <c r="A414" s="78" t="s">
        <v>819</v>
      </c>
      <c r="B414" s="79">
        <f>B412</f>
        <v>4</v>
      </c>
      <c r="C414" s="91" t="s">
        <v>866</v>
      </c>
      <c r="D414" s="78" t="s">
        <v>821</v>
      </c>
      <c r="E414" s="78" t="s">
        <v>826</v>
      </c>
      <c r="F414" s="81">
        <v>1</v>
      </c>
      <c r="G414" s="950">
        <f>VLOOKUP(C414,'[12]за месяц 2025'!$A$1:$G$65536,6,0)</f>
        <v>65033.1</v>
      </c>
      <c r="H414" s="950">
        <f>VLOOKUP(C414,'[12]за месяц 2025'!$A$1:$G$65536,7,0)</f>
        <v>15627.039999999999</v>
      </c>
    </row>
    <row r="415" spans="1:8" hidden="1">
      <c r="A415" s="78" t="s">
        <v>819</v>
      </c>
      <c r="B415" s="79">
        <f>B414</f>
        <v>4</v>
      </c>
      <c r="C415" s="80" t="s">
        <v>867</v>
      </c>
      <c r="D415" s="78" t="s">
        <v>821</v>
      </c>
      <c r="E415" s="78" t="s">
        <v>822</v>
      </c>
      <c r="F415" s="81">
        <v>1</v>
      </c>
      <c r="G415" s="950">
        <f>VLOOKUP(C415,'[12]за месяц 2025'!$A$1:$G$65536,6,0)</f>
        <v>69992.100000000006</v>
      </c>
      <c r="H415" s="950">
        <f>VLOOKUP(C415,'[12]за месяц 2025'!$A$1:$G$65536,7,0)</f>
        <v>16812.64</v>
      </c>
    </row>
    <row r="416" spans="1:8" hidden="1">
      <c r="A416" s="78" t="s">
        <v>819</v>
      </c>
      <c r="B416" s="79">
        <f t="shared" si="19"/>
        <v>4</v>
      </c>
      <c r="C416" s="80" t="s">
        <v>868</v>
      </c>
      <c r="D416" s="78" t="s">
        <v>821</v>
      </c>
      <c r="E416" s="78" t="s">
        <v>826</v>
      </c>
      <c r="F416" s="81">
        <v>1</v>
      </c>
      <c r="G416" s="950">
        <f>VLOOKUP(C416,'[12]за месяц 2025'!$A$1:$G$65536,6,0)</f>
        <v>70581</v>
      </c>
      <c r="H416" s="950">
        <f>VLOOKUP(C416,'[12]за месяц 2025'!$A$1:$G$65536,7,0)</f>
        <v>16198</v>
      </c>
    </row>
    <row r="417" spans="1:8" hidden="1">
      <c r="A417" s="78" t="s">
        <v>819</v>
      </c>
      <c r="B417" s="79">
        <f t="shared" si="19"/>
        <v>4</v>
      </c>
      <c r="C417" s="90" t="s">
        <v>869</v>
      </c>
      <c r="D417" s="78" t="s">
        <v>821</v>
      </c>
      <c r="E417" s="78" t="s">
        <v>822</v>
      </c>
      <c r="F417" s="81">
        <v>1</v>
      </c>
      <c r="G417" s="950">
        <f>VLOOKUP(C417,'[12]за месяц 2025'!$A$1:$G$65536,6,0)</f>
        <v>104617.30319999999</v>
      </c>
      <c r="H417" s="950">
        <f>VLOOKUP(C417,'[12]за месяц 2025'!$A$1:$G$65536,7,0)</f>
        <v>25080.090879999996</v>
      </c>
    </row>
    <row r="418" spans="1:8" hidden="1">
      <c r="A418" s="78" t="s">
        <v>819</v>
      </c>
      <c r="B418" s="79">
        <f t="shared" si="19"/>
        <v>4</v>
      </c>
      <c r="C418" s="90" t="s">
        <v>870</v>
      </c>
      <c r="D418" s="78" t="s">
        <v>821</v>
      </c>
      <c r="E418" s="78" t="s">
        <v>822</v>
      </c>
      <c r="F418" s="81">
        <v>1</v>
      </c>
      <c r="G418" s="950">
        <f>VLOOKUP(C418,'[12]за месяц 2025'!$A$1:$G$65536,6,0)</f>
        <v>52200</v>
      </c>
      <c r="H418" s="950">
        <f>VLOOKUP(C418,'[12]за месяц 2025'!$A$1:$G$65536,7,0)</f>
        <v>12480</v>
      </c>
    </row>
    <row r="419" spans="1:8" hidden="1">
      <c r="A419" s="78" t="s">
        <v>819</v>
      </c>
      <c r="B419" s="79">
        <f t="shared" si="19"/>
        <v>4</v>
      </c>
      <c r="C419" s="78" t="s">
        <v>871</v>
      </c>
      <c r="D419" s="78" t="s">
        <v>821</v>
      </c>
      <c r="E419" s="78" t="s">
        <v>829</v>
      </c>
      <c r="F419" s="81">
        <v>1</v>
      </c>
      <c r="G419" s="950">
        <f>VLOOKUP(C419,'[12]за месяц 2025'!$A$1:$G$65536,6,0)</f>
        <v>59987.1</v>
      </c>
      <c r="H419" s="950">
        <f>VLOOKUP(C419,'[12]за месяц 2025'!$A$1:$G$65536,7,0)</f>
        <v>14420.64</v>
      </c>
    </row>
    <row r="420" spans="1:8" hidden="1">
      <c r="A420" s="78" t="s">
        <v>819</v>
      </c>
      <c r="B420" s="79">
        <f t="shared" si="19"/>
        <v>4</v>
      </c>
      <c r="C420" s="78" t="s">
        <v>872</v>
      </c>
      <c r="D420" s="78" t="s">
        <v>821</v>
      </c>
      <c r="E420" s="78" t="s">
        <v>824</v>
      </c>
      <c r="F420" s="81">
        <v>1</v>
      </c>
      <c r="G420" s="950">
        <f>VLOOKUP(C420,'[12]за месяц 2025'!$A$1:$G$65536,6,0)</f>
        <v>96348.454500000007</v>
      </c>
      <c r="H420" s="950">
        <f>VLOOKUP(C420,'[12]за месяц 2025'!$A$1:$G$65536,7,0)</f>
        <v>23035.032799999997</v>
      </c>
    </row>
    <row r="421" spans="1:8" hidden="1">
      <c r="A421" s="78" t="s">
        <v>819</v>
      </c>
      <c r="B421" s="79">
        <v>4</v>
      </c>
      <c r="C421" s="78" t="s">
        <v>873</v>
      </c>
      <c r="D421" s="78" t="s">
        <v>821</v>
      </c>
      <c r="E421" s="78" t="s">
        <v>843</v>
      </c>
      <c r="F421" s="81">
        <v>1</v>
      </c>
      <c r="G421" s="950">
        <f>VLOOKUP(C421,'[12]за месяц 2025'!$A$1:$G$65536,6,0)</f>
        <v>95811</v>
      </c>
      <c r="H421" s="950">
        <f>VLOOKUP(C421,'[12]за месяц 2025'!$A$1:$G$65536,7,0)</f>
        <v>22230</v>
      </c>
    </row>
    <row r="422" spans="1:8" hidden="1">
      <c r="A422" s="78" t="s">
        <v>819</v>
      </c>
      <c r="B422" s="79">
        <f t="shared" si="19"/>
        <v>4</v>
      </c>
      <c r="C422" s="91" t="s">
        <v>874</v>
      </c>
      <c r="D422" s="78" t="s">
        <v>821</v>
      </c>
      <c r="E422" s="78" t="s">
        <v>836</v>
      </c>
      <c r="F422" s="81">
        <v>1</v>
      </c>
      <c r="G422" s="950">
        <f>VLOOKUP(C422,'[12]за месяц 2025'!$A$1:$G$65536,6,0)</f>
        <v>67487.37</v>
      </c>
      <c r="H422" s="950">
        <f>VLOOKUP(C422,'[12]за месяц 2025'!$A$1:$G$65536,7,0)</f>
        <v>16213.807999999999</v>
      </c>
    </row>
    <row r="423" spans="1:8" hidden="1">
      <c r="A423" s="78" t="s">
        <v>819</v>
      </c>
      <c r="B423" s="79">
        <f>B425</f>
        <v>4</v>
      </c>
      <c r="C423" s="85" t="s">
        <v>876</v>
      </c>
      <c r="D423" s="78" t="s">
        <v>821</v>
      </c>
      <c r="E423" s="78" t="s">
        <v>824</v>
      </c>
      <c r="F423" s="81">
        <v>1</v>
      </c>
      <c r="G423" s="950">
        <f>VLOOKUP(C423,'[12]за месяц 2025'!$A$1:$G$65536,6,0)</f>
        <v>27286.3668</v>
      </c>
      <c r="H423" s="950">
        <f>VLOOKUP(C423,'[12]за месяц 2025'!$A$1:$G$65536,7,0)</f>
        <v>6523.6371200000003</v>
      </c>
    </row>
    <row r="424" spans="1:8" hidden="1">
      <c r="A424" s="78" t="s">
        <v>819</v>
      </c>
      <c r="B424" s="79">
        <f t="shared" si="19"/>
        <v>4</v>
      </c>
      <c r="C424" s="84" t="s">
        <v>877</v>
      </c>
      <c r="D424" s="78" t="s">
        <v>821</v>
      </c>
      <c r="E424" s="91" t="s">
        <v>942</v>
      </c>
      <c r="F424" s="81">
        <v>1</v>
      </c>
      <c r="G424" s="950">
        <f>VLOOKUP(C424,'[12]за месяц 2025'!$A$1:$G$65536,6,0)</f>
        <v>130065</v>
      </c>
      <c r="H424" s="950">
        <f>VLOOKUP(C424,'[12]за месяц 2025'!$A$1:$G$65536,7,0)</f>
        <v>31096</v>
      </c>
    </row>
    <row r="425" spans="1:8" hidden="1">
      <c r="A425" s="78" t="s">
        <v>819</v>
      </c>
      <c r="B425" s="79">
        <f>B422</f>
        <v>4</v>
      </c>
      <c r="C425" s="84" t="s">
        <v>1041</v>
      </c>
      <c r="D425" s="78" t="s">
        <v>821</v>
      </c>
      <c r="E425" s="78" t="s">
        <v>822</v>
      </c>
      <c r="F425" s="81">
        <v>1</v>
      </c>
      <c r="G425" s="950">
        <f>VLOOKUP(C425,'[12]за месяц 2025'!$A$1:$G$65536,6,0)</f>
        <v>110012.1</v>
      </c>
      <c r="H425" s="950">
        <f>VLOOKUP(C425,'[12]за месяц 2025'!$A$1:$G$65536,7,0)</f>
        <v>26380.640000000003</v>
      </c>
    </row>
    <row r="426" spans="1:8" hidden="1">
      <c r="A426" s="78" t="s">
        <v>819</v>
      </c>
      <c r="B426" s="79">
        <f>B424</f>
        <v>4</v>
      </c>
      <c r="C426" s="78" t="s">
        <v>878</v>
      </c>
      <c r="D426" s="78" t="s">
        <v>821</v>
      </c>
      <c r="E426" s="78" t="s">
        <v>836</v>
      </c>
      <c r="F426" s="81">
        <v>1</v>
      </c>
      <c r="G426" s="950">
        <f>VLOOKUP(C426,'[12]за месяц 2025'!$A$1:$G$65536,6,0)</f>
        <v>70174.100000000006</v>
      </c>
      <c r="H426" s="950">
        <f>VLOOKUP(C426,'[12]за месяц 2025'!$A$1:$G$65536,7,0)</f>
        <v>16630.64</v>
      </c>
    </row>
    <row r="427" spans="1:8" hidden="1">
      <c r="A427" s="78" t="s">
        <v>819</v>
      </c>
      <c r="B427" s="79">
        <f>B426</f>
        <v>4</v>
      </c>
      <c r="C427" s="80" t="s">
        <v>1043</v>
      </c>
      <c r="D427" s="78" t="s">
        <v>821</v>
      </c>
      <c r="E427" s="78" t="s">
        <v>826</v>
      </c>
      <c r="F427" s="81">
        <v>1</v>
      </c>
      <c r="G427" s="950">
        <f>VLOOKUP(C427,'[12]за месяц 2025'!$A$1:$G$65536,6,0)</f>
        <v>115014</v>
      </c>
      <c r="H427" s="950">
        <f>VLOOKUP(C427,'[12]за месяц 2025'!$A$1:$G$65536,7,0)</f>
        <v>27233.199999999997</v>
      </c>
    </row>
    <row r="428" spans="1:8" hidden="1">
      <c r="A428" s="78" t="s">
        <v>819</v>
      </c>
      <c r="B428" s="79">
        <f>B426</f>
        <v>4</v>
      </c>
      <c r="C428" s="83" t="s">
        <v>879</v>
      </c>
      <c r="D428" s="78" t="s">
        <v>821</v>
      </c>
      <c r="E428" s="78" t="s">
        <v>822</v>
      </c>
      <c r="F428" s="81">
        <v>1</v>
      </c>
      <c r="G428" s="950">
        <f>VLOOKUP(C428,'[12]за месяц 2025'!$A$1:$G$65536,6,0)</f>
        <v>120351.2151</v>
      </c>
      <c r="H428" s="950">
        <f>VLOOKUP(C428,'[12]за месяц 2025'!$A$1:$G$65536,7,0)</f>
        <v>28773.623840000004</v>
      </c>
    </row>
    <row r="429" spans="1:8" hidden="1">
      <c r="A429" s="78" t="s">
        <v>819</v>
      </c>
      <c r="B429" s="79">
        <f t="shared" ref="B429:B450" si="20">B428</f>
        <v>4</v>
      </c>
      <c r="C429" s="83" t="s">
        <v>880</v>
      </c>
      <c r="D429" s="78" t="s">
        <v>821</v>
      </c>
      <c r="E429" s="78" t="s">
        <v>822</v>
      </c>
      <c r="F429" s="81">
        <v>1</v>
      </c>
      <c r="G429" s="950">
        <f>VLOOKUP(C429,'[12]за месяц 2025'!$A$1:$G$65536,6,0)</f>
        <v>120060</v>
      </c>
      <c r="H429" s="950">
        <f>VLOOKUP(C429,'[12]за месяц 2025'!$A$1:$G$65536,7,0)</f>
        <v>28704</v>
      </c>
    </row>
    <row r="430" spans="1:8" hidden="1">
      <c r="A430" s="78" t="s">
        <v>819</v>
      </c>
      <c r="B430" s="79">
        <f t="shared" si="20"/>
        <v>4</v>
      </c>
      <c r="C430" s="91" t="s">
        <v>881</v>
      </c>
      <c r="D430" s="78" t="s">
        <v>821</v>
      </c>
      <c r="E430" s="91" t="s">
        <v>942</v>
      </c>
      <c r="F430" s="81">
        <v>1</v>
      </c>
      <c r="G430" s="950">
        <v>124000</v>
      </c>
      <c r="H430" s="950"/>
    </row>
    <row r="431" spans="1:8" hidden="1">
      <c r="A431" s="78" t="s">
        <v>819</v>
      </c>
      <c r="B431" s="79">
        <f t="shared" si="20"/>
        <v>4</v>
      </c>
      <c r="C431" s="78" t="s">
        <v>882</v>
      </c>
      <c r="D431" s="78" t="s">
        <v>821</v>
      </c>
      <c r="E431" s="78" t="s">
        <v>822</v>
      </c>
      <c r="F431" s="81">
        <v>1</v>
      </c>
      <c r="G431" s="950">
        <f>VLOOKUP(C431,'[12]за месяц 2025'!$A$1:$G$65536,6,0)</f>
        <v>80040</v>
      </c>
      <c r="H431" s="950">
        <f>VLOOKUP(C431,'[12]за месяц 2025'!$A$1:$G$65536,7,0)</f>
        <v>19136</v>
      </c>
    </row>
    <row r="432" spans="1:8" hidden="1">
      <c r="A432" s="78" t="s">
        <v>819</v>
      </c>
      <c r="B432" s="79">
        <f>B431</f>
        <v>4</v>
      </c>
      <c r="C432" s="78" t="s">
        <v>1042</v>
      </c>
      <c r="D432" s="78" t="s">
        <v>821</v>
      </c>
      <c r="E432" s="78" t="s">
        <v>822</v>
      </c>
      <c r="F432" s="81">
        <v>1</v>
      </c>
      <c r="G432" s="950">
        <f>VLOOKUP(C432,'[12]за месяц 2025'!$A$1:$G$65536,6,0)</f>
        <v>100007.1</v>
      </c>
      <c r="H432" s="950">
        <f>VLOOKUP(C432,'[12]за месяц 2025'!$A$1:$G$65536,7,0)</f>
        <v>23988.639999999999</v>
      </c>
    </row>
    <row r="433" spans="1:8" ht="26.4" hidden="1">
      <c r="A433" s="78" t="s">
        <v>819</v>
      </c>
      <c r="B433" s="79">
        <f>B431</f>
        <v>4</v>
      </c>
      <c r="C433" s="80" t="s">
        <v>883</v>
      </c>
      <c r="D433" s="78" t="s">
        <v>821</v>
      </c>
      <c r="E433" s="78" t="s">
        <v>826</v>
      </c>
      <c r="F433" s="81">
        <v>1</v>
      </c>
      <c r="G433" s="950">
        <f>VLOOKUP(C433,'[12]за месяц 2025'!$A$1:$G$65536,6,0)</f>
        <v>60030</v>
      </c>
      <c r="H433" s="950">
        <f>VLOOKUP(C433,'[12]за месяц 2025'!$A$1:$G$65536,7,0)</f>
        <v>14214</v>
      </c>
    </row>
    <row r="434" spans="1:8" hidden="1">
      <c r="A434" s="78" t="s">
        <v>819</v>
      </c>
      <c r="B434" s="79">
        <f t="shared" si="20"/>
        <v>4</v>
      </c>
      <c r="C434" s="90" t="s">
        <v>963</v>
      </c>
      <c r="D434" s="78" t="s">
        <v>821</v>
      </c>
      <c r="E434" s="78" t="s">
        <v>822</v>
      </c>
      <c r="F434" s="81">
        <v>1</v>
      </c>
      <c r="G434" s="950">
        <f>VLOOKUP(C434,'[12]за месяц 2025'!$A$1:$G$65536,6,0)</f>
        <v>60533.1</v>
      </c>
      <c r="H434" s="950">
        <f>VLOOKUP(C434,'[12]за месяц 2025'!$A$1:$G$65536,7,0)</f>
        <v>13874.64</v>
      </c>
    </row>
    <row r="435" spans="1:8" hidden="1">
      <c r="A435" s="78" t="s">
        <v>819</v>
      </c>
      <c r="B435" s="79">
        <f t="shared" si="20"/>
        <v>4</v>
      </c>
      <c r="C435" s="91" t="s">
        <v>884</v>
      </c>
      <c r="D435" s="78" t="s">
        <v>821</v>
      </c>
      <c r="E435" s="78" t="s">
        <v>824</v>
      </c>
      <c r="F435" s="81">
        <v>1</v>
      </c>
      <c r="G435" s="950">
        <f>VLOOKUP(C435,'[12]за месяц 2025'!$A$1:$G$65536,6,0)</f>
        <v>70000.2</v>
      </c>
      <c r="H435" s="950">
        <f>VLOOKUP(C435,'[12]за месяц 2025'!$A$1:$G$65536,7,0)</f>
        <v>16574.759999999998</v>
      </c>
    </row>
    <row r="436" spans="1:8" hidden="1">
      <c r="A436" s="78" t="s">
        <v>819</v>
      </c>
      <c r="B436" s="79">
        <f>B434</f>
        <v>4</v>
      </c>
      <c r="C436" s="80" t="s">
        <v>1053</v>
      </c>
      <c r="D436" s="78" t="s">
        <v>821</v>
      </c>
      <c r="E436" s="78" t="s">
        <v>836</v>
      </c>
      <c r="F436" s="81">
        <v>1</v>
      </c>
      <c r="G436" s="950">
        <f>VLOOKUP(C436,'[12]за месяц 2025'!$A$1:$G$65536,6,0)</f>
        <v>44370</v>
      </c>
      <c r="H436" s="950">
        <f>VLOOKUP(C436,'[12]за месяц 2025'!$A$1:$G$65536,7,0)</f>
        <v>10608</v>
      </c>
    </row>
    <row r="437" spans="1:8" hidden="1">
      <c r="A437" s="78" t="s">
        <v>819</v>
      </c>
      <c r="B437" s="79">
        <f>B435</f>
        <v>4</v>
      </c>
      <c r="C437" s="80" t="s">
        <v>887</v>
      </c>
      <c r="D437" s="78" t="s">
        <v>821</v>
      </c>
      <c r="E437" s="78" t="s">
        <v>822</v>
      </c>
      <c r="F437" s="81">
        <v>1</v>
      </c>
      <c r="G437" s="950">
        <f>VLOOKUP(C437,'[12]за месяц 2025'!$A$1:$G$65536,6,0)+23089.87</f>
        <v>66041.377899999992</v>
      </c>
      <c r="H437" s="950">
        <f>VLOOKUP(C437,'[12]за месяц 2025'!$A$1:$G$65536,7,0)+5520.34</f>
        <v>15842.99936</v>
      </c>
    </row>
    <row r="438" spans="1:8" hidden="1">
      <c r="A438" s="78" t="s">
        <v>819</v>
      </c>
      <c r="B438" s="79">
        <f t="shared" si="20"/>
        <v>4</v>
      </c>
      <c r="C438" s="80" t="s">
        <v>886</v>
      </c>
      <c r="D438" s="78" t="s">
        <v>821</v>
      </c>
      <c r="E438" s="78" t="s">
        <v>822</v>
      </c>
      <c r="F438" s="81">
        <v>1</v>
      </c>
      <c r="G438" s="950">
        <f>VLOOKUP(C438,'[12]за месяц 2025'!$A$1:$G$65536,6,0)</f>
        <v>100050</v>
      </c>
      <c r="H438" s="950">
        <f>VLOOKUP(C438,'[12]за месяц 2025'!$A$1:$G$65536,7,0)</f>
        <v>23920</v>
      </c>
    </row>
    <row r="439" spans="1:8" hidden="1">
      <c r="A439" s="78" t="s">
        <v>819</v>
      </c>
      <c r="B439" s="79">
        <f t="shared" si="20"/>
        <v>4</v>
      </c>
      <c r="C439" s="80" t="s">
        <v>888</v>
      </c>
      <c r="D439" s="78" t="s">
        <v>821</v>
      </c>
      <c r="E439" s="78" t="s">
        <v>822</v>
      </c>
      <c r="F439" s="81">
        <v>1</v>
      </c>
      <c r="G439" s="950">
        <f>VLOOKUP(C439,'[12]за месяц 2025'!$A$1:$G$65536,6,0)</f>
        <v>35018.1</v>
      </c>
      <c r="H439" s="950">
        <f>VLOOKUP(C439,'[12]за месяц 2025'!$A$1:$G$65536,7,0)</f>
        <v>8451.0399999999991</v>
      </c>
    </row>
    <row r="440" spans="1:8" hidden="1">
      <c r="A440" s="78" t="s">
        <v>910</v>
      </c>
      <c r="B440" s="79">
        <f t="shared" si="20"/>
        <v>4</v>
      </c>
      <c r="C440" s="83" t="s">
        <v>914</v>
      </c>
      <c r="D440" s="78" t="s">
        <v>832</v>
      </c>
      <c r="E440" s="78" t="s">
        <v>172</v>
      </c>
      <c r="F440" s="81">
        <v>1</v>
      </c>
      <c r="G440" s="950">
        <f>VLOOKUP(C440,'[12]за месяц 2025'!$A$1:$G$65536,6,0)</f>
        <v>80040</v>
      </c>
      <c r="H440" s="950">
        <f>VLOOKUP(C440,'[12]за месяц 2025'!$A$1:$G$65536,7,0)</f>
        <v>19136</v>
      </c>
    </row>
    <row r="441" spans="1:8" hidden="1">
      <c r="A441" s="78" t="s">
        <v>910</v>
      </c>
      <c r="B441" s="79">
        <f t="shared" si="20"/>
        <v>4</v>
      </c>
      <c r="C441" s="78" t="s">
        <v>917</v>
      </c>
      <c r="D441" s="78" t="s">
        <v>821</v>
      </c>
      <c r="E441" s="78" t="s">
        <v>172</v>
      </c>
      <c r="F441" s="81">
        <v>1</v>
      </c>
      <c r="G441" s="950">
        <f>VLOOKUP(C441,'[12]за месяц 2025'!$A$1:$G$65536,6,0)</f>
        <v>80040</v>
      </c>
      <c r="H441" s="950">
        <f>VLOOKUP(C441,'[12]за месяц 2025'!$A$1:$G$65536,7,0)</f>
        <v>19136</v>
      </c>
    </row>
    <row r="442" spans="1:8" hidden="1">
      <c r="A442" s="78" t="s">
        <v>905</v>
      </c>
      <c r="B442" s="79">
        <f t="shared" si="20"/>
        <v>4</v>
      </c>
      <c r="C442" s="84" t="s">
        <v>908</v>
      </c>
      <c r="D442" s="78" t="s">
        <v>832</v>
      </c>
      <c r="E442" s="78" t="s">
        <v>173</v>
      </c>
      <c r="F442" s="81">
        <v>1</v>
      </c>
      <c r="G442" s="950">
        <f>VLOOKUP(C442,'[12]за месяц 2025'!$A$1:$G$65536,6,0)</f>
        <v>60910.602400000003</v>
      </c>
      <c r="H442" s="950">
        <f>VLOOKUP(C442,'[12]за месяц 2025'!$A$1:$G$65536,7,0)</f>
        <v>17690.042760000004</v>
      </c>
    </row>
    <row r="443" spans="1:8" hidden="1">
      <c r="A443" s="78" t="s">
        <v>905</v>
      </c>
      <c r="B443" s="79">
        <f t="shared" si="20"/>
        <v>4</v>
      </c>
      <c r="C443" s="78" t="s">
        <v>907</v>
      </c>
      <c r="D443" s="78" t="s">
        <v>832</v>
      </c>
      <c r="E443" s="78" t="s">
        <v>173</v>
      </c>
      <c r="F443" s="81">
        <v>1</v>
      </c>
      <c r="G443" s="950">
        <f>VLOOKUP(C443,'[12]за месяц 2025'!$A$1:$G$65536,6,0)</f>
        <v>55510.098299999998</v>
      </c>
      <c r="H443" s="950">
        <f>VLOOKUP(C443,'[12]за месяц 2025'!$A$1:$G$65536,7,0)</f>
        <v>17689.83554</v>
      </c>
    </row>
    <row r="444" spans="1:8" ht="26.4" hidden="1">
      <c r="A444" s="78" t="s">
        <v>905</v>
      </c>
      <c r="B444" s="79">
        <f t="shared" si="20"/>
        <v>4</v>
      </c>
      <c r="C444" s="92" t="s">
        <v>909</v>
      </c>
      <c r="D444" s="78" t="s">
        <v>832</v>
      </c>
      <c r="E444" s="78" t="s">
        <v>173</v>
      </c>
      <c r="F444" s="81">
        <v>1</v>
      </c>
      <c r="G444" s="950">
        <f>VLOOKUP(C444,'[12]за месяц 2025'!$A$1:$G$65536,6,0)</f>
        <v>188077.95</v>
      </c>
      <c r="H444" s="950">
        <f>VLOOKUP(C444,'[12]за месяц 2025'!$A$1:$G$65536,7,0)</f>
        <v>42188.706300000005</v>
      </c>
    </row>
    <row r="445" spans="1:8" hidden="1">
      <c r="A445" s="78" t="s">
        <v>905</v>
      </c>
      <c r="B445" s="79">
        <f>B444</f>
        <v>4</v>
      </c>
      <c r="C445" s="84" t="s">
        <v>850</v>
      </c>
      <c r="D445" s="78" t="s">
        <v>832</v>
      </c>
      <c r="E445" s="78" t="s">
        <v>173</v>
      </c>
      <c r="F445" s="81">
        <v>1</v>
      </c>
      <c r="G445" s="950">
        <f>VLOOKUP(C445,'[12]за месяц 2025'!$A$1:$G$65536,6,0)</f>
        <v>73908</v>
      </c>
      <c r="H445" s="950">
        <f>VLOOKUP(C445,'[12]за месяц 2025'!$A$1:$G$65536,7,0)</f>
        <v>18434.840700000001</v>
      </c>
    </row>
    <row r="446" spans="1:8" ht="26.4" hidden="1">
      <c r="A446" s="91" t="s">
        <v>819</v>
      </c>
      <c r="B446" s="79">
        <f>B444</f>
        <v>4</v>
      </c>
      <c r="C446" s="80" t="s">
        <v>906</v>
      </c>
      <c r="D446" s="78" t="s">
        <v>821</v>
      </c>
      <c r="E446" s="963" t="s">
        <v>942</v>
      </c>
      <c r="F446" s="81">
        <v>1</v>
      </c>
      <c r="G446" s="950">
        <f>VLOOKUP(C446,'[12]за месяц 2025'!$A$1:$G$65536,6,0)</f>
        <v>110691.39600000001</v>
      </c>
      <c r="H446" s="950">
        <f>VLOOKUP(C446,'[12]за месяц 2025'!$A$1:$G$65536,7,0)</f>
        <v>26543.046400000003</v>
      </c>
    </row>
    <row r="447" spans="1:8" ht="26.4" hidden="1">
      <c r="A447" s="78" t="s">
        <v>905</v>
      </c>
      <c r="B447" s="79">
        <f t="shared" si="20"/>
        <v>4</v>
      </c>
      <c r="C447" s="92" t="s">
        <v>962</v>
      </c>
      <c r="D447" s="78" t="s">
        <v>832</v>
      </c>
      <c r="E447" s="78" t="s">
        <v>173</v>
      </c>
      <c r="F447" s="81">
        <v>1</v>
      </c>
      <c r="G447" s="950">
        <f>VLOOKUP(C447,'[12]за месяц 2025'!$A$1:$G$65536,6,0)</f>
        <v>95627.43</v>
      </c>
      <c r="H447" s="950">
        <f>VLOOKUP(C447,'[12]за месяц 2025'!$A$1:$G$65536,7,0)</f>
        <v>18964.433540000002</v>
      </c>
    </row>
    <row r="448" spans="1:8" hidden="1">
      <c r="A448" s="78" t="s">
        <v>890</v>
      </c>
      <c r="B448" s="79">
        <f t="shared" si="20"/>
        <v>4</v>
      </c>
      <c r="C448" s="80" t="s">
        <v>891</v>
      </c>
      <c r="D448" s="78" t="s">
        <v>832</v>
      </c>
      <c r="E448" s="78" t="s">
        <v>210</v>
      </c>
      <c r="F448" s="81">
        <v>1</v>
      </c>
      <c r="G448" s="1835">
        <v>832496</v>
      </c>
      <c r="H448" s="1835">
        <v>220661</v>
      </c>
    </row>
    <row r="449" spans="1:8" hidden="1">
      <c r="A449" s="78" t="s">
        <v>890</v>
      </c>
      <c r="B449" s="79">
        <f t="shared" si="20"/>
        <v>4</v>
      </c>
      <c r="C449" s="84" t="s">
        <v>892</v>
      </c>
      <c r="D449" s="78" t="s">
        <v>832</v>
      </c>
      <c r="E449" s="78" t="s">
        <v>210</v>
      </c>
      <c r="F449" s="81">
        <v>1</v>
      </c>
      <c r="G449" s="1836"/>
      <c r="H449" s="1836"/>
    </row>
    <row r="450" spans="1:8" hidden="1">
      <c r="A450" s="78" t="s">
        <v>890</v>
      </c>
      <c r="B450" s="79">
        <f t="shared" si="20"/>
        <v>4</v>
      </c>
      <c r="C450" s="80" t="s">
        <v>894</v>
      </c>
      <c r="D450" s="78" t="s">
        <v>832</v>
      </c>
      <c r="E450" s="78" t="s">
        <v>210</v>
      </c>
      <c r="F450" s="81">
        <v>1</v>
      </c>
      <c r="G450" s="1837"/>
      <c r="H450" s="1837"/>
    </row>
    <row r="451" spans="1:8" hidden="1">
      <c r="A451" s="78" t="s">
        <v>340</v>
      </c>
      <c r="B451" s="79">
        <v>5</v>
      </c>
      <c r="C451" s="78" t="s">
        <v>904</v>
      </c>
      <c r="D451" s="78" t="s">
        <v>832</v>
      </c>
      <c r="E451" s="951" t="s">
        <v>180</v>
      </c>
      <c r="F451" s="81">
        <v>1</v>
      </c>
      <c r="G451" s="950">
        <f>VLOOKUP(C451,[13]Лист_1!$A:$I,5,0)</f>
        <v>93266.4</v>
      </c>
      <c r="H451" s="950">
        <f>VLOOKUP(C451,[13]Лист_1!$A:$I,7,0)</f>
        <v>22297.780000000002</v>
      </c>
    </row>
    <row r="452" spans="1:8" hidden="1">
      <c r="A452" s="78" t="s">
        <v>340</v>
      </c>
      <c r="B452" s="79">
        <v>5</v>
      </c>
      <c r="C452" s="78" t="s">
        <v>1038</v>
      </c>
      <c r="D452" s="78" t="s">
        <v>832</v>
      </c>
      <c r="E452" s="951" t="s">
        <v>180</v>
      </c>
      <c r="F452" s="81">
        <v>1</v>
      </c>
      <c r="G452" s="950">
        <f>VLOOKUP(C452,[13]Лист_1!$A:$I,5,0)</f>
        <v>130065</v>
      </c>
      <c r="H452" s="950">
        <f>VLOOKUP(C452,[13]Лист_1!$A:$I,7,0)</f>
        <v>31096</v>
      </c>
    </row>
    <row r="453" spans="1:8" hidden="1">
      <c r="A453" s="78" t="s">
        <v>339</v>
      </c>
      <c r="B453" s="79">
        <f>B451</f>
        <v>5</v>
      </c>
      <c r="C453" s="84" t="s">
        <v>901</v>
      </c>
      <c r="D453" s="78" t="s">
        <v>832</v>
      </c>
      <c r="E453" s="951" t="s">
        <v>9</v>
      </c>
      <c r="F453" s="81">
        <v>1</v>
      </c>
      <c r="G453" s="950">
        <f>VLOOKUP(C453,[13]Лист_1!$A:$I,5,0)</f>
        <v>8765</v>
      </c>
      <c r="H453" s="950">
        <f>VLOOKUP(C453,[13]Лист_1!$A:$I,7,0)</f>
        <v>2095.85</v>
      </c>
    </row>
    <row r="454" spans="1:8" ht="26.4" hidden="1">
      <c r="A454" s="78" t="s">
        <v>339</v>
      </c>
      <c r="B454" s="79">
        <f>B452</f>
        <v>5</v>
      </c>
      <c r="C454" s="84" t="s">
        <v>1057</v>
      </c>
      <c r="D454" s="78" t="s">
        <v>832</v>
      </c>
      <c r="E454" s="951" t="s">
        <v>9</v>
      </c>
      <c r="F454" s="81">
        <v>1</v>
      </c>
      <c r="G454" s="950">
        <f>VLOOKUP(C454,[13]Лист_1!$A:$I,5,0)</f>
        <v>80222</v>
      </c>
      <c r="H454" s="950">
        <f>VLOOKUP(C454,[13]Лист_1!$A:$I,7,0)</f>
        <v>18954</v>
      </c>
    </row>
    <row r="455" spans="1:8" hidden="1">
      <c r="A455" s="78" t="s">
        <v>339</v>
      </c>
      <c r="B455" s="79">
        <f>B453</f>
        <v>5</v>
      </c>
      <c r="C455" s="92" t="s">
        <v>902</v>
      </c>
      <c r="D455" s="78" t="s">
        <v>832</v>
      </c>
      <c r="E455" s="951" t="s">
        <v>9</v>
      </c>
      <c r="F455" s="81">
        <v>1</v>
      </c>
      <c r="G455" s="950">
        <v>50000</v>
      </c>
      <c r="H455" s="950">
        <v>0</v>
      </c>
    </row>
    <row r="456" spans="1:8" hidden="1">
      <c r="A456" s="78" t="s">
        <v>339</v>
      </c>
      <c r="B456" s="79">
        <f t="shared" ref="B456:B514" si="21">B455</f>
        <v>5</v>
      </c>
      <c r="C456" s="84" t="s">
        <v>900</v>
      </c>
      <c r="D456" s="78" t="s">
        <v>832</v>
      </c>
      <c r="E456" s="951" t="s">
        <v>9</v>
      </c>
      <c r="F456" s="81">
        <v>1</v>
      </c>
      <c r="G456" s="950">
        <f>VLOOKUP(C456,[13]Лист_1!$A:$I,5,0)</f>
        <v>58290</v>
      </c>
      <c r="H456" s="950">
        <f>VLOOKUP(C456,[13]Лист_1!$A:$I,7,0)</f>
        <v>13936</v>
      </c>
    </row>
    <row r="457" spans="1:8" hidden="1">
      <c r="A457" s="78" t="s">
        <v>339</v>
      </c>
      <c r="B457" s="79">
        <f t="shared" si="21"/>
        <v>5</v>
      </c>
      <c r="C457" s="78" t="s">
        <v>898</v>
      </c>
      <c r="D457" s="78" t="s">
        <v>832</v>
      </c>
      <c r="E457" s="951" t="s">
        <v>9</v>
      </c>
      <c r="F457" s="81">
        <v>1</v>
      </c>
      <c r="G457" s="950">
        <f>VLOOKUP(C457,[13]Лист_1!$A:$I,5,0)</f>
        <v>75266.48</v>
      </c>
      <c r="H457" s="950">
        <f>VLOOKUP(C457,[13]Лист_1!$A:$I,7,0)</f>
        <v>17993.97</v>
      </c>
    </row>
    <row r="458" spans="1:8" hidden="1">
      <c r="A458" s="78" t="s">
        <v>339</v>
      </c>
      <c r="B458" s="79">
        <f t="shared" si="21"/>
        <v>5</v>
      </c>
      <c r="C458" s="91" t="s">
        <v>897</v>
      </c>
      <c r="D458" s="78" t="s">
        <v>832</v>
      </c>
      <c r="E458" s="951" t="s">
        <v>9</v>
      </c>
      <c r="F458" s="81">
        <v>1</v>
      </c>
      <c r="G458" s="950">
        <v>5560</v>
      </c>
      <c r="H458" s="950"/>
    </row>
    <row r="459" spans="1:8" hidden="1">
      <c r="A459" s="78" t="s">
        <v>339</v>
      </c>
      <c r="B459" s="79">
        <f>B457</f>
        <v>5</v>
      </c>
      <c r="C459" s="78" t="s">
        <v>899</v>
      </c>
      <c r="D459" s="78" t="s">
        <v>832</v>
      </c>
      <c r="E459" s="951" t="s">
        <v>9</v>
      </c>
      <c r="F459" s="81">
        <v>1</v>
      </c>
      <c r="G459" s="950">
        <f>VLOOKUP(C459,[13]Лист_1!$A:$I,5,0)</f>
        <v>141005.4</v>
      </c>
      <c r="H459" s="950">
        <f>VLOOKUP(C459,[13]Лист_1!$A:$I,7,0)</f>
        <v>34387.78</v>
      </c>
    </row>
    <row r="460" spans="1:8" hidden="1">
      <c r="A460" s="78" t="s">
        <v>339</v>
      </c>
      <c r="B460" s="79">
        <f t="shared" si="21"/>
        <v>5</v>
      </c>
      <c r="C460" s="255" t="s">
        <v>896</v>
      </c>
      <c r="D460" s="78" t="s">
        <v>832</v>
      </c>
      <c r="E460" s="951" t="s">
        <v>9</v>
      </c>
      <c r="F460" s="81">
        <v>1</v>
      </c>
      <c r="G460" s="950">
        <f>VLOOKUP(C460,[13]Лист_1!$A:$I,5,0)</f>
        <v>50025</v>
      </c>
      <c r="H460" s="950">
        <f>VLOOKUP(C460,[13]Лист_1!$A:$I,7,0)</f>
        <v>11960</v>
      </c>
    </row>
    <row r="461" spans="1:8" hidden="1">
      <c r="A461" s="78" t="s">
        <v>339</v>
      </c>
      <c r="B461" s="79">
        <f t="shared" si="21"/>
        <v>5</v>
      </c>
      <c r="C461" s="80" t="s">
        <v>903</v>
      </c>
      <c r="D461" s="78" t="s">
        <v>832</v>
      </c>
      <c r="E461" s="951" t="s">
        <v>9</v>
      </c>
      <c r="F461" s="81">
        <v>1</v>
      </c>
      <c r="G461" s="950">
        <f>VLOOKUP(C461,[13]Лист_1!$A:$I,5,0)</f>
        <v>53359.33</v>
      </c>
      <c r="H461" s="950">
        <f>VLOOKUP(C461,[13]Лист_1!$A:$I,7,0)</f>
        <v>12758</v>
      </c>
    </row>
    <row r="462" spans="1:8" hidden="1">
      <c r="A462" s="78" t="s">
        <v>819</v>
      </c>
      <c r="B462" s="79">
        <f>B461</f>
        <v>5</v>
      </c>
      <c r="C462" s="80" t="s">
        <v>820</v>
      </c>
      <c r="D462" s="78" t="s">
        <v>821</v>
      </c>
      <c r="E462" s="91" t="s">
        <v>918</v>
      </c>
      <c r="F462" s="81">
        <v>1</v>
      </c>
      <c r="G462" s="950">
        <f>VLOOKUP(C462,[13]Лист_1!$A:$I,5,0)</f>
        <v>202131</v>
      </c>
      <c r="H462" s="950">
        <f>VLOOKUP(C462,[13]Лист_1!$A:$I,7,0)</f>
        <v>48325.05</v>
      </c>
    </row>
    <row r="463" spans="1:8" ht="26.4" hidden="1">
      <c r="A463" s="78" t="s">
        <v>819</v>
      </c>
      <c r="B463" s="79">
        <f t="shared" si="21"/>
        <v>5</v>
      </c>
      <c r="C463" s="80" t="s">
        <v>823</v>
      </c>
      <c r="D463" s="78" t="s">
        <v>821</v>
      </c>
      <c r="E463" s="91" t="s">
        <v>918</v>
      </c>
      <c r="F463" s="81">
        <v>1</v>
      </c>
      <c r="G463" s="950">
        <f>VLOOKUP(C463,[13]Лист_1!$A:$I,5,0)</f>
        <v>137313.46</v>
      </c>
      <c r="H463" s="950">
        <f>VLOOKUP(C463,[13]Лист_1!$A:$I,7,0)</f>
        <v>32828.850000000006</v>
      </c>
    </row>
    <row r="464" spans="1:8" hidden="1">
      <c r="A464" s="78" t="s">
        <v>819</v>
      </c>
      <c r="B464" s="79">
        <f t="shared" si="21"/>
        <v>5</v>
      </c>
      <c r="C464" s="90" t="s">
        <v>825</v>
      </c>
      <c r="D464" s="78" t="s">
        <v>821</v>
      </c>
      <c r="E464" s="78" t="s">
        <v>822</v>
      </c>
      <c r="F464" s="81">
        <v>1</v>
      </c>
      <c r="G464" s="950">
        <f>VLOOKUP(C464,[13]Лист_1!$A:$I,5,0)</f>
        <v>90280</v>
      </c>
      <c r="H464" s="950">
        <f>VLOOKUP(C464,[13]Лист_1!$A:$I,7,0)</f>
        <v>21584.06</v>
      </c>
    </row>
    <row r="465" spans="1:8" hidden="1">
      <c r="A465" s="78" t="s">
        <v>819</v>
      </c>
      <c r="B465" s="79">
        <f>B497</f>
        <v>5</v>
      </c>
      <c r="C465" s="84" t="s">
        <v>1039</v>
      </c>
      <c r="D465" s="78" t="s">
        <v>821</v>
      </c>
      <c r="E465" s="78" t="s">
        <v>829</v>
      </c>
      <c r="F465" s="81">
        <v>1</v>
      </c>
      <c r="G465" s="950">
        <f>VLOOKUP(C465,[13]Лист_1!$A:$I,5,0)</f>
        <v>55488</v>
      </c>
      <c r="H465" s="950">
        <f>VLOOKUP(C465,[13]Лист_1!$A:$I,7,0)</f>
        <v>13040.46</v>
      </c>
    </row>
    <row r="466" spans="1:8" hidden="1">
      <c r="A466" s="78" t="s">
        <v>819</v>
      </c>
      <c r="B466" s="79">
        <f>B464</f>
        <v>5</v>
      </c>
      <c r="C466" s="80" t="s">
        <v>827</v>
      </c>
      <c r="D466" s="78" t="s">
        <v>821</v>
      </c>
      <c r="E466" s="78" t="s">
        <v>826</v>
      </c>
      <c r="F466" s="81">
        <v>1</v>
      </c>
      <c r="G466" s="950">
        <f>VLOOKUP(C466,[13]Лист_1!$A:$I,5,0)</f>
        <v>60212</v>
      </c>
      <c r="H466" s="950">
        <f>VLOOKUP(C466,[13]Лист_1!$A:$I,7,0)</f>
        <v>14170</v>
      </c>
    </row>
    <row r="467" spans="1:8" ht="26.4" hidden="1">
      <c r="A467" s="78" t="s">
        <v>819</v>
      </c>
      <c r="B467" s="79">
        <f t="shared" si="21"/>
        <v>5</v>
      </c>
      <c r="C467" s="80" t="s">
        <v>828</v>
      </c>
      <c r="D467" s="78" t="s">
        <v>821</v>
      </c>
      <c r="E467" s="78" t="s">
        <v>824</v>
      </c>
      <c r="F467" s="81">
        <v>1</v>
      </c>
      <c r="G467" s="950">
        <f>VLOOKUP(C467,[13]Лист_1!$A:$I,5,0)</f>
        <v>24550.39</v>
      </c>
      <c r="H467" s="950">
        <f>VLOOKUP(C467,[13]Лист_1!$A:$I,7,0)</f>
        <v>5869.04</v>
      </c>
    </row>
    <row r="468" spans="1:8" hidden="1">
      <c r="A468" s="78" t="s">
        <v>819</v>
      </c>
      <c r="B468" s="79">
        <f t="shared" si="21"/>
        <v>5</v>
      </c>
      <c r="C468" s="80" t="s">
        <v>830</v>
      </c>
      <c r="D468" s="78" t="s">
        <v>821</v>
      </c>
      <c r="E468" s="91" t="s">
        <v>942</v>
      </c>
      <c r="F468" s="81">
        <v>1</v>
      </c>
      <c r="G468" s="950">
        <f>VLOOKUP(C468,[13]Лист_1!$A:$I,5,0)</f>
        <v>143173.46</v>
      </c>
      <c r="H468" s="950">
        <f>VLOOKUP(C468,[13]Лист_1!$A:$I,7,0)</f>
        <v>34229.18</v>
      </c>
    </row>
    <row r="469" spans="1:8" hidden="1">
      <c r="A469" s="78" t="s">
        <v>819</v>
      </c>
      <c r="B469" s="79">
        <f t="shared" si="21"/>
        <v>5</v>
      </c>
      <c r="C469" s="80" t="s">
        <v>833</v>
      </c>
      <c r="D469" s="78" t="s">
        <v>821</v>
      </c>
      <c r="E469" s="78" t="s">
        <v>826</v>
      </c>
      <c r="F469" s="81">
        <v>1</v>
      </c>
      <c r="G469" s="950">
        <f>VLOOKUP(C469,[13]Лист_1!$A:$I,5,0)</f>
        <v>92990.26</v>
      </c>
      <c r="H469" s="950">
        <f>VLOOKUP(C469,[13]Лист_1!$A:$I,7,0)</f>
        <v>21555.07</v>
      </c>
    </row>
    <row r="470" spans="1:8" hidden="1">
      <c r="A470" s="78" t="s">
        <v>819</v>
      </c>
      <c r="B470" s="79">
        <f t="shared" si="21"/>
        <v>5</v>
      </c>
      <c r="C470" s="80" t="s">
        <v>831</v>
      </c>
      <c r="D470" s="78" t="s">
        <v>821</v>
      </c>
      <c r="E470" s="78" t="s">
        <v>822</v>
      </c>
      <c r="F470" s="81">
        <v>1</v>
      </c>
      <c r="G470" s="950">
        <f>VLOOKUP(C470,[13]Лист_1!$A:$I,5,0)</f>
        <v>47927.45</v>
      </c>
      <c r="H470" s="950">
        <f>VLOOKUP(C470,[13]Лист_1!$A:$I,7,0)</f>
        <v>11457.900000000001</v>
      </c>
    </row>
    <row r="471" spans="1:8" hidden="1">
      <c r="A471" s="78" t="s">
        <v>819</v>
      </c>
      <c r="B471" s="79">
        <f t="shared" si="21"/>
        <v>5</v>
      </c>
      <c r="C471" s="80" t="s">
        <v>834</v>
      </c>
      <c r="D471" s="78" t="s">
        <v>821</v>
      </c>
      <c r="E471" s="91" t="s">
        <v>918</v>
      </c>
      <c r="F471" s="81">
        <v>1</v>
      </c>
      <c r="G471" s="950">
        <f>VLOOKUP(C471,[13]Лист_1!$A:$I,5,0)</f>
        <v>65250</v>
      </c>
      <c r="H471" s="950">
        <f>VLOOKUP(C471,[13]Лист_1!$A:$I,7,0)</f>
        <v>15600</v>
      </c>
    </row>
    <row r="472" spans="1:8" hidden="1">
      <c r="A472" s="78" t="s">
        <v>819</v>
      </c>
      <c r="B472" s="79">
        <f t="shared" si="21"/>
        <v>5</v>
      </c>
      <c r="C472" s="80" t="s">
        <v>1069</v>
      </c>
      <c r="D472" s="78" t="s">
        <v>821</v>
      </c>
      <c r="E472" s="78" t="s">
        <v>824</v>
      </c>
      <c r="F472" s="81">
        <v>1</v>
      </c>
      <c r="G472" s="950">
        <f>VLOOKUP(C472,[13]Лист_1!$A:$I,5,0)</f>
        <v>130001</v>
      </c>
      <c r="H472" s="950">
        <f>VLOOKUP(C472,[13]Лист_1!$A:$I,7,0)</f>
        <v>30781.379999999997</v>
      </c>
    </row>
    <row r="473" spans="1:8" hidden="1">
      <c r="A473" s="78" t="s">
        <v>819</v>
      </c>
      <c r="B473" s="79">
        <f>B471</f>
        <v>5</v>
      </c>
      <c r="C473" s="91" t="s">
        <v>1058</v>
      </c>
      <c r="D473" s="78" t="s">
        <v>821</v>
      </c>
      <c r="E473" s="91" t="s">
        <v>918</v>
      </c>
      <c r="F473" s="81">
        <v>1</v>
      </c>
      <c r="G473" s="950">
        <f>VLOOKUP(C473,[13]Лист_1!$A:$I,5,0)</f>
        <v>15608</v>
      </c>
      <c r="H473" s="950">
        <f>VLOOKUP(C473,[13]Лист_1!$A:$I,7,0)</f>
        <v>3695.44</v>
      </c>
    </row>
    <row r="474" spans="1:8" hidden="1">
      <c r="A474" s="78" t="s">
        <v>819</v>
      </c>
      <c r="B474" s="79">
        <f t="shared" si="21"/>
        <v>5</v>
      </c>
      <c r="C474" s="91" t="s">
        <v>837</v>
      </c>
      <c r="D474" s="78" t="s">
        <v>821</v>
      </c>
      <c r="E474" s="78" t="s">
        <v>822</v>
      </c>
      <c r="F474" s="81">
        <v>1</v>
      </c>
      <c r="G474" s="950">
        <f>VLOOKUP(C474,[13]Лист_1!$A:$I,5,0)</f>
        <v>55245</v>
      </c>
      <c r="H474" s="950">
        <f>VLOOKUP(C474,[13]Лист_1!$A:$I,7,0)</f>
        <v>13208</v>
      </c>
    </row>
    <row r="475" spans="1:8" hidden="1">
      <c r="A475" s="78" t="s">
        <v>819</v>
      </c>
      <c r="B475" s="79">
        <f t="shared" si="21"/>
        <v>5</v>
      </c>
      <c r="C475" s="91" t="s">
        <v>965</v>
      </c>
      <c r="D475" s="78" t="s">
        <v>821</v>
      </c>
      <c r="E475" s="78" t="s">
        <v>824</v>
      </c>
      <c r="F475" s="81">
        <v>1</v>
      </c>
      <c r="G475" s="950">
        <v>7000</v>
      </c>
      <c r="H475" s="950"/>
    </row>
    <row r="476" spans="1:8" hidden="1">
      <c r="A476" s="78" t="s">
        <v>819</v>
      </c>
      <c r="B476" s="79">
        <f>B474</f>
        <v>5</v>
      </c>
      <c r="C476" s="80" t="s">
        <v>1059</v>
      </c>
      <c r="D476" s="78" t="s">
        <v>821</v>
      </c>
      <c r="E476" s="78" t="s">
        <v>822</v>
      </c>
      <c r="F476" s="81">
        <v>1</v>
      </c>
      <c r="G476" s="950">
        <f>VLOOKUP(C476,[13]Лист_1!$A:$I,5,0)</f>
        <v>75490</v>
      </c>
      <c r="H476" s="950">
        <f>VLOOKUP(C476,[13]Лист_1!$A:$I,7,0)</f>
        <v>18048.060000000001</v>
      </c>
    </row>
    <row r="477" spans="1:8" hidden="1">
      <c r="A477" s="78" t="s">
        <v>819</v>
      </c>
      <c r="B477" s="79">
        <f t="shared" si="21"/>
        <v>5</v>
      </c>
      <c r="C477" s="91" t="s">
        <v>1045</v>
      </c>
      <c r="D477" s="78" t="s">
        <v>821</v>
      </c>
      <c r="E477" s="78" t="s">
        <v>824</v>
      </c>
      <c r="F477" s="81">
        <v>1</v>
      </c>
      <c r="G477" s="950">
        <v>25081</v>
      </c>
      <c r="H477" s="950">
        <v>0</v>
      </c>
    </row>
    <row r="478" spans="1:8" hidden="1">
      <c r="A478" s="78" t="s">
        <v>819</v>
      </c>
      <c r="B478" s="79">
        <f>B476</f>
        <v>5</v>
      </c>
      <c r="C478" s="92" t="s">
        <v>839</v>
      </c>
      <c r="D478" s="78" t="s">
        <v>821</v>
      </c>
      <c r="E478" s="78" t="s">
        <v>836</v>
      </c>
      <c r="F478" s="81">
        <v>1</v>
      </c>
      <c r="G478" s="950">
        <f>VLOOKUP(C478,[13]Лист_1!$A:$I,5,0)</f>
        <v>70035</v>
      </c>
      <c r="H478" s="950">
        <f>VLOOKUP(C478,[13]Лист_1!$A:$I,7,0)</f>
        <v>16744</v>
      </c>
    </row>
    <row r="479" spans="1:8" hidden="1">
      <c r="A479" s="78" t="s">
        <v>819</v>
      </c>
      <c r="B479" s="79">
        <f t="shared" si="21"/>
        <v>5</v>
      </c>
      <c r="C479" s="78" t="s">
        <v>840</v>
      </c>
      <c r="D479" s="78" t="s">
        <v>821</v>
      </c>
      <c r="E479" s="78" t="s">
        <v>822</v>
      </c>
      <c r="F479" s="81">
        <v>1</v>
      </c>
      <c r="G479" s="950">
        <f>VLOOKUP(C479,[13]Лист_1!$A:$I,5,0)</f>
        <v>80275</v>
      </c>
      <c r="H479" s="950">
        <f>VLOOKUP(C479,[13]Лист_1!$A:$I,7,0)</f>
        <v>19192.060000000001</v>
      </c>
    </row>
    <row r="480" spans="1:8" hidden="1">
      <c r="A480" s="78" t="s">
        <v>819</v>
      </c>
      <c r="B480" s="79">
        <f t="shared" si="21"/>
        <v>5</v>
      </c>
      <c r="C480" s="78" t="s">
        <v>841</v>
      </c>
      <c r="D480" s="78" t="s">
        <v>821</v>
      </c>
      <c r="E480" s="78" t="s">
        <v>826</v>
      </c>
      <c r="F480" s="81">
        <v>1</v>
      </c>
      <c r="G480" s="950">
        <f>VLOOKUP(C480,[13]Лист_1!$A:$I,5,0)</f>
        <v>60030</v>
      </c>
      <c r="H480" s="950">
        <f>VLOOKUP(C480,[13]Лист_1!$A:$I,7,0)</f>
        <v>14352</v>
      </c>
    </row>
    <row r="481" spans="1:8" hidden="1">
      <c r="A481" s="78" t="s">
        <v>819</v>
      </c>
      <c r="B481" s="79">
        <f t="shared" si="21"/>
        <v>5</v>
      </c>
      <c r="C481" s="84" t="s">
        <v>1060</v>
      </c>
      <c r="D481" s="78" t="s">
        <v>821</v>
      </c>
      <c r="E481" s="78" t="s">
        <v>843</v>
      </c>
      <c r="F481" s="81">
        <v>1</v>
      </c>
      <c r="G481" s="950">
        <f>VLOOKUP(C481,[13]Лист_1!$A:$I,5,0)</f>
        <v>100050</v>
      </c>
      <c r="H481" s="950">
        <f>VLOOKUP(C481,[13]Лист_1!$A:$I,7,0)</f>
        <v>23920</v>
      </c>
    </row>
    <row r="482" spans="1:8" hidden="1">
      <c r="A482" s="78" t="s">
        <v>819</v>
      </c>
      <c r="B482" s="79">
        <f t="shared" si="21"/>
        <v>5</v>
      </c>
      <c r="C482" s="84" t="s">
        <v>844</v>
      </c>
      <c r="D482" s="78" t="s">
        <v>821</v>
      </c>
      <c r="E482" s="78" t="s">
        <v>826</v>
      </c>
      <c r="F482" s="81">
        <v>1</v>
      </c>
      <c r="G482" s="950">
        <f>VLOOKUP(C482,[13]Лист_1!$A:$I,5,0)</f>
        <v>70816</v>
      </c>
      <c r="H482" s="950">
        <f>VLOOKUP(C482,[13]Лист_1!$A:$I,7,0)</f>
        <v>16254.060000000001</v>
      </c>
    </row>
    <row r="483" spans="1:8" hidden="1">
      <c r="A483" s="78" t="s">
        <v>819</v>
      </c>
      <c r="B483" s="79">
        <f t="shared" si="21"/>
        <v>5</v>
      </c>
      <c r="C483" s="78" t="s">
        <v>845</v>
      </c>
      <c r="D483" s="78" t="s">
        <v>821</v>
      </c>
      <c r="E483" s="78" t="s">
        <v>824</v>
      </c>
      <c r="F483" s="81">
        <v>1</v>
      </c>
      <c r="G483" s="950">
        <f>VLOOKUP(C483,[13]Лист_1!$A:$I,5,0)</f>
        <v>42799.44</v>
      </c>
      <c r="H483" s="950">
        <f>VLOOKUP(C483,[13]Лист_1!$A:$I,7,0)</f>
        <v>10232.17</v>
      </c>
    </row>
    <row r="484" spans="1:8" hidden="1">
      <c r="A484" s="78" t="s">
        <v>819</v>
      </c>
      <c r="B484" s="79">
        <f t="shared" si="21"/>
        <v>5</v>
      </c>
      <c r="C484" s="84" t="s">
        <v>846</v>
      </c>
      <c r="D484" s="78" t="s">
        <v>821</v>
      </c>
      <c r="E484" s="91" t="s">
        <v>942</v>
      </c>
      <c r="F484" s="81">
        <v>1</v>
      </c>
      <c r="G484" s="950">
        <f>VLOOKUP(C484,[13]Лист_1!$A:$I,5,0)</f>
        <v>107541.84</v>
      </c>
      <c r="H484" s="950">
        <f>VLOOKUP(C484,[13]Лист_1!$A:$I,7,0)</f>
        <v>25711.72</v>
      </c>
    </row>
    <row r="485" spans="1:8" hidden="1">
      <c r="A485" s="78" t="s">
        <v>819</v>
      </c>
      <c r="B485" s="79">
        <f t="shared" si="21"/>
        <v>5</v>
      </c>
      <c r="C485" s="78" t="s">
        <v>847</v>
      </c>
      <c r="D485" s="78" t="s">
        <v>821</v>
      </c>
      <c r="E485" s="78" t="s">
        <v>829</v>
      </c>
      <c r="F485" s="81">
        <v>1</v>
      </c>
      <c r="G485" s="950">
        <f>VLOOKUP(C485,[13]Лист_1!$A:$I,5,0)</f>
        <v>100009</v>
      </c>
      <c r="H485" s="950">
        <f>VLOOKUP(C485,[13]Лист_1!$A:$I,7,0)</f>
        <v>24252.06</v>
      </c>
    </row>
    <row r="486" spans="1:8" hidden="1">
      <c r="A486" s="78" t="s">
        <v>819</v>
      </c>
      <c r="B486" s="79">
        <f t="shared" si="21"/>
        <v>5</v>
      </c>
      <c r="C486" s="84" t="s">
        <v>919</v>
      </c>
      <c r="D486" s="78" t="s">
        <v>821</v>
      </c>
      <c r="E486" s="78" t="s">
        <v>822</v>
      </c>
      <c r="F486" s="81">
        <v>1</v>
      </c>
      <c r="G486" s="950">
        <f>VLOOKUP(C486,[13]Лист_1!$A:$I,5,0)</f>
        <v>80275</v>
      </c>
      <c r="H486" s="950">
        <f>VLOOKUP(C486,[13]Лист_1!$A:$I,7,0)</f>
        <v>19192.060000000001</v>
      </c>
    </row>
    <row r="487" spans="1:8" hidden="1">
      <c r="A487" s="78" t="s">
        <v>819</v>
      </c>
      <c r="B487" s="79">
        <f t="shared" si="21"/>
        <v>5</v>
      </c>
      <c r="C487" s="80" t="s">
        <v>848</v>
      </c>
      <c r="D487" s="78" t="s">
        <v>821</v>
      </c>
      <c r="E487" s="78" t="s">
        <v>826</v>
      </c>
      <c r="F487" s="81">
        <v>1</v>
      </c>
      <c r="G487" s="950">
        <f>VLOOKUP(C487,[13]Лист_1!$A:$I,5,0)</f>
        <v>102077.3</v>
      </c>
      <c r="H487" s="950">
        <f>VLOOKUP(C487,[13]Лист_1!$A:$I,7,0)</f>
        <v>24404.76</v>
      </c>
    </row>
    <row r="488" spans="1:8" hidden="1">
      <c r="A488" s="78" t="s">
        <v>819</v>
      </c>
      <c r="B488" s="79">
        <f t="shared" si="21"/>
        <v>5</v>
      </c>
      <c r="C488" s="78" t="s">
        <v>849</v>
      </c>
      <c r="D488" s="78" t="s">
        <v>821</v>
      </c>
      <c r="E488" s="78" t="s">
        <v>824</v>
      </c>
      <c r="F488" s="81">
        <v>1</v>
      </c>
      <c r="G488" s="950">
        <f>VLOOKUP(C488,[13]Лист_1!$A:$I,5,0)</f>
        <v>96399.12</v>
      </c>
      <c r="H488" s="950">
        <f>VLOOKUP(C488,[13]Лист_1!$A:$I,7,0)</f>
        <v>23046.65</v>
      </c>
    </row>
    <row r="489" spans="1:8" hidden="1">
      <c r="A489" s="78" t="s">
        <v>819</v>
      </c>
      <c r="B489" s="79">
        <f>B488</f>
        <v>5</v>
      </c>
      <c r="C489" s="90" t="s">
        <v>1044</v>
      </c>
      <c r="D489" s="78" t="s">
        <v>821</v>
      </c>
      <c r="E489" s="78" t="s">
        <v>826</v>
      </c>
      <c r="F489" s="81">
        <v>1</v>
      </c>
      <c r="G489" s="950">
        <v>74470</v>
      </c>
      <c r="H489" s="950">
        <v>0</v>
      </c>
    </row>
    <row r="490" spans="1:8" hidden="1">
      <c r="A490" s="78" t="s">
        <v>819</v>
      </c>
      <c r="B490" s="79">
        <f>B488</f>
        <v>5</v>
      </c>
      <c r="C490" s="78" t="s">
        <v>851</v>
      </c>
      <c r="D490" s="78" t="s">
        <v>821</v>
      </c>
      <c r="E490" s="78" t="s">
        <v>826</v>
      </c>
      <c r="F490" s="81">
        <v>1</v>
      </c>
      <c r="G490" s="950">
        <f>VLOOKUP(C490,[13]Лист_1!$A:$I,5,0)</f>
        <v>70269</v>
      </c>
      <c r="H490" s="950">
        <f>VLOOKUP(C490,[13]Лист_1!$A:$I,7,0)</f>
        <v>16801.060000000001</v>
      </c>
    </row>
    <row r="491" spans="1:8" hidden="1">
      <c r="A491" s="78" t="s">
        <v>819</v>
      </c>
      <c r="B491" s="79">
        <f>B489</f>
        <v>5</v>
      </c>
      <c r="C491" s="84" t="s">
        <v>853</v>
      </c>
      <c r="D491" s="78" t="s">
        <v>821</v>
      </c>
      <c r="E491" s="78" t="s">
        <v>836</v>
      </c>
      <c r="F491" s="81">
        <v>1</v>
      </c>
      <c r="G491" s="950">
        <f>VLOOKUP(C491,[13]Лист_1!$A:$I,5,0)</f>
        <v>120060</v>
      </c>
      <c r="H491" s="950">
        <f>VLOOKUP(C491,[13]Лист_1!$A:$I,7,0)</f>
        <v>28704</v>
      </c>
    </row>
    <row r="492" spans="1:8" hidden="1">
      <c r="A492" s="78" t="s">
        <v>819</v>
      </c>
      <c r="B492" s="79">
        <f t="shared" si="21"/>
        <v>5</v>
      </c>
      <c r="C492" s="84" t="s">
        <v>1061</v>
      </c>
      <c r="D492" s="78" t="s">
        <v>821</v>
      </c>
      <c r="E492" s="78" t="s">
        <v>826</v>
      </c>
      <c r="F492" s="81">
        <v>1</v>
      </c>
      <c r="G492" s="950">
        <f>VLOOKUP(C492,[13]Лист_1!$A:$I,5,0)</f>
        <v>51363.89</v>
      </c>
      <c r="H492" s="950">
        <f>VLOOKUP(C492,[13]Лист_1!$A:$I,7,0)</f>
        <v>12280.03</v>
      </c>
    </row>
    <row r="493" spans="1:8" hidden="1">
      <c r="A493" s="78" t="s">
        <v>819</v>
      </c>
      <c r="B493" s="79">
        <f t="shared" si="21"/>
        <v>5</v>
      </c>
      <c r="C493" s="91" t="s">
        <v>855</v>
      </c>
      <c r="D493" s="78" t="s">
        <v>821</v>
      </c>
      <c r="E493" s="91" t="s">
        <v>822</v>
      </c>
      <c r="F493" s="81">
        <v>1</v>
      </c>
      <c r="G493" s="950">
        <f>VLOOKUP(C493,[13]Лист_1!$A:$I,5,0)</f>
        <v>54520.22</v>
      </c>
      <c r="H493" s="950">
        <f>VLOOKUP(C493,[13]Лист_1!$A:$I,7,0)</f>
        <v>13035.03</v>
      </c>
    </row>
    <row r="494" spans="1:8" hidden="1">
      <c r="A494" s="78" t="s">
        <v>819</v>
      </c>
      <c r="B494" s="79">
        <f t="shared" si="21"/>
        <v>5</v>
      </c>
      <c r="C494" s="78" t="s">
        <v>856</v>
      </c>
      <c r="D494" s="78" t="s">
        <v>821</v>
      </c>
      <c r="E494" s="78" t="s">
        <v>826</v>
      </c>
      <c r="F494" s="81">
        <v>1</v>
      </c>
      <c r="G494" s="950">
        <f>VLOOKUP(C494,[13]Лист_1!$A:$I,5,0)</f>
        <v>120250</v>
      </c>
      <c r="H494" s="950">
        <f>VLOOKUP(C494,[13]Лист_1!$A:$I,7,0)</f>
        <v>28749.01</v>
      </c>
    </row>
    <row r="495" spans="1:8" hidden="1">
      <c r="A495" s="78" t="s">
        <v>819</v>
      </c>
      <c r="B495" s="79">
        <f t="shared" si="21"/>
        <v>5</v>
      </c>
      <c r="C495" s="78" t="s">
        <v>857</v>
      </c>
      <c r="D495" s="78" t="s">
        <v>821</v>
      </c>
      <c r="E495" s="78" t="s">
        <v>824</v>
      </c>
      <c r="F495" s="81">
        <v>1</v>
      </c>
      <c r="G495" s="950">
        <f>VLOOKUP(C495,[13]Лист_1!$A:$I,5,0)</f>
        <v>71354.78</v>
      </c>
      <c r="H495" s="950">
        <f>VLOOKUP(C495,[13]Лист_1!$A:$I,7,0)</f>
        <v>17060.39</v>
      </c>
    </row>
    <row r="496" spans="1:8" hidden="1">
      <c r="A496" s="78" t="s">
        <v>819</v>
      </c>
      <c r="B496" s="79">
        <f t="shared" si="21"/>
        <v>5</v>
      </c>
      <c r="C496" s="90" t="s">
        <v>1062</v>
      </c>
      <c r="D496" s="78" t="s">
        <v>821</v>
      </c>
      <c r="E496" s="78" t="s">
        <v>822</v>
      </c>
      <c r="F496" s="81">
        <v>1</v>
      </c>
      <c r="G496" s="950">
        <f>VLOOKUP(C496,[13]Лист_1!$A:$I,5,0)</f>
        <v>55245</v>
      </c>
      <c r="H496" s="950">
        <f>VLOOKUP(C496,[13]Лист_1!$A:$I,7,0)</f>
        <v>13208</v>
      </c>
    </row>
    <row r="497" spans="1:8" hidden="1">
      <c r="A497" s="78" t="s">
        <v>819</v>
      </c>
      <c r="B497" s="79">
        <f t="shared" si="21"/>
        <v>5</v>
      </c>
      <c r="C497" s="78" t="s">
        <v>858</v>
      </c>
      <c r="D497" s="78" t="s">
        <v>821</v>
      </c>
      <c r="E497" s="78" t="s">
        <v>826</v>
      </c>
      <c r="F497" s="81">
        <v>1</v>
      </c>
      <c r="G497" s="950">
        <f>VLOOKUP(C497,[13]Лист_1!$A:$I,5,0)</f>
        <v>80275</v>
      </c>
      <c r="H497" s="950">
        <f>VLOOKUP(C497,[13]Лист_1!$A:$I,7,0)</f>
        <v>19192.060000000001</v>
      </c>
    </row>
    <row r="498" spans="1:8" hidden="1">
      <c r="A498" s="78" t="s">
        <v>819</v>
      </c>
      <c r="B498" s="79">
        <f>B465</f>
        <v>5</v>
      </c>
      <c r="C498" s="91" t="s">
        <v>1063</v>
      </c>
      <c r="D498" s="78" t="s">
        <v>821</v>
      </c>
      <c r="E498" s="78" t="s">
        <v>824</v>
      </c>
      <c r="F498" s="81">
        <v>1</v>
      </c>
      <c r="G498" s="950">
        <f>VLOOKUP(C498,[13]Лист_1!$A:$I,5,0)</f>
        <v>19982</v>
      </c>
      <c r="H498" s="950">
        <f>VLOOKUP(C498,[13]Лист_1!$A:$I,7,0)</f>
        <v>4730.49</v>
      </c>
    </row>
    <row r="499" spans="1:8" hidden="1">
      <c r="A499" s="78" t="s">
        <v>819</v>
      </c>
      <c r="B499" s="79">
        <f>B466</f>
        <v>5</v>
      </c>
      <c r="C499" s="91" t="s">
        <v>862</v>
      </c>
      <c r="D499" s="78" t="s">
        <v>821</v>
      </c>
      <c r="E499" s="78" t="s">
        <v>822</v>
      </c>
      <c r="F499" s="81">
        <v>1</v>
      </c>
      <c r="G499" s="950">
        <f>VLOOKUP(C499,[13]Лист_1!$A:$I,5,0)</f>
        <v>65485</v>
      </c>
      <c r="H499" s="950">
        <f>VLOOKUP(C499,[13]Лист_1!$A:$I,7,0)</f>
        <v>15656.060000000001</v>
      </c>
    </row>
    <row r="500" spans="1:8" hidden="1">
      <c r="A500" s="78" t="s">
        <v>819</v>
      </c>
      <c r="B500" s="79">
        <f t="shared" si="21"/>
        <v>5</v>
      </c>
      <c r="C500" s="84" t="s">
        <v>863</v>
      </c>
      <c r="D500" s="78" t="s">
        <v>821</v>
      </c>
      <c r="E500" s="78" t="s">
        <v>829</v>
      </c>
      <c r="F500" s="81">
        <v>1</v>
      </c>
      <c r="G500" s="950">
        <f>VLOOKUP(C500,[13]Лист_1!$A:$I,5,0)</f>
        <v>70704</v>
      </c>
      <c r="H500" s="950">
        <f>VLOOKUP(C500,[13]Лист_1!$A:$I,7,0)</f>
        <v>16905.060000000001</v>
      </c>
    </row>
    <row r="501" spans="1:8" hidden="1">
      <c r="A501" s="78" t="s">
        <v>819</v>
      </c>
      <c r="B501" s="79">
        <f t="shared" si="21"/>
        <v>5</v>
      </c>
      <c r="C501" s="78" t="s">
        <v>1064</v>
      </c>
      <c r="D501" s="78" t="s">
        <v>821</v>
      </c>
      <c r="E501" s="78" t="s">
        <v>826</v>
      </c>
      <c r="F501" s="81">
        <v>1</v>
      </c>
      <c r="G501" s="950">
        <f>VLOOKUP(C501,[13]Лист_1!$A:$I,5,0)</f>
        <v>21023</v>
      </c>
      <c r="H501" s="950">
        <f>VLOOKUP(C501,[13]Лист_1!$A:$I,7,0)</f>
        <v>4977.46</v>
      </c>
    </row>
    <row r="502" spans="1:8" hidden="1">
      <c r="A502" s="78" t="s">
        <v>819</v>
      </c>
      <c r="B502" s="79">
        <f t="shared" si="21"/>
        <v>5</v>
      </c>
      <c r="C502" s="84" t="s">
        <v>865</v>
      </c>
      <c r="D502" s="78" t="s">
        <v>821</v>
      </c>
      <c r="E502" s="78" t="s">
        <v>822</v>
      </c>
      <c r="F502" s="81">
        <v>1</v>
      </c>
      <c r="G502" s="950">
        <f>VLOOKUP(C502,[13]Лист_1!$A:$I,5,0)</f>
        <v>127438.35</v>
      </c>
      <c r="H502" s="950">
        <f>VLOOKUP(C502,[13]Лист_1!$A:$I,7,0)</f>
        <v>30692.77</v>
      </c>
    </row>
    <row r="503" spans="1:8" hidden="1">
      <c r="A503" s="78" t="s">
        <v>819</v>
      </c>
      <c r="B503" s="79">
        <f>B502</f>
        <v>5</v>
      </c>
      <c r="C503" s="84" t="s">
        <v>1040</v>
      </c>
      <c r="D503" s="78" t="s">
        <v>821</v>
      </c>
      <c r="E503" s="78" t="s">
        <v>822</v>
      </c>
      <c r="F503" s="81">
        <v>1</v>
      </c>
      <c r="G503" s="950">
        <f>VLOOKUP(C503,[13]Лист_1!$A:$I,5,0)</f>
        <v>110290</v>
      </c>
      <c r="H503" s="950">
        <f>VLOOKUP(C503,[13]Лист_1!$A:$I,7,0)</f>
        <v>26368.06</v>
      </c>
    </row>
    <row r="504" spans="1:8" hidden="1">
      <c r="A504" s="78" t="s">
        <v>819</v>
      </c>
      <c r="B504" s="79">
        <f>B502</f>
        <v>5</v>
      </c>
      <c r="C504" s="91" t="s">
        <v>866</v>
      </c>
      <c r="D504" s="78" t="s">
        <v>821</v>
      </c>
      <c r="E504" s="78" t="s">
        <v>826</v>
      </c>
      <c r="F504" s="81">
        <v>1</v>
      </c>
      <c r="G504" s="950">
        <f>VLOOKUP(C504,[13]Лист_1!$A:$I,5,0)</f>
        <v>65311</v>
      </c>
      <c r="H504" s="950">
        <f>VLOOKUP(C504,[13]Лист_1!$A:$I,7,0)</f>
        <v>15614.46</v>
      </c>
    </row>
    <row r="505" spans="1:8" hidden="1">
      <c r="A505" s="78" t="s">
        <v>819</v>
      </c>
      <c r="B505" s="79">
        <f>B504</f>
        <v>5</v>
      </c>
      <c r="C505" s="80" t="s">
        <v>867</v>
      </c>
      <c r="D505" s="78" t="s">
        <v>821</v>
      </c>
      <c r="E505" s="78" t="s">
        <v>822</v>
      </c>
      <c r="F505" s="81">
        <v>1</v>
      </c>
      <c r="G505" s="950">
        <f>VLOOKUP(C505,[13]Лист_1!$A:$I,5,0)</f>
        <v>70270</v>
      </c>
      <c r="H505" s="950">
        <f>VLOOKUP(C505,[13]Лист_1!$A:$I,7,0)</f>
        <v>16800.060000000001</v>
      </c>
    </row>
    <row r="506" spans="1:8" hidden="1">
      <c r="A506" s="78" t="s">
        <v>819</v>
      </c>
      <c r="B506" s="79">
        <f t="shared" si="21"/>
        <v>5</v>
      </c>
      <c r="C506" s="80" t="s">
        <v>868</v>
      </c>
      <c r="D506" s="78" t="s">
        <v>821</v>
      </c>
      <c r="E506" s="78" t="s">
        <v>826</v>
      </c>
      <c r="F506" s="81">
        <v>1</v>
      </c>
      <c r="G506" s="950">
        <f>VLOOKUP(C506,[13]Лист_1!$A:$I,5,0)</f>
        <v>70581</v>
      </c>
      <c r="H506" s="950">
        <f>VLOOKUP(C506,[13]Лист_1!$A:$I,7,0)</f>
        <v>16198</v>
      </c>
    </row>
    <row r="507" spans="1:8" hidden="1">
      <c r="A507" s="78" t="s">
        <v>819</v>
      </c>
      <c r="B507" s="79">
        <f t="shared" si="21"/>
        <v>5</v>
      </c>
      <c r="C507" s="90" t="s">
        <v>869</v>
      </c>
      <c r="D507" s="78" t="s">
        <v>821</v>
      </c>
      <c r="E507" s="78" t="s">
        <v>822</v>
      </c>
      <c r="F507" s="81">
        <v>1</v>
      </c>
      <c r="G507" s="950">
        <f>VLOOKUP(C507,[13]Лист_1!$A:$I,5,0)</f>
        <v>75233</v>
      </c>
      <c r="H507" s="950">
        <f>VLOOKUP(C507,[13]Лист_1!$A:$I,7,0)</f>
        <v>17987.05</v>
      </c>
    </row>
    <row r="508" spans="1:8" hidden="1">
      <c r="A508" s="78" t="s">
        <v>819</v>
      </c>
      <c r="B508" s="79">
        <f t="shared" si="21"/>
        <v>5</v>
      </c>
      <c r="C508" s="90" t="s">
        <v>1065</v>
      </c>
      <c r="D508" s="78" t="s">
        <v>821</v>
      </c>
      <c r="E508" s="78" t="s">
        <v>822</v>
      </c>
      <c r="F508" s="81">
        <v>1</v>
      </c>
      <c r="G508" s="950">
        <f>VLOOKUP(C508,[13]Лист_1!$A:$I,5,0)</f>
        <v>52200</v>
      </c>
      <c r="H508" s="950">
        <f>VLOOKUP(C508,[13]Лист_1!$A:$I,7,0)</f>
        <v>12480</v>
      </c>
    </row>
    <row r="509" spans="1:8" hidden="1">
      <c r="A509" s="78" t="s">
        <v>819</v>
      </c>
      <c r="B509" s="79">
        <f t="shared" si="21"/>
        <v>5</v>
      </c>
      <c r="C509" s="78" t="s">
        <v>871</v>
      </c>
      <c r="D509" s="78" t="s">
        <v>821</v>
      </c>
      <c r="E509" s="78" t="s">
        <v>829</v>
      </c>
      <c r="F509" s="81">
        <v>1</v>
      </c>
      <c r="G509" s="950">
        <f>VLOOKUP(C509,[13]Лист_1!$A:$I,5,0)</f>
        <v>60265</v>
      </c>
      <c r="H509" s="950">
        <f>VLOOKUP(C509,[13]Лист_1!$A:$I,7,0)</f>
        <v>14408.060000000001</v>
      </c>
    </row>
    <row r="510" spans="1:8" hidden="1">
      <c r="A510" s="78" t="s">
        <v>819</v>
      </c>
      <c r="B510" s="79">
        <f t="shared" si="21"/>
        <v>5</v>
      </c>
      <c r="C510" s="78" t="s">
        <v>1066</v>
      </c>
      <c r="D510" s="78" t="s">
        <v>821</v>
      </c>
      <c r="E510" s="78" t="s">
        <v>824</v>
      </c>
      <c r="F510" s="81">
        <v>1</v>
      </c>
      <c r="G510" s="950">
        <f>VLOOKUP(C510,[13]Лист_1!$A:$I,5,0)</f>
        <v>95265</v>
      </c>
      <c r="H510" s="950">
        <f>VLOOKUP(C510,[13]Лист_1!$A:$I,7,0)</f>
        <v>22776</v>
      </c>
    </row>
    <row r="511" spans="1:8" hidden="1">
      <c r="A511" s="78" t="s">
        <v>819</v>
      </c>
      <c r="B511" s="79">
        <v>5</v>
      </c>
      <c r="C511" s="78" t="s">
        <v>873</v>
      </c>
      <c r="D511" s="78" t="s">
        <v>821</v>
      </c>
      <c r="E511" s="78" t="s">
        <v>843</v>
      </c>
      <c r="F511" s="81">
        <v>1</v>
      </c>
      <c r="G511" s="950">
        <f>VLOOKUP(C511,[13]Лист_1!$A:$I,5,0)</f>
        <v>94719</v>
      </c>
      <c r="H511" s="950">
        <f>VLOOKUP(C511,[13]Лист_1!$A:$I,7,0)</f>
        <v>23322</v>
      </c>
    </row>
    <row r="512" spans="1:8" hidden="1">
      <c r="A512" s="78" t="s">
        <v>819</v>
      </c>
      <c r="B512" s="79">
        <f t="shared" si="21"/>
        <v>5</v>
      </c>
      <c r="C512" s="91" t="s">
        <v>874</v>
      </c>
      <c r="D512" s="78" t="s">
        <v>821</v>
      </c>
      <c r="E512" s="78" t="s">
        <v>824</v>
      </c>
      <c r="F512" s="81">
        <v>1</v>
      </c>
      <c r="G512" s="950">
        <f>VLOOKUP(C512,[13]Лист_1!$A:$I,5,0)</f>
        <v>75265</v>
      </c>
      <c r="H512" s="950">
        <f>VLOOKUP(C512,[13]Лист_1!$A:$I,7,0)</f>
        <v>17994.93</v>
      </c>
    </row>
    <row r="513" spans="1:8" hidden="1">
      <c r="A513" s="78" t="s">
        <v>819</v>
      </c>
      <c r="B513" s="79">
        <f>B515</f>
        <v>5</v>
      </c>
      <c r="C513" s="85" t="s">
        <v>876</v>
      </c>
      <c r="D513" s="78" t="s">
        <v>821</v>
      </c>
      <c r="E513" s="78" t="s">
        <v>824</v>
      </c>
      <c r="F513" s="81">
        <v>1</v>
      </c>
      <c r="G513" s="950">
        <f>VLOOKUP(C513,[13]Лист_1!$A:$I,5,0)</f>
        <v>60961.440000000002</v>
      </c>
      <c r="H513" s="950">
        <f>VLOOKUP(C513,[13]Лист_1!$A:$I,7,0)</f>
        <v>14574.49</v>
      </c>
    </row>
    <row r="514" spans="1:8" hidden="1">
      <c r="A514" s="78" t="s">
        <v>819</v>
      </c>
      <c r="B514" s="79">
        <f t="shared" si="21"/>
        <v>5</v>
      </c>
      <c r="C514" s="84" t="s">
        <v>877</v>
      </c>
      <c r="D514" s="78" t="s">
        <v>821</v>
      </c>
      <c r="E514" s="91" t="s">
        <v>942</v>
      </c>
      <c r="F514" s="81">
        <v>1</v>
      </c>
      <c r="G514" s="950">
        <f>VLOOKUP(C514,[13]Лист_1!$A:$I,5,0)</f>
        <v>130065</v>
      </c>
      <c r="H514" s="950">
        <f>VLOOKUP(C514,[13]Лист_1!$A:$I,7,0)</f>
        <v>31096</v>
      </c>
    </row>
    <row r="515" spans="1:8" hidden="1">
      <c r="A515" s="78" t="s">
        <v>819</v>
      </c>
      <c r="B515" s="79">
        <f>B512</f>
        <v>5</v>
      </c>
      <c r="C515" s="84" t="s">
        <v>1041</v>
      </c>
      <c r="D515" s="78" t="s">
        <v>821</v>
      </c>
      <c r="E515" s="78" t="s">
        <v>822</v>
      </c>
      <c r="F515" s="81">
        <v>1</v>
      </c>
      <c r="G515" s="950">
        <f>VLOOKUP(C515,[13]Лист_1!$A:$I,5,0)</f>
        <v>120295</v>
      </c>
      <c r="H515" s="950">
        <f>VLOOKUP(C515,[13]Лист_1!$A:$I,7,0)</f>
        <v>28760.06</v>
      </c>
    </row>
    <row r="516" spans="1:8" hidden="1">
      <c r="A516" s="78" t="s">
        <v>819</v>
      </c>
      <c r="B516" s="79">
        <f>B514</f>
        <v>5</v>
      </c>
      <c r="C516" s="78" t="s">
        <v>878</v>
      </c>
      <c r="D516" s="78" t="s">
        <v>821</v>
      </c>
      <c r="E516" s="78" t="s">
        <v>836</v>
      </c>
      <c r="F516" s="81">
        <v>1</v>
      </c>
      <c r="G516" s="950">
        <f>VLOOKUP(C516,[13]Лист_1!$A:$I,5,0)</f>
        <v>80456</v>
      </c>
      <c r="H516" s="950">
        <f>VLOOKUP(C516,[13]Лист_1!$A:$I,7,0)</f>
        <v>19011.060000000001</v>
      </c>
    </row>
    <row r="517" spans="1:8" hidden="1">
      <c r="A517" s="78" t="s">
        <v>819</v>
      </c>
      <c r="B517" s="79">
        <f>B516</f>
        <v>5</v>
      </c>
      <c r="C517" s="80" t="s">
        <v>1067</v>
      </c>
      <c r="D517" s="78" t="s">
        <v>821</v>
      </c>
      <c r="E517" s="78" t="s">
        <v>826</v>
      </c>
      <c r="F517" s="81">
        <v>1</v>
      </c>
      <c r="G517" s="950">
        <f>VLOOKUP(C517,[13]Лист_1!$A:$I,5,0)</f>
        <v>89455.22</v>
      </c>
      <c r="H517" s="950">
        <f>VLOOKUP(C517,[13]Лист_1!$A:$I,7,0)</f>
        <v>21181.489999999998</v>
      </c>
    </row>
    <row r="518" spans="1:8" hidden="1">
      <c r="A518" s="78" t="s">
        <v>819</v>
      </c>
      <c r="B518" s="79">
        <f>B517</f>
        <v>5</v>
      </c>
      <c r="C518" s="78" t="s">
        <v>1070</v>
      </c>
      <c r="D518" s="78" t="s">
        <v>821</v>
      </c>
      <c r="E518" s="78" t="s">
        <v>824</v>
      </c>
      <c r="F518" s="81">
        <v>1</v>
      </c>
      <c r="G518" s="950">
        <f>VLOOKUP(C518,[13]Лист_1!$A:$I,5,0)</f>
        <v>11168.78</v>
      </c>
      <c r="H518" s="950">
        <f>VLOOKUP(C518,[13]Лист_1!$A:$I,7,0)</f>
        <v>2670.35</v>
      </c>
    </row>
    <row r="519" spans="1:8" hidden="1">
      <c r="A519" s="78" t="s">
        <v>819</v>
      </c>
      <c r="B519" s="79">
        <f>B516</f>
        <v>5</v>
      </c>
      <c r="C519" s="83" t="s">
        <v>879</v>
      </c>
      <c r="D519" s="78" t="s">
        <v>821</v>
      </c>
      <c r="E519" s="78" t="s">
        <v>822</v>
      </c>
      <c r="F519" s="81">
        <v>1</v>
      </c>
      <c r="G519" s="950">
        <f>VLOOKUP(C519,[13]Лист_1!$A:$I,5,0)</f>
        <v>120060</v>
      </c>
      <c r="H519" s="950">
        <f>VLOOKUP(C519,[13]Лист_1!$A:$I,7,0)</f>
        <v>28704.02</v>
      </c>
    </row>
    <row r="520" spans="1:8" hidden="1">
      <c r="A520" s="78" t="s">
        <v>819</v>
      </c>
      <c r="B520" s="79">
        <f t="shared" ref="B520:B541" si="22">B519</f>
        <v>5</v>
      </c>
      <c r="C520" s="83" t="s">
        <v>880</v>
      </c>
      <c r="D520" s="78" t="s">
        <v>821</v>
      </c>
      <c r="E520" s="78" t="s">
        <v>822</v>
      </c>
      <c r="F520" s="81">
        <v>1</v>
      </c>
      <c r="G520" s="950">
        <f>VLOOKUP(C520,[13]Лист_1!$A:$I,5,0)</f>
        <v>120060</v>
      </c>
      <c r="H520" s="950">
        <f>VLOOKUP(C520,[13]Лист_1!$A:$I,7,0)</f>
        <v>28704</v>
      </c>
    </row>
    <row r="521" spans="1:8" hidden="1">
      <c r="A521" s="78" t="s">
        <v>819</v>
      </c>
      <c r="B521" s="79">
        <f t="shared" si="22"/>
        <v>5</v>
      </c>
      <c r="C521" s="91" t="s">
        <v>881</v>
      </c>
      <c r="D521" s="78" t="s">
        <v>821</v>
      </c>
      <c r="E521" s="91" t="s">
        <v>942</v>
      </c>
      <c r="F521" s="81">
        <v>1</v>
      </c>
      <c r="G521" s="950">
        <v>104500</v>
      </c>
      <c r="H521" s="950">
        <v>0</v>
      </c>
    </row>
    <row r="522" spans="1:8" hidden="1">
      <c r="A522" s="78" t="s">
        <v>819</v>
      </c>
      <c r="B522" s="79">
        <f t="shared" si="22"/>
        <v>5</v>
      </c>
      <c r="C522" s="78" t="s">
        <v>882</v>
      </c>
      <c r="D522" s="78" t="s">
        <v>821</v>
      </c>
      <c r="E522" s="78" t="s">
        <v>822</v>
      </c>
      <c r="F522" s="81">
        <v>1</v>
      </c>
      <c r="G522" s="950">
        <f>VLOOKUP(C522,[13]Лист_1!$A:$I,5,0)</f>
        <v>75474.39</v>
      </c>
      <c r="H522" s="950">
        <f>VLOOKUP(C522,[13]Лист_1!$A:$I,7,0)</f>
        <v>18044.68</v>
      </c>
    </row>
    <row r="523" spans="1:8" hidden="1">
      <c r="A523" s="78" t="s">
        <v>819</v>
      </c>
      <c r="B523" s="79">
        <f>B522</f>
        <v>5</v>
      </c>
      <c r="C523" s="78" t="s">
        <v>1042</v>
      </c>
      <c r="D523" s="78" t="s">
        <v>821</v>
      </c>
      <c r="E523" s="78" t="s">
        <v>822</v>
      </c>
      <c r="F523" s="81">
        <v>1</v>
      </c>
      <c r="G523" s="950">
        <f>VLOOKUP(C523,[13]Лист_1!$A:$I,5,0)</f>
        <v>100285</v>
      </c>
      <c r="H523" s="950">
        <f>VLOOKUP(C523,[13]Лист_1!$A:$I,7,0)</f>
        <v>23976.06</v>
      </c>
    </row>
    <row r="524" spans="1:8" hidden="1">
      <c r="A524" s="78" t="s">
        <v>819</v>
      </c>
      <c r="B524" s="79">
        <f>B522</f>
        <v>5</v>
      </c>
      <c r="C524" s="80" t="s">
        <v>1068</v>
      </c>
      <c r="D524" s="78" t="s">
        <v>821</v>
      </c>
      <c r="E524" s="78" t="s">
        <v>826</v>
      </c>
      <c r="F524" s="81">
        <v>1</v>
      </c>
      <c r="G524" s="950">
        <f>VLOOKUP(C524,[13]Лист_1!$A:$I,5,0)</f>
        <v>60030</v>
      </c>
      <c r="H524" s="950">
        <f>VLOOKUP(C524,[13]Лист_1!$A:$I,7,0)</f>
        <v>14214</v>
      </c>
    </row>
    <row r="525" spans="1:8" hidden="1">
      <c r="A525" s="78" t="s">
        <v>819</v>
      </c>
      <c r="B525" s="79">
        <f t="shared" si="22"/>
        <v>5</v>
      </c>
      <c r="C525" s="90" t="s">
        <v>963</v>
      </c>
      <c r="D525" s="78" t="s">
        <v>821</v>
      </c>
      <c r="E525" s="78" t="s">
        <v>822</v>
      </c>
      <c r="F525" s="81">
        <v>1</v>
      </c>
      <c r="G525" s="950">
        <f>VLOOKUP(C525,[13]Лист_1!$A:$I,5,0)</f>
        <v>60810</v>
      </c>
      <c r="H525" s="950">
        <f>VLOOKUP(C525,[13]Лист_1!$A:$I,7,0)</f>
        <v>13863.060000000001</v>
      </c>
    </row>
    <row r="526" spans="1:8" hidden="1">
      <c r="A526" s="78" t="s">
        <v>819</v>
      </c>
      <c r="B526" s="79">
        <f t="shared" si="22"/>
        <v>5</v>
      </c>
      <c r="C526" s="91" t="s">
        <v>884</v>
      </c>
      <c r="D526" s="78" t="s">
        <v>821</v>
      </c>
      <c r="E526" s="78" t="s">
        <v>824</v>
      </c>
      <c r="F526" s="81">
        <v>1</v>
      </c>
      <c r="G526" s="950">
        <f>VLOOKUP(C526,[13]Лист_1!$A:$I,5,0)</f>
        <v>70000</v>
      </c>
      <c r="H526" s="950">
        <f>VLOOKUP(C526,[13]Лист_1!$A:$I,7,0)</f>
        <v>16574.96</v>
      </c>
    </row>
    <row r="527" spans="1:8" hidden="1">
      <c r="A527" s="78" t="s">
        <v>819</v>
      </c>
      <c r="B527" s="79">
        <f>B525</f>
        <v>5</v>
      </c>
      <c r="C527" s="80" t="s">
        <v>1053</v>
      </c>
      <c r="D527" s="78" t="s">
        <v>821</v>
      </c>
      <c r="E527" s="78" t="s">
        <v>836</v>
      </c>
      <c r="F527" s="81">
        <v>1</v>
      </c>
      <c r="G527" s="950">
        <f>VLOOKUP(C527,[13]Лист_1!$A:$I,5,0)</f>
        <v>65311</v>
      </c>
      <c r="H527" s="950">
        <f>VLOOKUP(C527,[13]Лист_1!$A:$I,7,0)</f>
        <v>15614.46</v>
      </c>
    </row>
    <row r="528" spans="1:8" hidden="1">
      <c r="A528" s="78" t="s">
        <v>819</v>
      </c>
      <c r="B528" s="79">
        <f>B526</f>
        <v>5</v>
      </c>
      <c r="C528" s="80" t="s">
        <v>886</v>
      </c>
      <c r="D528" s="78" t="s">
        <v>821</v>
      </c>
      <c r="E528" s="78" t="s">
        <v>822</v>
      </c>
      <c r="F528" s="81">
        <v>1</v>
      </c>
      <c r="G528" s="950">
        <f>VLOOKUP(C528,[13]Лист_1!$A:$I,5,0)</f>
        <v>100050</v>
      </c>
      <c r="H528" s="950">
        <f>VLOOKUP(C528,[13]Лист_1!$A:$I,7,0)</f>
        <v>23920</v>
      </c>
    </row>
    <row r="529" spans="1:9" hidden="1">
      <c r="A529" s="78" t="s">
        <v>819</v>
      </c>
      <c r="B529" s="79">
        <f t="shared" si="22"/>
        <v>5</v>
      </c>
      <c r="C529" s="80" t="s">
        <v>888</v>
      </c>
      <c r="D529" s="78" t="s">
        <v>821</v>
      </c>
      <c r="E529" s="78" t="s">
        <v>822</v>
      </c>
      <c r="F529" s="81">
        <v>1</v>
      </c>
      <c r="G529" s="950">
        <f>VLOOKUP(C529,[13]Лист_1!$A:$I,5,0)</f>
        <v>38351.71</v>
      </c>
      <c r="H529" s="950">
        <f>VLOOKUP(C529,[13]Лист_1!$A:$I,7,0)</f>
        <v>9169.4500000000007</v>
      </c>
    </row>
    <row r="530" spans="1:9" hidden="1">
      <c r="A530" s="78" t="s">
        <v>910</v>
      </c>
      <c r="B530" s="79">
        <f t="shared" si="22"/>
        <v>5</v>
      </c>
      <c r="C530" s="83" t="s">
        <v>914</v>
      </c>
      <c r="D530" s="78" t="s">
        <v>832</v>
      </c>
      <c r="E530" s="78" t="s">
        <v>172</v>
      </c>
      <c r="F530" s="81">
        <v>1</v>
      </c>
      <c r="G530" s="950">
        <f>VLOOKUP(C530,[13]Лист_1!$A:$I,5,0)</f>
        <v>80040</v>
      </c>
      <c r="H530" s="950">
        <f>VLOOKUP(C530,[13]Лист_1!$A:$I,7,0)</f>
        <v>19136</v>
      </c>
    </row>
    <row r="531" spans="1:9" hidden="1">
      <c r="A531" s="78" t="s">
        <v>910</v>
      </c>
      <c r="B531" s="79">
        <f t="shared" si="22"/>
        <v>5</v>
      </c>
      <c r="C531" s="78" t="s">
        <v>917</v>
      </c>
      <c r="D531" s="78" t="s">
        <v>821</v>
      </c>
      <c r="E531" s="78" t="s">
        <v>172</v>
      </c>
      <c r="F531" s="81">
        <v>1</v>
      </c>
      <c r="G531" s="950">
        <f>VLOOKUP(C531,[13]Лист_1!$A:$I,5,0)</f>
        <v>134445.51</v>
      </c>
      <c r="H531" s="950">
        <f>VLOOKUP(C531,[13]Лист_1!$A:$I,7,0)</f>
        <v>32142.690000000002</v>
      </c>
    </row>
    <row r="532" spans="1:9" ht="26.4" hidden="1">
      <c r="A532" s="78" t="s">
        <v>905</v>
      </c>
      <c r="B532" s="79">
        <f t="shared" si="22"/>
        <v>5</v>
      </c>
      <c r="C532" s="92" t="s">
        <v>909</v>
      </c>
      <c r="D532" s="78" t="s">
        <v>832</v>
      </c>
      <c r="E532" s="78" t="s">
        <v>172</v>
      </c>
      <c r="F532" s="81">
        <v>1</v>
      </c>
      <c r="G532" s="950">
        <v>50000</v>
      </c>
      <c r="H532" s="950">
        <v>11954</v>
      </c>
    </row>
    <row r="533" spans="1:9" hidden="1">
      <c r="A533" s="78" t="s">
        <v>905</v>
      </c>
      <c r="B533" s="79">
        <f>B531</f>
        <v>5</v>
      </c>
      <c r="C533" s="84" t="s">
        <v>908</v>
      </c>
      <c r="D533" s="78" t="s">
        <v>832</v>
      </c>
      <c r="E533" s="78" t="s">
        <v>173</v>
      </c>
      <c r="F533" s="81">
        <v>1</v>
      </c>
      <c r="G533" s="950">
        <f>VLOOKUP(C533,[13]Лист_1!$A:$I,5,0)</f>
        <v>87531</v>
      </c>
      <c r="H533" s="950">
        <f>VLOOKUP(C533,[13]Лист_1!$A:$I,7,0)</f>
        <v>20926.580000000002</v>
      </c>
    </row>
    <row r="534" spans="1:9" hidden="1">
      <c r="A534" s="78" t="s">
        <v>905</v>
      </c>
      <c r="B534" s="79">
        <f t="shared" si="22"/>
        <v>5</v>
      </c>
      <c r="C534" s="78" t="s">
        <v>907</v>
      </c>
      <c r="D534" s="78" t="s">
        <v>832</v>
      </c>
      <c r="E534" s="78" t="s">
        <v>173</v>
      </c>
      <c r="F534" s="81">
        <v>1</v>
      </c>
      <c r="G534" s="950">
        <f>VLOOKUP(C534,[13]Лист_1!$A:$I,5,0)</f>
        <v>114348</v>
      </c>
      <c r="H534" s="950">
        <f>VLOOKUP(C534,[13]Лист_1!$A:$I,7,0)</f>
        <v>27563.160000000003</v>
      </c>
    </row>
    <row r="535" spans="1:9" ht="26.4" hidden="1">
      <c r="A535" s="78" t="s">
        <v>905</v>
      </c>
      <c r="B535" s="79">
        <f t="shared" si="22"/>
        <v>5</v>
      </c>
      <c r="C535" s="92" t="s">
        <v>909</v>
      </c>
      <c r="D535" s="78" t="s">
        <v>832</v>
      </c>
      <c r="E535" s="78" t="s">
        <v>173</v>
      </c>
      <c r="F535" s="81">
        <v>1</v>
      </c>
      <c r="G535" s="950">
        <f>VLOOKUP(C535,[13]Лист_1!$A:$I,5,0)-G532</f>
        <v>210310</v>
      </c>
      <c r="H535" s="950">
        <f>VLOOKUP(C535,[13]Лист_1!$A:$I,7,0)-H532</f>
        <v>50281.14</v>
      </c>
    </row>
    <row r="536" spans="1:9" hidden="1">
      <c r="A536" s="78" t="s">
        <v>905</v>
      </c>
      <c r="B536" s="79">
        <f>B535</f>
        <v>5</v>
      </c>
      <c r="C536" s="84" t="s">
        <v>850</v>
      </c>
      <c r="D536" s="78" t="s">
        <v>832</v>
      </c>
      <c r="E536" s="78" t="s">
        <v>173</v>
      </c>
      <c r="F536" s="81">
        <v>1</v>
      </c>
      <c r="G536" s="950">
        <f>VLOOKUP(C536,[13]Лист_1!$A:$I,5,0)</f>
        <v>95134</v>
      </c>
      <c r="H536" s="950">
        <f>VLOOKUP(C536,[13]Лист_1!$A:$I,7,0)</f>
        <v>22970.6</v>
      </c>
    </row>
    <row r="537" spans="1:9" ht="26.4" hidden="1">
      <c r="A537" s="91" t="s">
        <v>819</v>
      </c>
      <c r="B537" s="79">
        <f>B535</f>
        <v>5</v>
      </c>
      <c r="C537" s="80" t="s">
        <v>906</v>
      </c>
      <c r="D537" s="78" t="s">
        <v>821</v>
      </c>
      <c r="E537" s="963" t="s">
        <v>942</v>
      </c>
      <c r="F537" s="81">
        <v>1</v>
      </c>
      <c r="G537" s="950">
        <f>VLOOKUP(C537,[13]Лист_1!$A:$I,5,0)</f>
        <v>83571.33</v>
      </c>
      <c r="H537" s="950">
        <f>VLOOKUP(C537,[13]Лист_1!$A:$I,7,0)</f>
        <v>19979.55</v>
      </c>
    </row>
    <row r="538" spans="1:9" ht="26.4" hidden="1">
      <c r="A538" s="78" t="s">
        <v>905</v>
      </c>
      <c r="B538" s="79">
        <f t="shared" si="22"/>
        <v>5</v>
      </c>
      <c r="C538" s="92" t="s">
        <v>962</v>
      </c>
      <c r="D538" s="78" t="s">
        <v>832</v>
      </c>
      <c r="E538" s="78" t="s">
        <v>173</v>
      </c>
      <c r="F538" s="81">
        <v>1</v>
      </c>
      <c r="G538" s="950">
        <f>VLOOKUP(C538,[13]Лист_1!$A:$I,5,0)</f>
        <v>95627</v>
      </c>
      <c r="H538" s="950">
        <f>VLOOKUP(C538,[13]Лист_1!$A:$I,7,0)</f>
        <v>22186.550000000003</v>
      </c>
    </row>
    <row r="539" spans="1:9" hidden="1">
      <c r="A539" s="78" t="s">
        <v>890</v>
      </c>
      <c r="B539" s="79">
        <f t="shared" si="22"/>
        <v>5</v>
      </c>
      <c r="C539" s="80" t="s">
        <v>891</v>
      </c>
      <c r="D539" s="78" t="s">
        <v>832</v>
      </c>
      <c r="E539" s="78" t="s">
        <v>210</v>
      </c>
      <c r="F539" s="81">
        <v>1</v>
      </c>
      <c r="G539" s="1841">
        <v>856859</v>
      </c>
      <c r="H539" s="1841">
        <v>234616</v>
      </c>
    </row>
    <row r="540" spans="1:9" hidden="1">
      <c r="A540" s="78" t="s">
        <v>890</v>
      </c>
      <c r="B540" s="79">
        <f t="shared" si="22"/>
        <v>5</v>
      </c>
      <c r="C540" s="84" t="s">
        <v>892</v>
      </c>
      <c r="D540" s="78" t="s">
        <v>832</v>
      </c>
      <c r="E540" s="78" t="s">
        <v>210</v>
      </c>
      <c r="F540" s="81">
        <v>1</v>
      </c>
      <c r="G540" s="1842"/>
      <c r="H540" s="1842"/>
    </row>
    <row r="541" spans="1:9" hidden="1">
      <c r="A541" s="78" t="s">
        <v>890</v>
      </c>
      <c r="B541" s="79">
        <f t="shared" si="22"/>
        <v>5</v>
      </c>
      <c r="C541" s="80" t="s">
        <v>894</v>
      </c>
      <c r="D541" s="78" t="s">
        <v>832</v>
      </c>
      <c r="E541" s="78" t="s">
        <v>210</v>
      </c>
      <c r="F541" s="81">
        <v>1</v>
      </c>
      <c r="G541" s="1843"/>
      <c r="H541" s="1843"/>
    </row>
    <row r="542" spans="1:9" hidden="1">
      <c r="A542" s="78" t="s">
        <v>340</v>
      </c>
      <c r="B542" s="79">
        <v>6</v>
      </c>
      <c r="C542" s="78" t="s">
        <v>904</v>
      </c>
      <c r="D542" s="78" t="s">
        <v>832</v>
      </c>
      <c r="E542" s="951" t="s">
        <v>180</v>
      </c>
      <c r="F542" s="81">
        <v>1</v>
      </c>
      <c r="G542" s="950">
        <f>VLOOKUP(C542,[14]Лист_1!$A$10:$G$91,6,0)</f>
        <v>13626</v>
      </c>
      <c r="H542" s="950">
        <f>VLOOKUP(C542,[14]Лист_1!$A$10:$G$91,7,0)</f>
        <v>3227.3900000000003</v>
      </c>
      <c r="I542" s="69"/>
    </row>
    <row r="543" spans="1:9" hidden="1">
      <c r="A543" s="78" t="s">
        <v>340</v>
      </c>
      <c r="B543" s="79">
        <f>B542</f>
        <v>6</v>
      </c>
      <c r="C543" s="78" t="s">
        <v>1038</v>
      </c>
      <c r="D543" s="78" t="s">
        <v>832</v>
      </c>
      <c r="E543" s="951" t="s">
        <v>180</v>
      </c>
      <c r="F543" s="81">
        <v>1</v>
      </c>
      <c r="G543" s="950">
        <f>VLOOKUP(C543,[14]Лист_1!$A$10:$G$91,6,0)</f>
        <v>150075</v>
      </c>
      <c r="H543" s="950">
        <f>VLOOKUP(C543,[14]Лист_1!$A$10:$G$91,7,0)</f>
        <v>35880</v>
      </c>
      <c r="I543" s="69"/>
    </row>
    <row r="544" spans="1:9" hidden="1">
      <c r="A544" s="78" t="s">
        <v>340</v>
      </c>
      <c r="B544" s="79">
        <f>B543</f>
        <v>6</v>
      </c>
      <c r="C544" s="91" t="s">
        <v>1100</v>
      </c>
      <c r="D544" s="78" t="s">
        <v>832</v>
      </c>
      <c r="E544" s="951" t="s">
        <v>180</v>
      </c>
      <c r="F544" s="81">
        <v>1</v>
      </c>
      <c r="G544" s="950">
        <f>VLOOKUP(C544,[14]Лист_1!$A$10:$G$91,6,0)</f>
        <v>37625.370000000003</v>
      </c>
      <c r="H544" s="950">
        <f>VLOOKUP(C544,[14]Лист_1!$A$10:$G$91,7,0)</f>
        <v>8995.2899999999991</v>
      </c>
      <c r="I544" s="69"/>
    </row>
    <row r="545" spans="1:9" hidden="1">
      <c r="A545" s="78" t="s">
        <v>340</v>
      </c>
      <c r="B545" s="79">
        <f>B544</f>
        <v>6</v>
      </c>
      <c r="C545" s="91" t="s">
        <v>1101</v>
      </c>
      <c r="D545" s="78" t="s">
        <v>832</v>
      </c>
      <c r="E545" s="951" t="s">
        <v>180</v>
      </c>
      <c r="F545" s="81">
        <v>1</v>
      </c>
      <c r="G545" s="950">
        <f>VLOOKUP(C545,[14]Лист_1!$A$10:$G$91,6,0)</f>
        <v>60394</v>
      </c>
      <c r="H545" s="950">
        <f>VLOOKUP(C545,[14]Лист_1!$A$10:$G$91,7,0)</f>
        <v>13988</v>
      </c>
      <c r="I545" s="69"/>
    </row>
    <row r="546" spans="1:9" hidden="1">
      <c r="A546" s="78" t="s">
        <v>339</v>
      </c>
      <c r="B546" s="79">
        <f>B542</f>
        <v>6</v>
      </c>
      <c r="C546" s="84" t="s">
        <v>901</v>
      </c>
      <c r="D546" s="78" t="s">
        <v>832</v>
      </c>
      <c r="E546" s="951" t="s">
        <v>9</v>
      </c>
      <c r="F546" s="81">
        <v>1</v>
      </c>
      <c r="G546" s="950">
        <f>VLOOKUP(C546,[14]Лист_1!$A$10:$G$91,6,0)</f>
        <v>8765</v>
      </c>
      <c r="H546" s="950">
        <f>VLOOKUP(C546,[14]Лист_1!$A$10:$G$91,7,0)</f>
        <v>2095.85</v>
      </c>
      <c r="I546" s="69"/>
    </row>
    <row r="547" spans="1:9" ht="26.4" hidden="1">
      <c r="A547" s="78" t="s">
        <v>339</v>
      </c>
      <c r="B547" s="79">
        <f>B543</f>
        <v>6</v>
      </c>
      <c r="C547" s="84" t="s">
        <v>1057</v>
      </c>
      <c r="D547" s="78" t="s">
        <v>832</v>
      </c>
      <c r="E547" s="951" t="s">
        <v>9</v>
      </c>
      <c r="F547" s="81">
        <v>1</v>
      </c>
      <c r="G547" s="950">
        <f>VLOOKUP(C547,[14]Лист_1!$A$10:$G$91,6,0)</f>
        <v>80222</v>
      </c>
      <c r="H547" s="950">
        <f>VLOOKUP(C547,[14]Лист_1!$A$10:$G$91,7,0)</f>
        <v>18954</v>
      </c>
      <c r="I547" s="69"/>
    </row>
    <row r="548" spans="1:9" hidden="1">
      <c r="A548" s="78" t="s">
        <v>339</v>
      </c>
      <c r="B548" s="79">
        <f>B546</f>
        <v>6</v>
      </c>
      <c r="C548" s="92" t="s">
        <v>902</v>
      </c>
      <c r="D548" s="78" t="s">
        <v>832</v>
      </c>
      <c r="E548" s="951" t="s">
        <v>9</v>
      </c>
      <c r="F548" s="81">
        <v>1</v>
      </c>
      <c r="G548" s="950">
        <v>50000</v>
      </c>
      <c r="H548" s="950"/>
      <c r="I548" s="69"/>
    </row>
    <row r="549" spans="1:9" hidden="1">
      <c r="A549" s="78" t="s">
        <v>339</v>
      </c>
      <c r="B549" s="79">
        <f t="shared" ref="B549:B603" si="23">B548</f>
        <v>6</v>
      </c>
      <c r="C549" s="84" t="s">
        <v>900</v>
      </c>
      <c r="D549" s="78" t="s">
        <v>832</v>
      </c>
      <c r="E549" s="951" t="s">
        <v>9</v>
      </c>
      <c r="F549" s="81">
        <v>1</v>
      </c>
      <c r="G549" s="950">
        <f>VLOOKUP(C549,[14]Лист_1!$A$10:$G$91,6,0)</f>
        <v>110510.49</v>
      </c>
      <c r="H549" s="950">
        <f>VLOOKUP(C549,[14]Лист_1!$A$10:$G$91,7,0)</f>
        <v>26420.829999999998</v>
      </c>
      <c r="I549" s="69"/>
    </row>
    <row r="550" spans="1:9" hidden="1">
      <c r="A550" s="78" t="s">
        <v>339</v>
      </c>
      <c r="B550" s="79">
        <f t="shared" si="23"/>
        <v>6</v>
      </c>
      <c r="C550" s="91" t="s">
        <v>1099</v>
      </c>
      <c r="D550" s="78" t="s">
        <v>832</v>
      </c>
      <c r="E550" s="951" t="s">
        <v>9</v>
      </c>
      <c r="F550" s="81">
        <v>1</v>
      </c>
      <c r="G550" s="950">
        <f>VLOOKUP(C550,[14]Лист_1!$A$10:$G$91,6,0)</f>
        <v>43223.16</v>
      </c>
      <c r="H550" s="950">
        <f>VLOOKUP(C550,[14]Лист_1!$A$10:$G$91,7,0)</f>
        <v>9882.5300000000007</v>
      </c>
      <c r="I550" s="69"/>
    </row>
    <row r="551" spans="1:9" hidden="1">
      <c r="A551" s="78" t="s">
        <v>339</v>
      </c>
      <c r="B551" s="79">
        <f t="shared" si="23"/>
        <v>6</v>
      </c>
      <c r="C551" s="91" t="s">
        <v>1106</v>
      </c>
      <c r="D551" s="78" t="s">
        <v>832</v>
      </c>
      <c r="E551" s="951" t="s">
        <v>9</v>
      </c>
      <c r="F551" s="81">
        <v>1</v>
      </c>
      <c r="G551" s="950">
        <v>8200</v>
      </c>
      <c r="H551" s="950"/>
      <c r="I551" s="69"/>
    </row>
    <row r="552" spans="1:9" hidden="1">
      <c r="A552" s="78" t="s">
        <v>339</v>
      </c>
      <c r="B552" s="79">
        <f t="shared" si="23"/>
        <v>6</v>
      </c>
      <c r="C552" s="255" t="s">
        <v>896</v>
      </c>
      <c r="D552" s="78" t="s">
        <v>832</v>
      </c>
      <c r="E552" s="951" t="s">
        <v>9</v>
      </c>
      <c r="F552" s="81">
        <v>1</v>
      </c>
      <c r="G552" s="950">
        <f>VLOOKUP(C552,[14]Лист_1!$A$10:$G$91,6,0)</f>
        <v>50025</v>
      </c>
      <c r="H552" s="950">
        <f>VLOOKUP(C552,[14]Лист_1!$A$10:$G$91,7,0)</f>
        <v>11960</v>
      </c>
      <c r="I552" s="69"/>
    </row>
    <row r="553" spans="1:9" hidden="1">
      <c r="A553" s="78" t="s">
        <v>339</v>
      </c>
      <c r="B553" s="79">
        <f t="shared" si="23"/>
        <v>6</v>
      </c>
      <c r="C553" s="80" t="s">
        <v>903</v>
      </c>
      <c r="D553" s="78" t="s">
        <v>832</v>
      </c>
      <c r="E553" s="951" t="s">
        <v>9</v>
      </c>
      <c r="F553" s="81">
        <v>1</v>
      </c>
      <c r="G553" s="950">
        <f>VLOOKUP(C553,[14]Лист_1!$A$10:$G$91,6,0)</f>
        <v>60030</v>
      </c>
      <c r="H553" s="950">
        <f>VLOOKUP(C553,[14]Лист_1!$A$10:$G$91,7,0)</f>
        <v>14352</v>
      </c>
      <c r="I553" s="69"/>
    </row>
    <row r="554" spans="1:9" hidden="1">
      <c r="A554" s="78" t="s">
        <v>819</v>
      </c>
      <c r="B554" s="79">
        <f>B553</f>
        <v>6</v>
      </c>
      <c r="C554" s="80" t="s">
        <v>820</v>
      </c>
      <c r="D554" s="78" t="s">
        <v>821</v>
      </c>
      <c r="E554" s="91" t="s">
        <v>918</v>
      </c>
      <c r="F554" s="81">
        <v>1</v>
      </c>
      <c r="G554" s="950">
        <f>VLOOKUP(C554,[14]Лист_1!$A$10:$G$91,6,0)</f>
        <v>182802.04</v>
      </c>
      <c r="H554" s="950">
        <f>VLOOKUP(C554,[14]Лист_1!$A$10:$G$91,7,0)</f>
        <v>43917.579999999994</v>
      </c>
      <c r="I554" s="69"/>
    </row>
    <row r="555" spans="1:9" hidden="1">
      <c r="A555" s="78" t="s">
        <v>819</v>
      </c>
      <c r="B555" s="79">
        <f>B554</f>
        <v>6</v>
      </c>
      <c r="C555" s="90" t="s">
        <v>825</v>
      </c>
      <c r="D555" s="78" t="s">
        <v>821</v>
      </c>
      <c r="E555" s="78" t="s">
        <v>822</v>
      </c>
      <c r="F555" s="81">
        <v>1</v>
      </c>
      <c r="G555" s="950">
        <f>VLOOKUP(C555,[14]Лист_1!$A$10:$G$91,6,0)</f>
        <v>90293</v>
      </c>
      <c r="H555" s="950">
        <f>VLOOKUP(C555,[14]Лист_1!$A$10:$G$91,7,0)</f>
        <v>21587.23</v>
      </c>
      <c r="I555" s="69"/>
    </row>
    <row r="556" spans="1:9" hidden="1">
      <c r="A556" s="78" t="s">
        <v>819</v>
      </c>
      <c r="B556" s="79">
        <f>B587</f>
        <v>6</v>
      </c>
      <c r="C556" s="84" t="s">
        <v>1039</v>
      </c>
      <c r="D556" s="78" t="s">
        <v>821</v>
      </c>
      <c r="E556" s="78" t="s">
        <v>829</v>
      </c>
      <c r="F556" s="81">
        <v>1</v>
      </c>
      <c r="G556" s="950">
        <f>VLOOKUP(C556,[14]Лист_1!$A$10:$G$91,6,0)</f>
        <v>65506</v>
      </c>
      <c r="H556" s="950">
        <f>VLOOKUP(C556,[14]Лист_1!$A$10:$G$91,7,0)</f>
        <v>15435.63</v>
      </c>
      <c r="I556" s="69"/>
    </row>
    <row r="557" spans="1:9" hidden="1">
      <c r="A557" s="78" t="s">
        <v>819</v>
      </c>
      <c r="B557" s="79">
        <f>B555</f>
        <v>6</v>
      </c>
      <c r="C557" s="80" t="s">
        <v>827</v>
      </c>
      <c r="D557" s="78" t="s">
        <v>821</v>
      </c>
      <c r="E557" s="78" t="s">
        <v>826</v>
      </c>
      <c r="F557" s="81">
        <v>1</v>
      </c>
      <c r="G557" s="950">
        <f>VLOOKUP(C557,[14]Лист_1!$A$10:$G$91,6,0)</f>
        <v>56742.45</v>
      </c>
      <c r="H557" s="950">
        <f>VLOOKUP(C557,[14]Лист_1!$A$10:$G$91,7,0)</f>
        <v>13340.980000000001</v>
      </c>
      <c r="I557" s="69"/>
    </row>
    <row r="558" spans="1:9" ht="26.4" hidden="1">
      <c r="A558" s="78" t="s">
        <v>819</v>
      </c>
      <c r="B558" s="79">
        <f t="shared" si="23"/>
        <v>6</v>
      </c>
      <c r="C558" s="80" t="s">
        <v>828</v>
      </c>
      <c r="D558" s="78" t="s">
        <v>821</v>
      </c>
      <c r="E558" s="78" t="s">
        <v>824</v>
      </c>
      <c r="F558" s="81">
        <v>1</v>
      </c>
      <c r="G558" s="950">
        <f>VLOOKUP(C558,[14]Лист_1!$A$10:$G$91,6,0)</f>
        <v>20121</v>
      </c>
      <c r="H558" s="950">
        <f>VLOOKUP(C558,[14]Лист_1!$A$10:$G$91,7,0)</f>
        <v>4810.9800000000005</v>
      </c>
      <c r="I558" s="69"/>
    </row>
    <row r="559" spans="1:9" hidden="1">
      <c r="A559" s="78" t="s">
        <v>819</v>
      </c>
      <c r="B559" s="79">
        <f t="shared" si="23"/>
        <v>6</v>
      </c>
      <c r="C559" s="80" t="s">
        <v>830</v>
      </c>
      <c r="D559" s="78" t="s">
        <v>821</v>
      </c>
      <c r="E559" s="91" t="s">
        <v>942</v>
      </c>
      <c r="F559" s="81">
        <v>1</v>
      </c>
      <c r="G559" s="950">
        <f>VLOOKUP(C559,[14]Лист_1!$A$10:$G$91,6,0)</f>
        <v>84746.53</v>
      </c>
      <c r="H559" s="950">
        <f>VLOOKUP(C559,[14]Лист_1!$A$10:$G$91,7,0)</f>
        <v>20262.03</v>
      </c>
      <c r="I559" s="69"/>
    </row>
    <row r="560" spans="1:9" hidden="1">
      <c r="A560" s="78" t="s">
        <v>819</v>
      </c>
      <c r="B560" s="79">
        <f t="shared" si="23"/>
        <v>6</v>
      </c>
      <c r="C560" s="80" t="s">
        <v>833</v>
      </c>
      <c r="D560" s="78" t="s">
        <v>821</v>
      </c>
      <c r="E560" s="78" t="s">
        <v>826</v>
      </c>
      <c r="F560" s="81">
        <v>1</v>
      </c>
      <c r="G560" s="950">
        <f>VLOOKUP(C560,[14]Лист_1!$A$10:$G$91,6,0)</f>
        <v>40690.26</v>
      </c>
      <c r="H560" s="950">
        <f>VLOOKUP(C560,[14]Лист_1!$A$10:$G$91,7,0)</f>
        <v>9728.0800000000017</v>
      </c>
      <c r="I560" s="69"/>
    </row>
    <row r="561" spans="1:9" hidden="1">
      <c r="A561" s="78" t="s">
        <v>819</v>
      </c>
      <c r="B561" s="79">
        <f t="shared" si="23"/>
        <v>6</v>
      </c>
      <c r="C561" s="80" t="s">
        <v>831</v>
      </c>
      <c r="D561" s="78" t="s">
        <v>821</v>
      </c>
      <c r="E561" s="78" t="s">
        <v>822</v>
      </c>
      <c r="F561" s="81">
        <v>1</v>
      </c>
      <c r="G561" s="950">
        <f>VLOOKUP(C561,[14]Лист_1!$A$10:$G$91,6,0)</f>
        <v>12483.26</v>
      </c>
      <c r="H561" s="950">
        <f>VLOOKUP(C561,[14]Лист_1!$A$10:$G$91,7,0)</f>
        <v>2810.21</v>
      </c>
      <c r="I561" s="69"/>
    </row>
    <row r="562" spans="1:9" hidden="1">
      <c r="A562" s="78" t="s">
        <v>819</v>
      </c>
      <c r="B562" s="79">
        <f t="shared" si="23"/>
        <v>6</v>
      </c>
      <c r="C562" s="80" t="s">
        <v>834</v>
      </c>
      <c r="D562" s="78" t="s">
        <v>821</v>
      </c>
      <c r="E562" s="91" t="s">
        <v>918</v>
      </c>
      <c r="F562" s="81">
        <v>1</v>
      </c>
      <c r="G562" s="950">
        <f>VLOOKUP(C562,[14]Лист_1!$A$10:$G$91,6,0)</f>
        <v>65250</v>
      </c>
      <c r="H562" s="950">
        <f>VLOOKUP(C562,[14]Лист_1!$A$10:$G$91,7,0)</f>
        <v>15600</v>
      </c>
      <c r="I562" s="69"/>
    </row>
    <row r="563" spans="1:9" hidden="1">
      <c r="A563" s="78" t="s">
        <v>819</v>
      </c>
      <c r="B563" s="79">
        <f>B562</f>
        <v>6</v>
      </c>
      <c r="C563" s="91" t="s">
        <v>1058</v>
      </c>
      <c r="D563" s="78" t="s">
        <v>821</v>
      </c>
      <c r="E563" s="91" t="s">
        <v>918</v>
      </c>
      <c r="F563" s="81">
        <v>1</v>
      </c>
      <c r="G563" s="950">
        <f>VLOOKUP(C563,[14]Лист_1!$A$10:$G$91,6,0)</f>
        <v>15608</v>
      </c>
      <c r="H563" s="950">
        <f>VLOOKUP(C563,[14]Лист_1!$A$10:$G$91,7,0)</f>
        <v>3695.44</v>
      </c>
      <c r="I563" s="69"/>
    </row>
    <row r="564" spans="1:9" hidden="1">
      <c r="A564" s="78" t="s">
        <v>819</v>
      </c>
      <c r="B564" s="79">
        <f t="shared" si="23"/>
        <v>6</v>
      </c>
      <c r="C564" s="90" t="s">
        <v>1098</v>
      </c>
      <c r="D564" s="78" t="s">
        <v>821</v>
      </c>
      <c r="E564" s="78" t="s">
        <v>824</v>
      </c>
      <c r="F564" s="81">
        <v>1</v>
      </c>
      <c r="G564" s="950">
        <f>VLOOKUP(C564,[14]Лист_1!$A$10:$G$91,6,0)</f>
        <v>7238</v>
      </c>
      <c r="H564" s="950">
        <f>VLOOKUP(C564,[14]Лист_1!$A$10:$G$91,7,0)</f>
        <v>1714.3200000000002</v>
      </c>
      <c r="I564" s="69"/>
    </row>
    <row r="565" spans="1:9" hidden="1">
      <c r="A565" s="78" t="s">
        <v>819</v>
      </c>
      <c r="B565" s="79">
        <f>B563</f>
        <v>6</v>
      </c>
      <c r="C565" s="91" t="s">
        <v>837</v>
      </c>
      <c r="D565" s="78" t="s">
        <v>821</v>
      </c>
      <c r="E565" s="78" t="s">
        <v>822</v>
      </c>
      <c r="F565" s="81">
        <v>1</v>
      </c>
      <c r="G565" s="950">
        <f>VLOOKUP(C565,[14]Лист_1!$A$10:$G$91,6,0)</f>
        <v>55245</v>
      </c>
      <c r="H565" s="950">
        <f>VLOOKUP(C565,[14]Лист_1!$A$10:$G$91,7,0)</f>
        <v>13208</v>
      </c>
      <c r="I565" s="69"/>
    </row>
    <row r="566" spans="1:9" hidden="1">
      <c r="A566" s="78" t="s">
        <v>819</v>
      </c>
      <c r="B566" s="79">
        <f t="shared" si="23"/>
        <v>6</v>
      </c>
      <c r="C566" s="91" t="s">
        <v>1096</v>
      </c>
      <c r="D566" s="78" t="s">
        <v>821</v>
      </c>
      <c r="E566" s="78" t="s">
        <v>824</v>
      </c>
      <c r="F566" s="81">
        <v>1</v>
      </c>
      <c r="G566" s="950">
        <f>VLOOKUP(C566,[14]Лист_1!$A$10:$G$91,6,0)+7000</f>
        <v>18501</v>
      </c>
      <c r="H566" s="950">
        <f>VLOOKUP(C566,[14]Лист_1!$A$10:$G$91,7,0)</f>
        <v>2722.64</v>
      </c>
      <c r="I566" s="69"/>
    </row>
    <row r="567" spans="1:9" hidden="1">
      <c r="A567" s="78" t="s">
        <v>819</v>
      </c>
      <c r="B567" s="79">
        <f>B565</f>
        <v>6</v>
      </c>
      <c r="C567" s="80" t="s">
        <v>1059</v>
      </c>
      <c r="D567" s="78" t="s">
        <v>821</v>
      </c>
      <c r="E567" s="78" t="s">
        <v>822</v>
      </c>
      <c r="F567" s="81">
        <v>1</v>
      </c>
      <c r="G567" s="950">
        <f>VLOOKUP(C567,[14]Лист_1!$A$10:$G$91,6,0)+26380</f>
        <v>120555.77</v>
      </c>
      <c r="H567" s="950">
        <f>VLOOKUP(C567,[14]Лист_1!$A$10:$G$91,7,0)</f>
        <v>22515.33</v>
      </c>
      <c r="I567" s="69"/>
    </row>
    <row r="568" spans="1:9" hidden="1">
      <c r="A568" s="78" t="s">
        <v>819</v>
      </c>
      <c r="B568" s="79">
        <f t="shared" si="23"/>
        <v>6</v>
      </c>
      <c r="C568" s="91" t="s">
        <v>1045</v>
      </c>
      <c r="D568" s="78" t="s">
        <v>821</v>
      </c>
      <c r="E568" s="78" t="s">
        <v>824</v>
      </c>
      <c r="F568" s="81">
        <v>1</v>
      </c>
      <c r="G568" s="950">
        <v>17438</v>
      </c>
      <c r="H568" s="950"/>
      <c r="I568" s="69"/>
    </row>
    <row r="569" spans="1:9" hidden="1">
      <c r="A569" s="78" t="s">
        <v>819</v>
      </c>
      <c r="B569" s="79">
        <f>B567</f>
        <v>6</v>
      </c>
      <c r="C569" s="92" t="s">
        <v>839</v>
      </c>
      <c r="D569" s="78" t="s">
        <v>821</v>
      </c>
      <c r="E569" s="78" t="s">
        <v>836</v>
      </c>
      <c r="F569" s="81">
        <v>1</v>
      </c>
      <c r="G569" s="950">
        <f>VLOOKUP(C569,[14]Лист_1!$A$10:$G$91,6,0)</f>
        <v>70035</v>
      </c>
      <c r="H569" s="950">
        <f>VLOOKUP(C569,[14]Лист_1!$A$10:$G$91,7,0)</f>
        <v>16744</v>
      </c>
      <c r="I569" s="69"/>
    </row>
    <row r="570" spans="1:9" hidden="1">
      <c r="A570" s="78" t="s">
        <v>819</v>
      </c>
      <c r="B570" s="79">
        <f t="shared" si="23"/>
        <v>6</v>
      </c>
      <c r="C570" s="78" t="s">
        <v>840</v>
      </c>
      <c r="D570" s="78" t="s">
        <v>821</v>
      </c>
      <c r="E570" s="78" t="s">
        <v>822</v>
      </c>
      <c r="F570" s="81">
        <v>1</v>
      </c>
      <c r="G570" s="950">
        <f>VLOOKUP(C570,[14]Лист_1!$A$10:$G$91,6,0)</f>
        <v>80288</v>
      </c>
      <c r="H570" s="950">
        <f>VLOOKUP(C570,[14]Лист_1!$A$10:$G$91,7,0)</f>
        <v>19195.23</v>
      </c>
      <c r="I570" s="69"/>
    </row>
    <row r="571" spans="1:9" hidden="1">
      <c r="A571" s="78" t="s">
        <v>819</v>
      </c>
      <c r="B571" s="79">
        <f t="shared" si="23"/>
        <v>6</v>
      </c>
      <c r="C571" s="78" t="s">
        <v>841</v>
      </c>
      <c r="D571" s="78" t="s">
        <v>821</v>
      </c>
      <c r="E571" s="78" t="s">
        <v>826</v>
      </c>
      <c r="F571" s="81">
        <v>1</v>
      </c>
      <c r="G571" s="950">
        <f>VLOOKUP(C571,[14]Лист_1!$A$10:$G$91,6,0)</f>
        <v>54013.37</v>
      </c>
      <c r="H571" s="950">
        <f>VLOOKUP(C571,[14]Лист_1!$A$10:$G$91,7,0)</f>
        <v>12913.58</v>
      </c>
      <c r="I571" s="69"/>
    </row>
    <row r="572" spans="1:9" hidden="1">
      <c r="A572" s="78" t="s">
        <v>819</v>
      </c>
      <c r="B572" s="79">
        <f t="shared" si="23"/>
        <v>6</v>
      </c>
      <c r="C572" s="84" t="s">
        <v>1060</v>
      </c>
      <c r="D572" s="78" t="s">
        <v>821</v>
      </c>
      <c r="E572" s="78" t="s">
        <v>843</v>
      </c>
      <c r="F572" s="81">
        <v>1</v>
      </c>
      <c r="G572" s="950">
        <f>VLOOKUP(C572,[14]Лист_1!$A$10:$G$91,6,0)</f>
        <v>100050</v>
      </c>
      <c r="H572" s="950">
        <f>VLOOKUP(C572,[14]Лист_1!$A$10:$G$91,7,0)</f>
        <v>23920</v>
      </c>
      <c r="I572" s="69"/>
    </row>
    <row r="573" spans="1:9" hidden="1">
      <c r="A573" s="78" t="s">
        <v>819</v>
      </c>
      <c r="B573" s="79">
        <f t="shared" si="23"/>
        <v>6</v>
      </c>
      <c r="C573" s="84" t="s">
        <v>844</v>
      </c>
      <c r="D573" s="78" t="s">
        <v>821</v>
      </c>
      <c r="E573" s="78" t="s">
        <v>826</v>
      </c>
      <c r="F573" s="81">
        <v>1</v>
      </c>
      <c r="G573" s="950">
        <f>VLOOKUP(C573,[14]Лист_1!$A$10:$G$91,6,0)</f>
        <v>63609.320000000007</v>
      </c>
      <c r="H573" s="950">
        <f>VLOOKUP(C573,[14]Лист_1!$A$10:$G$91,7,0)</f>
        <v>15883.82</v>
      </c>
      <c r="I573" s="69"/>
    </row>
    <row r="574" spans="1:9" hidden="1">
      <c r="A574" s="78" t="s">
        <v>819</v>
      </c>
      <c r="B574" s="79">
        <f t="shared" si="23"/>
        <v>6</v>
      </c>
      <c r="C574" s="84" t="s">
        <v>846</v>
      </c>
      <c r="D574" s="78" t="s">
        <v>821</v>
      </c>
      <c r="E574" s="91" t="s">
        <v>942</v>
      </c>
      <c r="F574" s="81">
        <v>1</v>
      </c>
      <c r="G574" s="950">
        <f>VLOOKUP(C574,[14]Лист_1!$A$10:$G$91,6,0)</f>
        <v>80223.53</v>
      </c>
      <c r="H574" s="950">
        <f>VLOOKUP(C574,[14]Лист_1!$A$10:$G$91,7,0)</f>
        <v>19179.419999999998</v>
      </c>
      <c r="I574" s="69"/>
    </row>
    <row r="575" spans="1:9" hidden="1">
      <c r="A575" s="78" t="s">
        <v>819</v>
      </c>
      <c r="B575" s="79">
        <f t="shared" si="23"/>
        <v>6</v>
      </c>
      <c r="C575" s="78" t="s">
        <v>847</v>
      </c>
      <c r="D575" s="78" t="s">
        <v>821</v>
      </c>
      <c r="E575" s="78" t="s">
        <v>829</v>
      </c>
      <c r="F575" s="81">
        <v>1</v>
      </c>
      <c r="G575" s="950">
        <f>VLOOKUP(C575,[14]Лист_1!$A$10:$G$91,6,0)</f>
        <v>100087</v>
      </c>
      <c r="H575" s="950">
        <f>VLOOKUP(C575,[14]Лист_1!$A$10:$G$91,7,0)</f>
        <v>24190.23</v>
      </c>
      <c r="I575" s="69"/>
    </row>
    <row r="576" spans="1:9" hidden="1">
      <c r="A576" s="78" t="s">
        <v>819</v>
      </c>
      <c r="B576" s="79">
        <f t="shared" si="23"/>
        <v>6</v>
      </c>
      <c r="C576" s="84" t="s">
        <v>919</v>
      </c>
      <c r="D576" s="78" t="s">
        <v>821</v>
      </c>
      <c r="E576" s="78" t="s">
        <v>822</v>
      </c>
      <c r="F576" s="81">
        <v>1</v>
      </c>
      <c r="G576" s="950">
        <f>VLOOKUP(C576,[14]Лист_1!$A$10:$G$91,6,0)</f>
        <v>73768.67</v>
      </c>
      <c r="H576" s="950">
        <f>VLOOKUP(C576,[14]Лист_1!$A$10:$G$91,7,0)</f>
        <v>17636.75</v>
      </c>
      <c r="I576" s="69"/>
    </row>
    <row r="577" spans="1:9" hidden="1">
      <c r="A577" s="78" t="s">
        <v>819</v>
      </c>
      <c r="B577" s="79">
        <f t="shared" si="23"/>
        <v>6</v>
      </c>
      <c r="C577" s="80" t="s">
        <v>848</v>
      </c>
      <c r="D577" s="78" t="s">
        <v>821</v>
      </c>
      <c r="E577" s="78" t="s">
        <v>826</v>
      </c>
      <c r="F577" s="81">
        <v>1</v>
      </c>
      <c r="G577" s="950">
        <f>VLOOKUP(C577,[14]Лист_1!$A$10:$G$91,6,0)</f>
        <v>40547.26</v>
      </c>
      <c r="H577" s="950">
        <f>VLOOKUP(C577,[14]Лист_1!$A$10:$G$91,7,0)</f>
        <v>9693.2099999999991</v>
      </c>
      <c r="I577" s="69"/>
    </row>
    <row r="578" spans="1:9" hidden="1">
      <c r="A578" s="78" t="s">
        <v>819</v>
      </c>
      <c r="B578" s="79">
        <f t="shared" si="23"/>
        <v>6</v>
      </c>
      <c r="C578" s="78" t="s">
        <v>849</v>
      </c>
      <c r="D578" s="78" t="s">
        <v>821</v>
      </c>
      <c r="E578" s="78" t="s">
        <v>824</v>
      </c>
      <c r="F578" s="81">
        <v>1</v>
      </c>
      <c r="G578" s="950">
        <f>VLOOKUP(C578,[14]Лист_1!$A$10:$G$91,6,0)</f>
        <v>63326.69</v>
      </c>
      <c r="H578" s="950">
        <f>VLOOKUP(C578,[14]Лист_1!$A$10:$G$91,7,0)</f>
        <v>15140.6</v>
      </c>
      <c r="I578" s="69"/>
    </row>
    <row r="579" spans="1:9" hidden="1">
      <c r="A579" s="78" t="s">
        <v>819</v>
      </c>
      <c r="B579" s="79">
        <f>B578</f>
        <v>6</v>
      </c>
      <c r="C579" s="90" t="s">
        <v>1044</v>
      </c>
      <c r="D579" s="78" t="s">
        <v>821</v>
      </c>
      <c r="E579" s="78" t="s">
        <v>826</v>
      </c>
      <c r="F579" s="81">
        <v>1</v>
      </c>
      <c r="G579" s="950">
        <v>74470</v>
      </c>
      <c r="H579" s="950"/>
      <c r="I579" s="69"/>
    </row>
    <row r="580" spans="1:9" hidden="1">
      <c r="A580" s="78" t="s">
        <v>819</v>
      </c>
      <c r="B580" s="79">
        <f>B578</f>
        <v>6</v>
      </c>
      <c r="C580" s="78" t="s">
        <v>851</v>
      </c>
      <c r="D580" s="78" t="s">
        <v>821</v>
      </c>
      <c r="E580" s="78" t="s">
        <v>826</v>
      </c>
      <c r="F580" s="81">
        <v>1</v>
      </c>
      <c r="G580" s="950">
        <f>VLOOKUP(C580,[14]Лист_1!$A$10:$G$91,6,0)</f>
        <v>70283</v>
      </c>
      <c r="H580" s="950">
        <f>VLOOKUP(C580,[14]Лист_1!$A$10:$G$91,7,0)</f>
        <v>16803.23</v>
      </c>
      <c r="I580" s="69"/>
    </row>
    <row r="581" spans="1:9" hidden="1">
      <c r="A581" s="78" t="s">
        <v>819</v>
      </c>
      <c r="B581" s="79">
        <f>B579</f>
        <v>6</v>
      </c>
      <c r="C581" s="84" t="s">
        <v>853</v>
      </c>
      <c r="D581" s="78" t="s">
        <v>821</v>
      </c>
      <c r="E581" s="78" t="s">
        <v>836</v>
      </c>
      <c r="F581" s="81">
        <v>1</v>
      </c>
      <c r="G581" s="950">
        <f>VLOOKUP(C581,[14]Лист_1!$A$10:$G$91,6,0)</f>
        <v>165994.12</v>
      </c>
      <c r="H581" s="950">
        <f>VLOOKUP(C581,[14]Лист_1!$A$10:$G$91,7,0)</f>
        <v>39685.17</v>
      </c>
      <c r="I581" s="69"/>
    </row>
    <row r="582" spans="1:9" hidden="1">
      <c r="A582" s="78" t="s">
        <v>819</v>
      </c>
      <c r="B582" s="79">
        <f t="shared" si="23"/>
        <v>6</v>
      </c>
      <c r="C582" s="84" t="s">
        <v>1061</v>
      </c>
      <c r="D582" s="78" t="s">
        <v>821</v>
      </c>
      <c r="E582" s="78" t="s">
        <v>826</v>
      </c>
      <c r="F582" s="81">
        <v>1</v>
      </c>
      <c r="G582" s="950">
        <f>VLOOKUP(C582,[14]Лист_1!$A$10:$G$91,6,0)</f>
        <v>92468</v>
      </c>
      <c r="H582" s="950">
        <f>VLOOKUP(C582,[14]Лист_1!$A$10:$G$91,7,0)</f>
        <v>22107.23</v>
      </c>
      <c r="I582" s="69"/>
    </row>
    <row r="583" spans="1:9" hidden="1">
      <c r="A583" s="78" t="s">
        <v>819</v>
      </c>
      <c r="B583" s="79">
        <f t="shared" si="23"/>
        <v>6</v>
      </c>
      <c r="C583" s="91" t="s">
        <v>855</v>
      </c>
      <c r="D583" s="78" t="s">
        <v>821</v>
      </c>
      <c r="E583" s="91" t="s">
        <v>822</v>
      </c>
      <c r="F583" s="81">
        <v>1</v>
      </c>
      <c r="G583" s="950">
        <f>VLOOKUP(C583,[14]Лист_1!$A$10:$G$91,6,0)</f>
        <v>75503</v>
      </c>
      <c r="H583" s="950">
        <f>VLOOKUP(C583,[14]Лист_1!$A$10:$G$91,7,0)</f>
        <v>18051.23</v>
      </c>
      <c r="I583" s="69"/>
    </row>
    <row r="584" spans="1:9" hidden="1">
      <c r="A584" s="78" t="s">
        <v>819</v>
      </c>
      <c r="B584" s="79">
        <f t="shared" si="23"/>
        <v>6</v>
      </c>
      <c r="C584" s="78" t="s">
        <v>856</v>
      </c>
      <c r="D584" s="78" t="s">
        <v>821</v>
      </c>
      <c r="E584" s="78" t="s">
        <v>826</v>
      </c>
      <c r="F584" s="81">
        <v>1</v>
      </c>
      <c r="G584" s="950">
        <f>VLOOKUP(C584,[14]Лист_1!$A$10:$G$91,6,0)</f>
        <v>120307</v>
      </c>
      <c r="H584" s="950">
        <f>VLOOKUP(C584,[14]Лист_1!$A$10:$G$91,7,0)</f>
        <v>28764.23</v>
      </c>
      <c r="I584" s="69"/>
    </row>
    <row r="585" spans="1:9" hidden="1">
      <c r="A585" s="78" t="s">
        <v>819</v>
      </c>
      <c r="B585" s="79">
        <f t="shared" si="23"/>
        <v>6</v>
      </c>
      <c r="C585" s="78" t="s">
        <v>857</v>
      </c>
      <c r="D585" s="78" t="s">
        <v>821</v>
      </c>
      <c r="E585" s="78" t="s">
        <v>824</v>
      </c>
      <c r="F585" s="81">
        <v>1</v>
      </c>
      <c r="G585" s="950">
        <f>VLOOKUP(C585,[14]Лист_1!$A$10:$G$91,6,0)</f>
        <v>80540.34</v>
      </c>
      <c r="H585" s="950">
        <f>VLOOKUP(C585,[14]Лист_1!$A$10:$G$91,7,0)</f>
        <v>19248.280000000002</v>
      </c>
      <c r="I585" s="69"/>
    </row>
    <row r="586" spans="1:9" hidden="1">
      <c r="A586" s="78" t="s">
        <v>819</v>
      </c>
      <c r="B586" s="79">
        <f t="shared" si="23"/>
        <v>6</v>
      </c>
      <c r="C586" s="90" t="s">
        <v>1062</v>
      </c>
      <c r="D586" s="78" t="s">
        <v>821</v>
      </c>
      <c r="E586" s="78" t="s">
        <v>822</v>
      </c>
      <c r="F586" s="81">
        <v>1</v>
      </c>
      <c r="G586" s="950">
        <f>VLOOKUP(C586,[14]Лист_1!$A$10:$G$91,6,0)</f>
        <v>36894.93</v>
      </c>
      <c r="H586" s="950">
        <f>VLOOKUP(C586,[14]Лист_1!$A$10:$G$91,7,0)</f>
        <v>8820.82</v>
      </c>
      <c r="I586" s="69"/>
    </row>
    <row r="587" spans="1:9" hidden="1">
      <c r="A587" s="78" t="s">
        <v>819</v>
      </c>
      <c r="B587" s="79">
        <f t="shared" si="23"/>
        <v>6</v>
      </c>
      <c r="C587" s="78" t="s">
        <v>858</v>
      </c>
      <c r="D587" s="78" t="s">
        <v>821</v>
      </c>
      <c r="E587" s="78" t="s">
        <v>826</v>
      </c>
      <c r="F587" s="81">
        <v>1</v>
      </c>
      <c r="G587" s="950">
        <f>VLOOKUP(C587,[14]Лист_1!$A$10:$G$91,6,0)</f>
        <v>76363.48</v>
      </c>
      <c r="H587" s="950">
        <f>VLOOKUP(C587,[14]Лист_1!$A$10:$G$91,7,0)</f>
        <v>18257.41</v>
      </c>
      <c r="I587" s="69"/>
    </row>
    <row r="588" spans="1:9" hidden="1">
      <c r="A588" s="78" t="s">
        <v>819</v>
      </c>
      <c r="B588" s="79">
        <f>B556</f>
        <v>6</v>
      </c>
      <c r="C588" s="91" t="s">
        <v>1063</v>
      </c>
      <c r="D588" s="78" t="s">
        <v>821</v>
      </c>
      <c r="E588" s="78" t="s">
        <v>824</v>
      </c>
      <c r="F588" s="81">
        <v>1</v>
      </c>
      <c r="G588" s="950">
        <f>VLOOKUP(C588,[14]Лист_1!$A$10:$G$91,6,0)</f>
        <v>15763</v>
      </c>
      <c r="H588" s="950">
        <f>VLOOKUP(C588,[14]Лист_1!$A$10:$G$91,7,0)</f>
        <v>3733.05</v>
      </c>
      <c r="I588" s="69"/>
    </row>
    <row r="589" spans="1:9" hidden="1">
      <c r="A589" s="78" t="s">
        <v>819</v>
      </c>
      <c r="B589" s="79">
        <f>B557</f>
        <v>6</v>
      </c>
      <c r="C589" s="91" t="s">
        <v>862</v>
      </c>
      <c r="D589" s="78" t="s">
        <v>821</v>
      </c>
      <c r="E589" s="78" t="s">
        <v>822</v>
      </c>
      <c r="F589" s="81">
        <v>1</v>
      </c>
      <c r="G589" s="950">
        <f>VLOOKUP(C589,[14]Лист_1!$A$10:$G$91,6,0)</f>
        <v>65498</v>
      </c>
      <c r="H589" s="950">
        <f>VLOOKUP(C589,[14]Лист_1!$A$10:$G$91,7,0)</f>
        <v>15659.23</v>
      </c>
      <c r="I589" s="69"/>
    </row>
    <row r="590" spans="1:9" hidden="1">
      <c r="A590" s="78" t="s">
        <v>819</v>
      </c>
      <c r="B590" s="79">
        <f t="shared" si="23"/>
        <v>6</v>
      </c>
      <c r="C590" s="84" t="s">
        <v>863</v>
      </c>
      <c r="D590" s="78" t="s">
        <v>821</v>
      </c>
      <c r="E590" s="78" t="s">
        <v>829</v>
      </c>
      <c r="F590" s="81">
        <v>1</v>
      </c>
      <c r="G590" s="950">
        <f>VLOOKUP(C590,[14]Лист_1!$A$10:$G$91,6,0)</f>
        <v>70718</v>
      </c>
      <c r="H590" s="950">
        <f>VLOOKUP(C590,[14]Лист_1!$A$10:$G$91,7,0)</f>
        <v>16907.23</v>
      </c>
      <c r="I590" s="69"/>
    </row>
    <row r="591" spans="1:9" hidden="1">
      <c r="A591" s="78" t="s">
        <v>819</v>
      </c>
      <c r="B591" s="79">
        <f t="shared" si="23"/>
        <v>6</v>
      </c>
      <c r="C591" s="78" t="s">
        <v>1064</v>
      </c>
      <c r="D591" s="78" t="s">
        <v>821</v>
      </c>
      <c r="E591" s="78" t="s">
        <v>826</v>
      </c>
      <c r="F591" s="81">
        <v>1</v>
      </c>
      <c r="G591" s="950">
        <f>VLOOKUP(C591,[14]Лист_1!$A$10:$G$91,6,0)</f>
        <v>23538</v>
      </c>
      <c r="H591" s="950">
        <f>VLOOKUP(C591,[14]Лист_1!$A$10:$G$91,7,0)</f>
        <v>5573.18</v>
      </c>
      <c r="I591" s="69"/>
    </row>
    <row r="592" spans="1:9" hidden="1">
      <c r="A592" s="78" t="s">
        <v>819</v>
      </c>
      <c r="B592" s="79">
        <f t="shared" si="23"/>
        <v>6</v>
      </c>
      <c r="C592" s="84" t="s">
        <v>865</v>
      </c>
      <c r="D592" s="78" t="s">
        <v>821</v>
      </c>
      <c r="E592" s="78" t="s">
        <v>822</v>
      </c>
      <c r="F592" s="81">
        <v>1</v>
      </c>
      <c r="G592" s="950">
        <f>VLOOKUP(C592,[14]Лист_1!$A$10:$G$91,6,0)</f>
        <v>42652.32</v>
      </c>
      <c r="H592" s="950">
        <f>VLOOKUP(C592,[14]Лист_1!$A$10:$G$91,7,0)</f>
        <v>10198.049999999999</v>
      </c>
      <c r="I592" s="69"/>
    </row>
    <row r="593" spans="1:9" hidden="1">
      <c r="A593" s="78" t="s">
        <v>819</v>
      </c>
      <c r="B593" s="79">
        <f>B592</f>
        <v>6</v>
      </c>
      <c r="C593" s="84" t="s">
        <v>1040</v>
      </c>
      <c r="D593" s="78" t="s">
        <v>821</v>
      </c>
      <c r="E593" s="78" t="s">
        <v>822</v>
      </c>
      <c r="F593" s="81">
        <v>1</v>
      </c>
      <c r="G593" s="950">
        <f>VLOOKUP(C593,[14]Лист_1!$A$10:$G$91,6,0)</f>
        <v>117148.42000000001</v>
      </c>
      <c r="H593" s="950">
        <f>VLOOKUP(C593,[14]Лист_1!$A$10:$G$91,7,0)</f>
        <v>28007.97</v>
      </c>
      <c r="I593" s="69"/>
    </row>
    <row r="594" spans="1:9" hidden="1">
      <c r="A594" s="78" t="s">
        <v>819</v>
      </c>
      <c r="B594" s="79">
        <f>B592</f>
        <v>6</v>
      </c>
      <c r="C594" s="91" t="s">
        <v>866</v>
      </c>
      <c r="D594" s="78" t="s">
        <v>821</v>
      </c>
      <c r="E594" s="78" t="s">
        <v>826</v>
      </c>
      <c r="F594" s="81">
        <v>1</v>
      </c>
      <c r="G594" s="950">
        <f>VLOOKUP(C594,[14]Лист_1!$A$10:$G$91,6,0)</f>
        <v>65323</v>
      </c>
      <c r="H594" s="950">
        <f>VLOOKUP(C594,[14]Лист_1!$A$10:$G$91,7,0)</f>
        <v>15618.63</v>
      </c>
      <c r="I594" s="69"/>
    </row>
    <row r="595" spans="1:9" hidden="1">
      <c r="A595" s="78" t="s">
        <v>819</v>
      </c>
      <c r="B595" s="79">
        <f>B594</f>
        <v>6</v>
      </c>
      <c r="C595" s="80" t="s">
        <v>867</v>
      </c>
      <c r="D595" s="78" t="s">
        <v>821</v>
      </c>
      <c r="E595" s="78" t="s">
        <v>822</v>
      </c>
      <c r="F595" s="81">
        <v>1</v>
      </c>
      <c r="G595" s="950">
        <f>VLOOKUP(C595,[14]Лист_1!$A$10:$G$91,6,0)</f>
        <v>70283</v>
      </c>
      <c r="H595" s="950">
        <f>VLOOKUP(C595,[14]Лист_1!$A$10:$G$91,7,0)</f>
        <v>16803.23</v>
      </c>
      <c r="I595" s="69"/>
    </row>
    <row r="596" spans="1:9" hidden="1">
      <c r="A596" s="78" t="s">
        <v>819</v>
      </c>
      <c r="B596" s="79">
        <f t="shared" si="23"/>
        <v>6</v>
      </c>
      <c r="C596" s="80" t="s">
        <v>868</v>
      </c>
      <c r="D596" s="78" t="s">
        <v>821</v>
      </c>
      <c r="E596" s="78" t="s">
        <v>826</v>
      </c>
      <c r="F596" s="81">
        <v>1</v>
      </c>
      <c r="G596" s="950">
        <f>VLOOKUP(C596,[14]Лист_1!$A$10:$G$91,6,0)</f>
        <v>70035</v>
      </c>
      <c r="H596" s="950">
        <f>VLOOKUP(C596,[14]Лист_1!$A$10:$G$91,7,0)</f>
        <v>16744</v>
      </c>
      <c r="I596" s="69"/>
    </row>
    <row r="597" spans="1:9" hidden="1">
      <c r="A597" s="78" t="s">
        <v>819</v>
      </c>
      <c r="B597" s="79">
        <f t="shared" si="23"/>
        <v>6</v>
      </c>
      <c r="C597" s="90" t="s">
        <v>869</v>
      </c>
      <c r="D597" s="78" t="s">
        <v>821</v>
      </c>
      <c r="E597" s="78" t="s">
        <v>822</v>
      </c>
      <c r="F597" s="81">
        <v>1</v>
      </c>
      <c r="G597" s="950">
        <f>VLOOKUP(C597,[14]Лист_1!$A$10:$G$91,6,0)</f>
        <v>90293</v>
      </c>
      <c r="H597" s="950">
        <f>VLOOKUP(C597,[14]Лист_1!$A$10:$G$91,7,0)</f>
        <v>21587.23</v>
      </c>
      <c r="I597" s="69"/>
    </row>
    <row r="598" spans="1:9" hidden="1">
      <c r="A598" s="78" t="s">
        <v>819</v>
      </c>
      <c r="B598" s="79">
        <f t="shared" si="23"/>
        <v>6</v>
      </c>
      <c r="C598" s="90" t="s">
        <v>1065</v>
      </c>
      <c r="D598" s="78" t="s">
        <v>821</v>
      </c>
      <c r="E598" s="78" t="s">
        <v>822</v>
      </c>
      <c r="F598" s="81">
        <v>1</v>
      </c>
      <c r="G598" s="950">
        <f>VLOOKUP(C598,[14]Лист_1!$A$10:$G$91,6,0)</f>
        <v>75604.7</v>
      </c>
      <c r="H598" s="950">
        <f>VLOOKUP(C598,[14]Лист_1!$A$10:$G$91,7,0)</f>
        <v>18076.41</v>
      </c>
      <c r="I598" s="69"/>
    </row>
    <row r="599" spans="1:9" hidden="1">
      <c r="A599" s="78" t="s">
        <v>819</v>
      </c>
      <c r="B599" s="79">
        <f t="shared" si="23"/>
        <v>6</v>
      </c>
      <c r="C599" s="78" t="s">
        <v>871</v>
      </c>
      <c r="D599" s="78" t="s">
        <v>821</v>
      </c>
      <c r="E599" s="78" t="s">
        <v>829</v>
      </c>
      <c r="F599" s="81">
        <v>1</v>
      </c>
      <c r="G599" s="950">
        <f>VLOOKUP(C599,[14]Лист_1!$A$10:$G$91,6,0)</f>
        <v>55032.05</v>
      </c>
      <c r="H599" s="950">
        <f>VLOOKUP(C599,[14]Лист_1!$A$10:$G$91,7,0)</f>
        <v>13157.97</v>
      </c>
      <c r="I599" s="69"/>
    </row>
    <row r="600" spans="1:9" hidden="1">
      <c r="A600" s="78" t="s">
        <v>819</v>
      </c>
      <c r="B600" s="79">
        <f t="shared" si="23"/>
        <v>6</v>
      </c>
      <c r="C600" s="78" t="s">
        <v>1066</v>
      </c>
      <c r="D600" s="78" t="s">
        <v>821</v>
      </c>
      <c r="E600" s="78" t="s">
        <v>824</v>
      </c>
      <c r="F600" s="81">
        <v>1</v>
      </c>
      <c r="G600" s="950">
        <f>VLOOKUP(C600,[14]Лист_1!$A$10:$G$91,6,0)</f>
        <v>84184.83</v>
      </c>
      <c r="H600" s="950">
        <f>VLOOKUP(C600,[14]Лист_1!$A$10:$G$91,7,0)</f>
        <v>20127.649999999998</v>
      </c>
      <c r="I600" s="69"/>
    </row>
    <row r="601" spans="1:9" hidden="1">
      <c r="A601" s="78" t="s">
        <v>819</v>
      </c>
      <c r="B601" s="79">
        <f>B600</f>
        <v>6</v>
      </c>
      <c r="C601" s="78" t="s">
        <v>873</v>
      </c>
      <c r="D601" s="78" t="s">
        <v>821</v>
      </c>
      <c r="E601" s="78" t="s">
        <v>843</v>
      </c>
      <c r="F601" s="81">
        <v>1</v>
      </c>
      <c r="G601" s="950">
        <f>VLOOKUP(C601,[14]Лист_1!$A$10:$G$91,6,0)+10000</f>
        <v>105265</v>
      </c>
      <c r="H601" s="950">
        <f>VLOOKUP(C601,[14]Лист_1!$A$10:$G$91,7,0)</f>
        <v>22776</v>
      </c>
      <c r="I601" s="69"/>
    </row>
    <row r="602" spans="1:9" hidden="1">
      <c r="A602" s="78" t="s">
        <v>819</v>
      </c>
      <c r="B602" s="79">
        <f t="shared" si="23"/>
        <v>6</v>
      </c>
      <c r="C602" s="91" t="s">
        <v>874</v>
      </c>
      <c r="D602" s="78" t="s">
        <v>821</v>
      </c>
      <c r="E602" s="78" t="s">
        <v>824</v>
      </c>
      <c r="F602" s="81">
        <v>1</v>
      </c>
      <c r="G602" s="950">
        <f>VLOOKUP(C602,[14]Лист_1!$A$10:$G$91,6,0)</f>
        <v>50760.26</v>
      </c>
      <c r="H602" s="950">
        <f>VLOOKUP(C602,[14]Лист_1!$A$10:$G$91,7,0)</f>
        <v>12135.93</v>
      </c>
      <c r="I602" s="69"/>
    </row>
    <row r="603" spans="1:9" hidden="1">
      <c r="A603" s="78" t="s">
        <v>819</v>
      </c>
      <c r="B603" s="79">
        <f t="shared" si="23"/>
        <v>6</v>
      </c>
      <c r="C603" s="84" t="s">
        <v>877</v>
      </c>
      <c r="D603" s="78" t="s">
        <v>821</v>
      </c>
      <c r="E603" s="91" t="s">
        <v>942</v>
      </c>
      <c r="F603" s="81">
        <v>1</v>
      </c>
      <c r="G603" s="950">
        <f>VLOOKUP(C603,[14]Лист_1!$A$10:$G$91,6,0)</f>
        <v>130065</v>
      </c>
      <c r="H603" s="950">
        <f>VLOOKUP(C603,[14]Лист_1!$A$10:$G$91,7,0)</f>
        <v>31096</v>
      </c>
      <c r="I603" s="69"/>
    </row>
    <row r="604" spans="1:9" hidden="1">
      <c r="A604" s="78" t="s">
        <v>819</v>
      </c>
      <c r="B604" s="79">
        <f>B602</f>
        <v>6</v>
      </c>
      <c r="C604" s="84" t="s">
        <v>1041</v>
      </c>
      <c r="D604" s="78" t="s">
        <v>821</v>
      </c>
      <c r="E604" s="78" t="s">
        <v>822</v>
      </c>
      <c r="F604" s="81">
        <v>1</v>
      </c>
      <c r="G604" s="950">
        <f>VLOOKUP(C604,[14]Лист_1!$A$10:$G$91,6,0)</f>
        <v>130313</v>
      </c>
      <c r="H604" s="950">
        <f>VLOOKUP(C604,[14]Лист_1!$A$10:$G$91,7,0)</f>
        <v>31155.23</v>
      </c>
      <c r="I604" s="69"/>
    </row>
    <row r="605" spans="1:9" hidden="1">
      <c r="A605" s="78" t="s">
        <v>819</v>
      </c>
      <c r="B605" s="79">
        <f>B603</f>
        <v>6</v>
      </c>
      <c r="C605" s="78" t="s">
        <v>878</v>
      </c>
      <c r="D605" s="78" t="s">
        <v>821</v>
      </c>
      <c r="E605" s="78" t="s">
        <v>836</v>
      </c>
      <c r="F605" s="81">
        <v>1</v>
      </c>
      <c r="G605" s="950">
        <f>VLOOKUP(C605,[14]Лист_1!$A$10:$G$91,6,0)</f>
        <v>69812.039999999994</v>
      </c>
      <c r="H605" s="950">
        <f>VLOOKUP(C605,[14]Лист_1!$A$10:$G$91,7,0)</f>
        <v>16915.25</v>
      </c>
      <c r="I605" s="69"/>
    </row>
    <row r="606" spans="1:9" hidden="1">
      <c r="A606" s="78" t="s">
        <v>819</v>
      </c>
      <c r="B606" s="79">
        <f>B605</f>
        <v>6</v>
      </c>
      <c r="C606" s="80" t="s">
        <v>1067</v>
      </c>
      <c r="D606" s="78" t="s">
        <v>821</v>
      </c>
      <c r="E606" s="78" t="s">
        <v>826</v>
      </c>
      <c r="F606" s="81">
        <v>1</v>
      </c>
      <c r="G606" s="950">
        <f>VLOOKUP(C606,[14]Лист_1!$A$10:$G$91,6,0)</f>
        <v>120060</v>
      </c>
      <c r="H606" s="950">
        <f>VLOOKUP(C606,[14]Лист_1!$A$10:$G$91,7,0)</f>
        <v>28428</v>
      </c>
      <c r="I606" s="69"/>
    </row>
    <row r="607" spans="1:9" hidden="1">
      <c r="A607" s="78" t="s">
        <v>819</v>
      </c>
      <c r="B607" s="79">
        <f>B606</f>
        <v>6</v>
      </c>
      <c r="C607" s="78" t="s">
        <v>1070</v>
      </c>
      <c r="D607" s="78" t="s">
        <v>821</v>
      </c>
      <c r="E607" s="78" t="s">
        <v>824</v>
      </c>
      <c r="F607" s="81">
        <v>1</v>
      </c>
      <c r="G607" s="950">
        <f>VLOOKUP(C607,[14]Лист_1!$A$10:$G$91,6,0)</f>
        <v>50273</v>
      </c>
      <c r="H607" s="950">
        <f>VLOOKUP(C607,[14]Лист_1!$A$10:$G$91,7,0)</f>
        <v>12019.23</v>
      </c>
      <c r="I607" s="69"/>
    </row>
    <row r="608" spans="1:9" hidden="1">
      <c r="A608" s="78" t="s">
        <v>819</v>
      </c>
      <c r="B608" s="79">
        <f>B605</f>
        <v>6</v>
      </c>
      <c r="C608" s="83" t="s">
        <v>879</v>
      </c>
      <c r="D608" s="78" t="s">
        <v>821</v>
      </c>
      <c r="E608" s="78" t="s">
        <v>822</v>
      </c>
      <c r="F608" s="81">
        <v>1</v>
      </c>
      <c r="G608" s="950">
        <f>VLOOKUP(C608,[14]Лист_1!$A$10:$G$91,6,0)</f>
        <v>70680.39</v>
      </c>
      <c r="H608" s="950">
        <f>VLOOKUP(C608,[14]Лист_1!$A$10:$G$91,7,0)</f>
        <v>16898.91</v>
      </c>
      <c r="I608" s="69"/>
    </row>
    <row r="609" spans="1:9" hidden="1">
      <c r="A609" s="78" t="s">
        <v>819</v>
      </c>
      <c r="B609" s="79">
        <f t="shared" ref="B609:B629" si="24">B608</f>
        <v>6</v>
      </c>
      <c r="C609" s="83" t="s">
        <v>880</v>
      </c>
      <c r="D609" s="78" t="s">
        <v>821</v>
      </c>
      <c r="E609" s="78" t="s">
        <v>822</v>
      </c>
      <c r="F609" s="81">
        <v>1</v>
      </c>
      <c r="G609" s="950">
        <f>VLOOKUP(C609,[14]Лист_1!$A$10:$G$91,6,0)</f>
        <v>117251.6</v>
      </c>
      <c r="H609" s="950">
        <f>VLOOKUP(C609,[14]Лист_1!$A$10:$G$91,7,0)</f>
        <v>28032.190000000002</v>
      </c>
      <c r="I609" s="69"/>
    </row>
    <row r="610" spans="1:9" hidden="1">
      <c r="A610" s="78" t="s">
        <v>819</v>
      </c>
      <c r="B610" s="79">
        <f t="shared" si="24"/>
        <v>6</v>
      </c>
      <c r="C610" s="91" t="s">
        <v>881</v>
      </c>
      <c r="D610" s="78" t="s">
        <v>821</v>
      </c>
      <c r="E610" s="91" t="s">
        <v>942</v>
      </c>
      <c r="F610" s="81">
        <v>1</v>
      </c>
      <c r="G610" s="950">
        <v>72500</v>
      </c>
      <c r="H610" s="950"/>
      <c r="I610" s="69"/>
    </row>
    <row r="611" spans="1:9" hidden="1">
      <c r="A611" s="78" t="s">
        <v>819</v>
      </c>
      <c r="B611" s="79">
        <f t="shared" si="24"/>
        <v>6</v>
      </c>
      <c r="C611" s="78" t="s">
        <v>1042</v>
      </c>
      <c r="D611" s="78" t="s">
        <v>821</v>
      </c>
      <c r="E611" s="78" t="s">
        <v>822</v>
      </c>
      <c r="F611" s="81">
        <v>1</v>
      </c>
      <c r="G611" s="950">
        <f>VLOOKUP(C611,[14]Лист_1!$A$10:$G$91,6,0)</f>
        <v>100298</v>
      </c>
      <c r="H611" s="950">
        <f>VLOOKUP(C611,[14]Лист_1!$A$10:$G$91,7,0)</f>
        <v>23979.23</v>
      </c>
      <c r="I611" s="69"/>
    </row>
    <row r="612" spans="1:9" hidden="1">
      <c r="A612" s="78" t="s">
        <v>819</v>
      </c>
      <c r="B612" s="79">
        <f t="shared" si="24"/>
        <v>6</v>
      </c>
      <c r="C612" s="90" t="s">
        <v>963</v>
      </c>
      <c r="D612" s="78" t="s">
        <v>821</v>
      </c>
      <c r="E612" s="78" t="s">
        <v>822</v>
      </c>
      <c r="F612" s="81">
        <v>1</v>
      </c>
      <c r="G612" s="950">
        <f>VLOOKUP(C612,[14]Лист_1!$A$10:$G$91,6,0)</f>
        <v>60824</v>
      </c>
      <c r="H612" s="950">
        <f>VLOOKUP(C612,[14]Лист_1!$A$10:$G$91,7,0)</f>
        <v>13865.23</v>
      </c>
      <c r="I612" s="69"/>
    </row>
    <row r="613" spans="1:9" hidden="1">
      <c r="A613" s="78" t="s">
        <v>819</v>
      </c>
      <c r="B613" s="79">
        <f t="shared" si="24"/>
        <v>6</v>
      </c>
      <c r="C613" s="91" t="s">
        <v>884</v>
      </c>
      <c r="D613" s="78" t="s">
        <v>821</v>
      </c>
      <c r="E613" s="78" t="s">
        <v>824</v>
      </c>
      <c r="F613" s="81">
        <v>1</v>
      </c>
      <c r="G613" s="950">
        <f>VLOOKUP(C613,[14]Лист_1!$A$10:$G$91,6,0)</f>
        <v>70000</v>
      </c>
      <c r="H613" s="950">
        <f>VLOOKUP(C613,[14]Лист_1!$A$10:$G$91,7,0)</f>
        <v>16574.96</v>
      </c>
      <c r="I613" s="69"/>
    </row>
    <row r="614" spans="1:9" hidden="1">
      <c r="A614" s="78" t="s">
        <v>819</v>
      </c>
      <c r="B614" s="79">
        <f>B612</f>
        <v>6</v>
      </c>
      <c r="C614" s="80" t="s">
        <v>1053</v>
      </c>
      <c r="D614" s="78" t="s">
        <v>821</v>
      </c>
      <c r="E614" s="78" t="s">
        <v>836</v>
      </c>
      <c r="F614" s="81">
        <v>1</v>
      </c>
      <c r="G614" s="950">
        <f>VLOOKUP(C614,[14]Лист_1!$A$10:$G$91,6,0)</f>
        <v>65324</v>
      </c>
      <c r="H614" s="950">
        <f>VLOOKUP(C614,[14]Лист_1!$A$10:$G$91,7,0)</f>
        <v>15617.63</v>
      </c>
      <c r="I614" s="69"/>
    </row>
    <row r="615" spans="1:9" hidden="1">
      <c r="A615" s="78" t="s">
        <v>819</v>
      </c>
      <c r="B615" s="79">
        <f>B613</f>
        <v>6</v>
      </c>
      <c r="C615" s="80" t="s">
        <v>886</v>
      </c>
      <c r="D615" s="78" t="s">
        <v>821</v>
      </c>
      <c r="E615" s="78" t="s">
        <v>822</v>
      </c>
      <c r="F615" s="81">
        <v>1</v>
      </c>
      <c r="G615" s="950">
        <f>VLOOKUP(C615,[14]Лист_1!$A$10:$G$91,6,0)</f>
        <v>100050</v>
      </c>
      <c r="H615" s="950">
        <f>VLOOKUP(C615,[14]Лист_1!$A$10:$G$91,7,0)</f>
        <v>23920</v>
      </c>
      <c r="I615" s="69"/>
    </row>
    <row r="616" spans="1:9" hidden="1">
      <c r="A616" s="78" t="s">
        <v>819</v>
      </c>
      <c r="B616" s="79">
        <f t="shared" si="24"/>
        <v>6</v>
      </c>
      <c r="C616" s="80" t="s">
        <v>888</v>
      </c>
      <c r="D616" s="78" t="s">
        <v>821</v>
      </c>
      <c r="E616" s="78" t="s">
        <v>822</v>
      </c>
      <c r="F616" s="81">
        <v>1</v>
      </c>
      <c r="G616" s="950">
        <f>VLOOKUP(C616,[14]Лист_1!$A$10:$G$91,6,0)</f>
        <v>68678.47</v>
      </c>
      <c r="H616" s="950">
        <f>VLOOKUP(C616,[14]Лист_1!$A$10:$G$91,7,0)</f>
        <v>15287.69</v>
      </c>
      <c r="I616" s="69"/>
    </row>
    <row r="617" spans="1:9" hidden="1">
      <c r="A617" s="78" t="s">
        <v>910</v>
      </c>
      <c r="B617" s="79">
        <f t="shared" si="24"/>
        <v>6</v>
      </c>
      <c r="C617" s="83" t="s">
        <v>914</v>
      </c>
      <c r="D617" s="78" t="s">
        <v>832</v>
      </c>
      <c r="E617" s="78" t="s">
        <v>172</v>
      </c>
      <c r="F617" s="81">
        <v>1</v>
      </c>
      <c r="G617" s="950">
        <f>VLOOKUP(C617,[14]Лист_1!$A$10:$G$91,6,0)</f>
        <v>80040</v>
      </c>
      <c r="H617" s="950">
        <f>VLOOKUP(C617,[14]Лист_1!$A$10:$G$91,7,0)</f>
        <v>19136</v>
      </c>
      <c r="I617" s="69"/>
    </row>
    <row r="618" spans="1:9" hidden="1">
      <c r="A618" s="78" t="s">
        <v>910</v>
      </c>
      <c r="B618" s="79">
        <f t="shared" si="24"/>
        <v>6</v>
      </c>
      <c r="C618" s="78" t="s">
        <v>917</v>
      </c>
      <c r="D618" s="78" t="s">
        <v>821</v>
      </c>
      <c r="E618" s="78" t="s">
        <v>172</v>
      </c>
      <c r="F618" s="81">
        <v>1</v>
      </c>
      <c r="G618" s="950">
        <f>VLOOKUP(C618,[14]Лист_1!$A$10:$G$91,6,0)</f>
        <v>65066.559999999998</v>
      </c>
      <c r="H618" s="950">
        <f>VLOOKUP(C618,[14]Лист_1!$A$10:$G$91,7,0)</f>
        <v>14916.16</v>
      </c>
      <c r="I618" s="69"/>
    </row>
    <row r="619" spans="1:9" hidden="1">
      <c r="A619" s="78" t="s">
        <v>910</v>
      </c>
      <c r="B619" s="79">
        <f t="shared" si="24"/>
        <v>6</v>
      </c>
      <c r="C619" s="91" t="s">
        <v>1097</v>
      </c>
      <c r="D619" s="78" t="s">
        <v>821</v>
      </c>
      <c r="E619" s="78" t="s">
        <v>172</v>
      </c>
      <c r="F619" s="81">
        <v>1</v>
      </c>
      <c r="G619" s="950">
        <f>VLOOKUP(C619,[14]Лист_1!$A$10:$G$91,6,0)</f>
        <v>21115.53</v>
      </c>
      <c r="H619" s="950">
        <f>VLOOKUP(C619,[14]Лист_1!$A$10:$G$91,7,0)</f>
        <v>5048.0999999999995</v>
      </c>
      <c r="I619" s="69"/>
    </row>
    <row r="620" spans="1:9" ht="26.4" hidden="1">
      <c r="A620" s="78" t="s">
        <v>910</v>
      </c>
      <c r="B620" s="79">
        <f>B618</f>
        <v>6</v>
      </c>
      <c r="C620" s="92" t="s">
        <v>909</v>
      </c>
      <c r="D620" s="78" t="s">
        <v>832</v>
      </c>
      <c r="E620" s="78" t="s">
        <v>172</v>
      </c>
      <c r="F620" s="81">
        <v>1</v>
      </c>
      <c r="G620" s="950">
        <v>50000</v>
      </c>
      <c r="H620" s="950">
        <v>11953.99</v>
      </c>
      <c r="I620" s="69"/>
    </row>
    <row r="621" spans="1:9" hidden="1">
      <c r="A621" s="78" t="s">
        <v>905</v>
      </c>
      <c r="B621" s="79">
        <f>B618</f>
        <v>6</v>
      </c>
      <c r="C621" s="84" t="s">
        <v>908</v>
      </c>
      <c r="D621" s="78" t="s">
        <v>832</v>
      </c>
      <c r="E621" s="78" t="s">
        <v>173</v>
      </c>
      <c r="F621" s="81">
        <v>1</v>
      </c>
      <c r="G621" s="950">
        <f>VLOOKUP(C621,[14]Лист_1!$A$10:$G$91,6,0)</f>
        <v>64233.11</v>
      </c>
      <c r="H621" s="950">
        <f>VLOOKUP(C621,[14]Лист_1!$A$10:$G$91,7,0)</f>
        <v>15356.83</v>
      </c>
      <c r="I621" s="69"/>
    </row>
    <row r="622" spans="1:9" hidden="1">
      <c r="A622" s="78" t="s">
        <v>905</v>
      </c>
      <c r="B622" s="79">
        <f t="shared" si="24"/>
        <v>6</v>
      </c>
      <c r="C622" s="78" t="s">
        <v>907</v>
      </c>
      <c r="D622" s="78" t="s">
        <v>832</v>
      </c>
      <c r="E622" s="78" t="s">
        <v>173</v>
      </c>
      <c r="F622" s="81">
        <v>1</v>
      </c>
      <c r="G622" s="950">
        <f>VLOOKUP(C622,[14]Лист_1!$A$10:$G$91,6,0)</f>
        <v>102744</v>
      </c>
      <c r="H622" s="950">
        <f>VLOOKUP(C622,[14]Лист_1!$A$10:$G$91,7,0)</f>
        <v>24564.560000000001</v>
      </c>
      <c r="I622" s="69"/>
    </row>
    <row r="623" spans="1:9" ht="26.4" hidden="1">
      <c r="A623" s="78" t="s">
        <v>905</v>
      </c>
      <c r="B623" s="79">
        <f t="shared" si="24"/>
        <v>6</v>
      </c>
      <c r="C623" s="92" t="s">
        <v>909</v>
      </c>
      <c r="D623" s="78" t="s">
        <v>832</v>
      </c>
      <c r="E623" s="78" t="s">
        <v>173</v>
      </c>
      <c r="F623" s="81">
        <v>1</v>
      </c>
      <c r="G623" s="950">
        <v>367162</v>
      </c>
      <c r="H623" s="950">
        <v>87781.01</v>
      </c>
      <c r="I623" s="69"/>
    </row>
    <row r="624" spans="1:9" hidden="1">
      <c r="A624" s="78" t="s">
        <v>905</v>
      </c>
      <c r="B624" s="79">
        <f>B623</f>
        <v>6</v>
      </c>
      <c r="C624" s="84" t="s">
        <v>850</v>
      </c>
      <c r="D624" s="78" t="s">
        <v>832</v>
      </c>
      <c r="E624" s="78" t="s">
        <v>173</v>
      </c>
      <c r="F624" s="81">
        <v>1</v>
      </c>
      <c r="G624" s="950">
        <f>VLOOKUP(C624,[14]Лист_1!$A$10:$G$91,6,0)</f>
        <v>93318</v>
      </c>
      <c r="H624" s="950">
        <f>VLOOKUP(C624,[14]Лист_1!$A$10:$G$91,7,0)</f>
        <v>22310.43</v>
      </c>
      <c r="I624" s="69"/>
    </row>
    <row r="625" spans="1:9" ht="26.4" hidden="1">
      <c r="A625" s="91" t="s">
        <v>819</v>
      </c>
      <c r="B625" s="79">
        <f>B623</f>
        <v>6</v>
      </c>
      <c r="C625" s="80" t="s">
        <v>906</v>
      </c>
      <c r="D625" s="78" t="s">
        <v>821</v>
      </c>
      <c r="E625" s="963" t="s">
        <v>942</v>
      </c>
      <c r="F625" s="81">
        <v>1</v>
      </c>
      <c r="G625" s="950">
        <f>VLOOKUP(C625,[14]Лист_1!$A$10:$G$91,6,0)</f>
        <v>150298</v>
      </c>
      <c r="H625" s="950">
        <f>VLOOKUP(C625,[14]Лист_1!$A$10:$G$91,7,0)</f>
        <v>35932.97</v>
      </c>
      <c r="I625" s="69"/>
    </row>
    <row r="626" spans="1:9" ht="26.4" hidden="1">
      <c r="A626" s="78" t="s">
        <v>905</v>
      </c>
      <c r="B626" s="79">
        <f t="shared" si="24"/>
        <v>6</v>
      </c>
      <c r="C626" s="92" t="s">
        <v>962</v>
      </c>
      <c r="D626" s="78" t="s">
        <v>832</v>
      </c>
      <c r="E626" s="78" t="s">
        <v>173</v>
      </c>
      <c r="F626" s="81">
        <v>1</v>
      </c>
      <c r="G626" s="950">
        <f>VLOOKUP(C626,[14]Лист_1!$A$10:$G$91,6,0)</f>
        <v>95081</v>
      </c>
      <c r="H626" s="950">
        <f>VLOOKUP(C626,[14]Лист_1!$A$10:$G$91,7,0)</f>
        <v>22731.47</v>
      </c>
      <c r="I626" s="69"/>
    </row>
    <row r="627" spans="1:9" hidden="1">
      <c r="A627" s="78" t="s">
        <v>890</v>
      </c>
      <c r="B627" s="79">
        <f t="shared" si="24"/>
        <v>6</v>
      </c>
      <c r="C627" s="80" t="s">
        <v>891</v>
      </c>
      <c r="D627" s="78" t="s">
        <v>832</v>
      </c>
      <c r="E627" s="78" t="s">
        <v>210</v>
      </c>
      <c r="F627" s="81">
        <v>1</v>
      </c>
      <c r="G627" s="1841">
        <v>851327</v>
      </c>
      <c r="H627" s="1841">
        <v>232453</v>
      </c>
      <c r="I627" s="69"/>
    </row>
    <row r="628" spans="1:9" hidden="1">
      <c r="A628" s="78" t="s">
        <v>890</v>
      </c>
      <c r="B628" s="79">
        <f t="shared" si="24"/>
        <v>6</v>
      </c>
      <c r="C628" s="84" t="s">
        <v>892</v>
      </c>
      <c r="D628" s="78" t="s">
        <v>832</v>
      </c>
      <c r="E628" s="78" t="s">
        <v>210</v>
      </c>
      <c r="F628" s="81">
        <v>1</v>
      </c>
      <c r="G628" s="1842"/>
      <c r="H628" s="1842"/>
      <c r="I628" s="69"/>
    </row>
    <row r="629" spans="1:9" hidden="1">
      <c r="A629" s="78" t="s">
        <v>890</v>
      </c>
      <c r="B629" s="79">
        <f t="shared" si="24"/>
        <v>6</v>
      </c>
      <c r="C629" s="80" t="s">
        <v>894</v>
      </c>
      <c r="D629" s="78" t="s">
        <v>832</v>
      </c>
      <c r="E629" s="78" t="s">
        <v>210</v>
      </c>
      <c r="F629" s="81">
        <v>1</v>
      </c>
      <c r="G629" s="1843"/>
      <c r="H629" s="1843"/>
      <c r="I629" s="69"/>
    </row>
    <row r="630" spans="1:9" hidden="1">
      <c r="A630" s="78" t="s">
        <v>340</v>
      </c>
      <c r="B630" s="79">
        <v>7</v>
      </c>
      <c r="C630" s="78" t="s">
        <v>904</v>
      </c>
      <c r="D630" s="78" t="s">
        <v>832</v>
      </c>
      <c r="E630" s="951" t="s">
        <v>180</v>
      </c>
      <c r="F630" s="81">
        <v>1</v>
      </c>
      <c r="G630" s="950">
        <f>VLOOKUP(C630,[15]Лист_1!$A$10:$H$103,3,0)</f>
        <v>4833</v>
      </c>
      <c r="H630" s="950">
        <f>VLOOKUP(C630,[15]Лист_1!$A$10:$H$103,7,0)</f>
        <v>1144.18</v>
      </c>
      <c r="I630" s="69"/>
    </row>
    <row r="631" spans="1:9" hidden="1">
      <c r="A631" s="78" t="s">
        <v>340</v>
      </c>
      <c r="B631" s="79">
        <f>B630</f>
        <v>7</v>
      </c>
      <c r="C631" s="78" t="s">
        <v>1038</v>
      </c>
      <c r="D631" s="78" t="s">
        <v>832</v>
      </c>
      <c r="E631" s="951" t="s">
        <v>180</v>
      </c>
      <c r="F631" s="81">
        <v>1</v>
      </c>
      <c r="G631" s="950">
        <f>VLOOKUP(C631,[15]Лист_1!$A$10:$H$103,3,0)</f>
        <v>150075</v>
      </c>
      <c r="H631" s="950">
        <f>VLOOKUP(C631,[15]Лист_1!$A$10:$H$103,7,0)</f>
        <v>35880</v>
      </c>
    </row>
    <row r="632" spans="1:9" hidden="1">
      <c r="A632" s="78" t="s">
        <v>340</v>
      </c>
      <c r="B632" s="79">
        <f>B631</f>
        <v>7</v>
      </c>
      <c r="C632" s="91" t="s">
        <v>1100</v>
      </c>
      <c r="D632" s="78" t="s">
        <v>832</v>
      </c>
      <c r="E632" s="951" t="s">
        <v>180</v>
      </c>
      <c r="F632" s="81">
        <v>1</v>
      </c>
      <c r="G632" s="950">
        <f>VLOOKUP(C632,[15]Лист_1!$A$10:$H$103,3,0)</f>
        <v>64989</v>
      </c>
      <c r="H632" s="950">
        <f>VLOOKUP(C632,[15]Лист_1!$A$10:$H$103,7,0)</f>
        <v>15537.6</v>
      </c>
    </row>
    <row r="633" spans="1:9" hidden="1">
      <c r="A633" s="78" t="s">
        <v>340</v>
      </c>
      <c r="B633" s="79">
        <f>B632</f>
        <v>7</v>
      </c>
      <c r="C633" s="91" t="s">
        <v>1101</v>
      </c>
      <c r="D633" s="78" t="s">
        <v>832</v>
      </c>
      <c r="E633" s="951" t="s">
        <v>180</v>
      </c>
      <c r="F633" s="81">
        <v>1</v>
      </c>
      <c r="G633" s="950">
        <f>VLOOKUP(C633,[15]Лист_1!$A$10:$H$103,3,0)+3000</f>
        <v>18378.91</v>
      </c>
      <c r="H633" s="950">
        <f>VLOOKUP(C633,[15]Лист_1!$A$10:$H$103,7,0)</f>
        <v>3676.7999999999997</v>
      </c>
    </row>
    <row r="634" spans="1:9" hidden="1">
      <c r="A634" s="78" t="s">
        <v>339</v>
      </c>
      <c r="B634" s="79">
        <f>B630</f>
        <v>7</v>
      </c>
      <c r="C634" s="84" t="s">
        <v>901</v>
      </c>
      <c r="D634" s="78" t="s">
        <v>832</v>
      </c>
      <c r="E634" s="951" t="s">
        <v>9</v>
      </c>
      <c r="F634" s="81">
        <v>1</v>
      </c>
      <c r="G634" s="950">
        <f>VLOOKUP(C634,[15]Лист_1!$A$10:$H$103,3,0)</f>
        <v>8766</v>
      </c>
      <c r="H634" s="950">
        <f>VLOOKUP(C634,[15]Лист_1!$A$10:$H$103,7,0)</f>
        <v>2094.85</v>
      </c>
    </row>
    <row r="635" spans="1:9" ht="26.4" hidden="1">
      <c r="A635" s="78" t="s">
        <v>339</v>
      </c>
      <c r="B635" s="79">
        <f>B631</f>
        <v>7</v>
      </c>
      <c r="C635" s="84" t="s">
        <v>1057</v>
      </c>
      <c r="D635" s="78" t="s">
        <v>832</v>
      </c>
      <c r="E635" s="951" t="s">
        <v>9</v>
      </c>
      <c r="F635" s="81">
        <v>1</v>
      </c>
      <c r="G635" s="950">
        <f>VLOOKUP(C635,[15]Лист_1!$A$10:$H$103,3,0)</f>
        <v>80222</v>
      </c>
      <c r="H635" s="950">
        <f>VLOOKUP(C635,[15]Лист_1!$A$10:$H$103,7,0)</f>
        <v>18954</v>
      </c>
    </row>
    <row r="636" spans="1:9" hidden="1">
      <c r="A636" s="78" t="s">
        <v>339</v>
      </c>
      <c r="B636" s="79">
        <f>B634</f>
        <v>7</v>
      </c>
      <c r="C636" s="92" t="s">
        <v>902</v>
      </c>
      <c r="D636" s="78" t="s">
        <v>832</v>
      </c>
      <c r="E636" s="951" t="s">
        <v>9</v>
      </c>
      <c r="F636" s="81">
        <v>1</v>
      </c>
      <c r="G636" s="950">
        <v>50000</v>
      </c>
      <c r="H636" s="950"/>
    </row>
    <row r="637" spans="1:9" hidden="1">
      <c r="A637" s="78" t="s">
        <v>339</v>
      </c>
      <c r="B637" s="79">
        <f>B635</f>
        <v>7</v>
      </c>
      <c r="C637" s="84" t="s">
        <v>899</v>
      </c>
      <c r="D637" s="78" t="s">
        <v>832</v>
      </c>
      <c r="E637" s="951" t="s">
        <v>9</v>
      </c>
      <c r="F637" s="81">
        <v>1</v>
      </c>
      <c r="G637" s="950">
        <f>VLOOKUP(C637,[15]Лист_1!$A$10:$H$103,3,0)</f>
        <v>5259.27</v>
      </c>
      <c r="H637" s="950">
        <f>VLOOKUP(C637,[15]Лист_1!$A$10:$H$103,7,0)</f>
        <v>786</v>
      </c>
    </row>
    <row r="638" spans="1:9" hidden="1">
      <c r="A638" s="78" t="s">
        <v>339</v>
      </c>
      <c r="B638" s="79">
        <f>B636</f>
        <v>7</v>
      </c>
      <c r="C638" s="84" t="s">
        <v>900</v>
      </c>
      <c r="D638" s="78" t="s">
        <v>832</v>
      </c>
      <c r="E638" s="951" t="s">
        <v>9</v>
      </c>
      <c r="F638" s="81">
        <v>1</v>
      </c>
      <c r="G638" s="950"/>
      <c r="H638" s="950"/>
    </row>
    <row r="639" spans="1:9" hidden="1">
      <c r="A639" s="78" t="s">
        <v>339</v>
      </c>
      <c r="B639" s="79">
        <f t="shared" ref="B639:B696" si="25">B638</f>
        <v>7</v>
      </c>
      <c r="C639" s="91" t="s">
        <v>1099</v>
      </c>
      <c r="D639" s="78" t="s">
        <v>832</v>
      </c>
      <c r="E639" s="951" t="s">
        <v>9</v>
      </c>
      <c r="F639" s="81">
        <v>1</v>
      </c>
      <c r="G639" s="950">
        <f>VLOOKUP(C639,[15]Лист_1!$A$10:$H$103,3,0)</f>
        <v>45422</v>
      </c>
      <c r="H639" s="950">
        <f>VLOOKUP(C639,[15]Лист_1!$A$10:$H$103,7,0)</f>
        <v>10634</v>
      </c>
    </row>
    <row r="640" spans="1:9" hidden="1">
      <c r="A640" s="78" t="s">
        <v>339</v>
      </c>
      <c r="B640" s="79">
        <f t="shared" si="25"/>
        <v>7</v>
      </c>
      <c r="C640" s="91" t="s">
        <v>1112</v>
      </c>
      <c r="D640" s="78" t="s">
        <v>832</v>
      </c>
      <c r="E640" s="951" t="s">
        <v>9</v>
      </c>
      <c r="F640" s="81">
        <v>1</v>
      </c>
      <c r="G640" s="950">
        <f>VLOOKUP(C640,[15]Лист_1!$A$10:$H$103,3,0)</f>
        <v>20870</v>
      </c>
      <c r="H640" s="950">
        <f>VLOOKUP(C640,[15]Лист_1!$A$10:$H$103,7,0)</f>
        <v>4989.07</v>
      </c>
    </row>
    <row r="641" spans="1:8" hidden="1">
      <c r="A641" s="78" t="s">
        <v>339</v>
      </c>
      <c r="B641" s="79">
        <f>B640</f>
        <v>7</v>
      </c>
      <c r="C641" s="255" t="s">
        <v>896</v>
      </c>
      <c r="D641" s="78" t="s">
        <v>832</v>
      </c>
      <c r="E641" s="951" t="s">
        <v>9</v>
      </c>
      <c r="F641" s="81">
        <v>1</v>
      </c>
      <c r="G641" s="950">
        <f>VLOOKUP(C641,[15]Лист_1!$A$10:$H$103,3,0)</f>
        <v>46995.75</v>
      </c>
      <c r="H641" s="950">
        <f>VLOOKUP(C641,[15]Лист_1!$A$10:$H$103,7,0)</f>
        <v>11236.460000000001</v>
      </c>
    </row>
    <row r="642" spans="1:8" hidden="1">
      <c r="A642" s="78" t="s">
        <v>339</v>
      </c>
      <c r="B642" s="79">
        <f t="shared" si="25"/>
        <v>7</v>
      </c>
      <c r="C642" s="80" t="s">
        <v>903</v>
      </c>
      <c r="D642" s="78" t="s">
        <v>832</v>
      </c>
      <c r="E642" s="951" t="s">
        <v>9</v>
      </c>
      <c r="F642" s="81">
        <v>1</v>
      </c>
      <c r="G642" s="950">
        <f>VLOOKUP(C642,[15]Лист_1!$A$10:$H$103,3,0)</f>
        <v>87903.3</v>
      </c>
      <c r="H642" s="950">
        <f>VLOOKUP(C642,[15]Лист_1!$A$10:$H$103,7,0)</f>
        <v>21015.99</v>
      </c>
    </row>
    <row r="643" spans="1:8" hidden="1">
      <c r="A643" s="78" t="s">
        <v>819</v>
      </c>
      <c r="B643" s="79">
        <f>B642</f>
        <v>7</v>
      </c>
      <c r="C643" s="80" t="s">
        <v>820</v>
      </c>
      <c r="D643" s="78" t="s">
        <v>821</v>
      </c>
      <c r="E643" s="91" t="s">
        <v>918</v>
      </c>
      <c r="F643" s="81">
        <v>1</v>
      </c>
      <c r="G643" s="950">
        <f>VLOOKUP(C643,[15]Лист_1!$A$10:$H$103,3,0)</f>
        <v>33755</v>
      </c>
      <c r="H643" s="950">
        <f>VLOOKUP(C643,[15]Лист_1!$A$10:$H$103,7,0)</f>
        <v>7992.7199999999993</v>
      </c>
    </row>
    <row r="644" spans="1:8" ht="26.4" hidden="1">
      <c r="A644" s="78" t="s">
        <v>819</v>
      </c>
      <c r="B644" s="79">
        <f>B643</f>
        <v>7</v>
      </c>
      <c r="C644" s="80" t="s">
        <v>823</v>
      </c>
      <c r="D644" s="78" t="s">
        <v>821</v>
      </c>
      <c r="E644" s="91" t="s">
        <v>918</v>
      </c>
      <c r="F644" s="81">
        <v>1</v>
      </c>
      <c r="G644" s="950">
        <f>VLOOKUP(C644,[15]Лист_1!$A$10:$H$103,3,0)</f>
        <v>92046</v>
      </c>
      <c r="H644" s="950">
        <f>VLOOKUP(C644,[15]Лист_1!$A$10:$H$103,7,0)</f>
        <v>21794.799999999999</v>
      </c>
    </row>
    <row r="645" spans="1:8" hidden="1">
      <c r="A645" s="78" t="s">
        <v>819</v>
      </c>
      <c r="B645" s="79">
        <f>B643</f>
        <v>7</v>
      </c>
      <c r="C645" s="90" t="s">
        <v>825</v>
      </c>
      <c r="D645" s="78" t="s">
        <v>821</v>
      </c>
      <c r="E645" s="78" t="s">
        <v>822</v>
      </c>
      <c r="F645" s="81">
        <v>1</v>
      </c>
      <c r="G645" s="950">
        <f>VLOOKUP(C645,[15]Лист_1!$A$10:$H$103,3,0)</f>
        <v>69474</v>
      </c>
      <c r="H645" s="950">
        <f>VLOOKUP(C645,[15]Лист_1!$A$10:$H$103,7,0)</f>
        <v>16609.689999999999</v>
      </c>
    </row>
    <row r="646" spans="1:8" hidden="1">
      <c r="A646" s="78" t="s">
        <v>819</v>
      </c>
      <c r="B646" s="79">
        <f>B680</f>
        <v>7</v>
      </c>
      <c r="C646" s="84" t="s">
        <v>1039</v>
      </c>
      <c r="D646" s="78" t="s">
        <v>821</v>
      </c>
      <c r="E646" s="78" t="s">
        <v>829</v>
      </c>
      <c r="F646" s="81">
        <v>1</v>
      </c>
      <c r="G646" s="950">
        <f>VLOOKUP(C646,[15]Лист_1!$A$10:$H$103,3,0)</f>
        <v>65376</v>
      </c>
      <c r="H646" s="950">
        <f>VLOOKUP(C646,[15]Лист_1!$A$10:$H$103,7,0)</f>
        <v>15630.310000000001</v>
      </c>
    </row>
    <row r="647" spans="1:8" hidden="1">
      <c r="A647" s="78" t="s">
        <v>819</v>
      </c>
      <c r="B647" s="79">
        <f>B645</f>
        <v>7</v>
      </c>
      <c r="C647" s="80" t="s">
        <v>827</v>
      </c>
      <c r="D647" s="78" t="s">
        <v>821</v>
      </c>
      <c r="E647" s="78" t="s">
        <v>826</v>
      </c>
      <c r="F647" s="81">
        <v>1</v>
      </c>
      <c r="G647" s="950">
        <f>VLOOKUP(C647,[15]Лист_1!$A$10:$H$103,3,0)</f>
        <v>60030</v>
      </c>
      <c r="H647" s="950">
        <f>VLOOKUP(C647,[15]Лист_1!$A$10:$H$103,7,0)</f>
        <v>14352</v>
      </c>
    </row>
    <row r="648" spans="1:8" ht="26.4" hidden="1">
      <c r="A648" s="78" t="s">
        <v>819</v>
      </c>
      <c r="B648" s="79">
        <f t="shared" si="25"/>
        <v>7</v>
      </c>
      <c r="C648" s="80" t="s">
        <v>828</v>
      </c>
      <c r="D648" s="78" t="s">
        <v>821</v>
      </c>
      <c r="E648" s="78" t="s">
        <v>824</v>
      </c>
      <c r="F648" s="81">
        <v>1</v>
      </c>
      <c r="G648" s="950">
        <f>VLOOKUP(C648,[15]Лист_1!$A$10:$H$103,3,0)</f>
        <v>20262</v>
      </c>
      <c r="H648" s="950">
        <f>VLOOKUP(C648,[15]Лист_1!$A$10:$H$103,7,0)</f>
        <v>4843.55</v>
      </c>
    </row>
    <row r="649" spans="1:8" hidden="1">
      <c r="A649" s="78" t="s">
        <v>819</v>
      </c>
      <c r="B649" s="79">
        <f t="shared" si="25"/>
        <v>7</v>
      </c>
      <c r="C649" s="80" t="s">
        <v>1110</v>
      </c>
      <c r="D649" s="78" t="s">
        <v>821</v>
      </c>
      <c r="E649" s="91" t="s">
        <v>918</v>
      </c>
      <c r="F649" s="81">
        <v>1</v>
      </c>
      <c r="G649" s="950">
        <f>VLOOKUP(C649,[15]Лист_1!$A$10:$H$103,3,0)</f>
        <v>109894</v>
      </c>
      <c r="H649" s="950">
        <f>VLOOKUP(C649,[15]Лист_1!$A$10:$H$103,7,0)</f>
        <v>26273.570000000003</v>
      </c>
    </row>
    <row r="650" spans="1:8" hidden="1">
      <c r="A650" s="78" t="s">
        <v>819</v>
      </c>
      <c r="B650" s="79">
        <f t="shared" si="25"/>
        <v>7</v>
      </c>
      <c r="C650" s="80" t="s">
        <v>1111</v>
      </c>
      <c r="D650" s="78" t="s">
        <v>821</v>
      </c>
      <c r="E650" s="78" t="s">
        <v>824</v>
      </c>
      <c r="F650" s="81">
        <v>1</v>
      </c>
      <c r="G650" s="950">
        <f>VLOOKUP(C650,[15]Лист_1!$A$10:$H$103,3,0)</f>
        <v>2400</v>
      </c>
      <c r="H650" s="950">
        <f>VLOOKUP(C650,[15]Лист_1!$A$10:$H$103,7,0)</f>
        <v>568.68000000000006</v>
      </c>
    </row>
    <row r="651" spans="1:8" ht="14.25" hidden="1" customHeight="1">
      <c r="A651" s="78" t="s">
        <v>819</v>
      </c>
      <c r="B651" s="79">
        <f>B648</f>
        <v>7</v>
      </c>
      <c r="C651" s="80" t="s">
        <v>830</v>
      </c>
      <c r="D651" s="78" t="s">
        <v>821</v>
      </c>
      <c r="E651" s="91" t="s">
        <v>942</v>
      </c>
      <c r="F651" s="81">
        <v>1</v>
      </c>
      <c r="G651" s="950">
        <f>VLOOKUP(C651,[15]Лист_1!$A$10:$H$103,3,0)</f>
        <v>115014</v>
      </c>
      <c r="H651" s="950">
        <f>VLOOKUP(C651,[15]Лист_1!$A$10:$H$103,7,0)</f>
        <v>27497.600000000002</v>
      </c>
    </row>
    <row r="652" spans="1:8" hidden="1">
      <c r="A652" s="78" t="s">
        <v>819</v>
      </c>
      <c r="B652" s="79">
        <f t="shared" si="25"/>
        <v>7</v>
      </c>
      <c r="C652" s="80" t="s">
        <v>833</v>
      </c>
      <c r="D652" s="78" t="s">
        <v>821</v>
      </c>
      <c r="E652" s="78" t="s">
        <v>826</v>
      </c>
      <c r="F652" s="81">
        <v>1</v>
      </c>
      <c r="G652" s="950">
        <f>VLOOKUP(C652,[15]Лист_1!$A$10:$H$103,3,0)</f>
        <v>67277</v>
      </c>
      <c r="H652" s="950">
        <f>VLOOKUP(C652,[15]Лист_1!$A$10:$H$103,7,0)</f>
        <v>16084.74</v>
      </c>
    </row>
    <row r="653" spans="1:8" hidden="1">
      <c r="A653" s="78" t="s">
        <v>819</v>
      </c>
      <c r="B653" s="79">
        <f t="shared" si="25"/>
        <v>7</v>
      </c>
      <c r="C653" s="80" t="s">
        <v>831</v>
      </c>
      <c r="D653" s="78" t="s">
        <v>821</v>
      </c>
      <c r="E653" s="78" t="s">
        <v>822</v>
      </c>
      <c r="F653" s="81">
        <v>1</v>
      </c>
      <c r="G653" s="950">
        <f>VLOOKUP(C653,[15]Лист_1!$A$10:$H$103,3,0)</f>
        <v>40020</v>
      </c>
      <c r="H653" s="950">
        <f>VLOOKUP(C653,[15]Лист_1!$A$10:$H$103,7,0)</f>
        <v>9568</v>
      </c>
    </row>
    <row r="654" spans="1:8" hidden="1">
      <c r="A654" s="78" t="s">
        <v>819</v>
      </c>
      <c r="B654" s="79">
        <f t="shared" si="25"/>
        <v>7</v>
      </c>
      <c r="C654" s="80" t="s">
        <v>834</v>
      </c>
      <c r="D654" s="78" t="s">
        <v>821</v>
      </c>
      <c r="E654" s="91" t="s">
        <v>918</v>
      </c>
      <c r="F654" s="81">
        <v>1</v>
      </c>
      <c r="G654" s="950">
        <f>VLOOKUP(C654,[15]Лист_1!$A$10:$H$103,3,0)</f>
        <v>105501.69</v>
      </c>
      <c r="H654" s="950">
        <f>VLOOKUP(C654,[15]Лист_1!$A$10:$H$103,7,0)</f>
        <v>25222.73</v>
      </c>
    </row>
    <row r="655" spans="1:8" hidden="1">
      <c r="A655" s="78" t="s">
        <v>819</v>
      </c>
      <c r="B655" s="79">
        <f>B654</f>
        <v>7</v>
      </c>
      <c r="C655" s="91" t="s">
        <v>1058</v>
      </c>
      <c r="D655" s="78" t="s">
        <v>821</v>
      </c>
      <c r="E655" s="91" t="s">
        <v>918</v>
      </c>
      <c r="F655" s="81">
        <v>1</v>
      </c>
      <c r="G655" s="950">
        <f>VLOOKUP(C655,[15]Лист_1!$A$10:$H$103,3,0)</f>
        <v>4553</v>
      </c>
      <c r="H655" s="950">
        <f>VLOOKUP(C655,[15]Лист_1!$A$10:$H$103,7,0)</f>
        <v>1077.71</v>
      </c>
    </row>
    <row r="656" spans="1:8" hidden="1">
      <c r="A656" s="78" t="s">
        <v>819</v>
      </c>
      <c r="B656" s="79">
        <f>B654</f>
        <v>7</v>
      </c>
      <c r="C656" s="90" t="s">
        <v>1113</v>
      </c>
      <c r="D656" s="78" t="s">
        <v>821</v>
      </c>
      <c r="E656" s="78" t="s">
        <v>822</v>
      </c>
      <c r="F656" s="81">
        <v>1</v>
      </c>
      <c r="G656" s="950">
        <f>VLOOKUP(C656,[15]Лист_1!$A$10:$H$103,3,0)</f>
        <v>70675.570000000007</v>
      </c>
      <c r="H656" s="950">
        <f>VLOOKUP(C656,[15]Лист_1!$A$10:$H$103,7,0)</f>
        <v>16897.45</v>
      </c>
    </row>
    <row r="657" spans="1:8" hidden="1">
      <c r="A657" s="78" t="s">
        <v>819</v>
      </c>
      <c r="B657" s="79">
        <f>B655</f>
        <v>7</v>
      </c>
      <c r="C657" s="90" t="s">
        <v>1098</v>
      </c>
      <c r="D657" s="78" t="s">
        <v>821</v>
      </c>
      <c r="E657" s="78" t="s">
        <v>824</v>
      </c>
      <c r="F657" s="81">
        <v>1</v>
      </c>
      <c r="G657" s="950">
        <f>VLOOKUP(C657,[15]Лист_1!$A$10:$H$103,3,0)</f>
        <v>4801</v>
      </c>
      <c r="H657" s="950">
        <f>VLOOKUP(C657,[15]Лист_1!$A$10:$H$103,7,0)</f>
        <v>1136.3699999999999</v>
      </c>
    </row>
    <row r="658" spans="1:8" hidden="1">
      <c r="A658" s="78" t="s">
        <v>819</v>
      </c>
      <c r="B658" s="79">
        <f>B655</f>
        <v>7</v>
      </c>
      <c r="C658" s="91" t="s">
        <v>837</v>
      </c>
      <c r="D658" s="78" t="s">
        <v>821</v>
      </c>
      <c r="E658" s="78" t="s">
        <v>822</v>
      </c>
      <c r="F658" s="81">
        <v>1</v>
      </c>
      <c r="G658" s="950">
        <f>VLOOKUP(C658,[15]Лист_1!$A$10:$H$103,3,0)</f>
        <v>81001.649999999994</v>
      </c>
      <c r="H658" s="950">
        <f>VLOOKUP(C658,[15]Лист_1!$A$10:$H$103,7,0)</f>
        <v>19366.239999999998</v>
      </c>
    </row>
    <row r="659" spans="1:8" hidden="1">
      <c r="A659" s="78" t="s">
        <v>819</v>
      </c>
      <c r="B659" s="79">
        <f t="shared" si="25"/>
        <v>7</v>
      </c>
      <c r="C659" s="91" t="s">
        <v>1096</v>
      </c>
      <c r="D659" s="78" t="s">
        <v>821</v>
      </c>
      <c r="E659" s="78" t="s">
        <v>824</v>
      </c>
      <c r="F659" s="81">
        <v>1</v>
      </c>
      <c r="G659" s="950"/>
      <c r="H659" s="950"/>
    </row>
    <row r="660" spans="1:8" hidden="1">
      <c r="A660" s="78" t="s">
        <v>819</v>
      </c>
      <c r="B660" s="79">
        <f>B658</f>
        <v>7</v>
      </c>
      <c r="C660" s="80" t="s">
        <v>1059</v>
      </c>
      <c r="D660" s="78" t="s">
        <v>821</v>
      </c>
      <c r="E660" s="78" t="s">
        <v>822</v>
      </c>
      <c r="F660" s="81">
        <v>1</v>
      </c>
      <c r="G660" s="950">
        <f>VLOOKUP(C660,[15]Лист_1!$A$10:$H$103,3,0)</f>
        <v>73036</v>
      </c>
      <c r="H660" s="950">
        <f>VLOOKUP(C660,[15]Лист_1!$A$10:$H$103,7,0)</f>
        <v>17294.2</v>
      </c>
    </row>
    <row r="661" spans="1:8" hidden="1">
      <c r="A661" s="78" t="s">
        <v>819</v>
      </c>
      <c r="B661" s="79">
        <f t="shared" si="25"/>
        <v>7</v>
      </c>
      <c r="C661" s="91" t="s">
        <v>1109</v>
      </c>
      <c r="D661" s="78" t="s">
        <v>821</v>
      </c>
      <c r="E661" s="78" t="s">
        <v>824</v>
      </c>
      <c r="F661" s="81">
        <v>1</v>
      </c>
      <c r="G661" s="950">
        <f>VLOOKUP(C661,[15]Лист_1!$A$10:$H$103,3,0)</f>
        <v>12003</v>
      </c>
      <c r="H661" s="950"/>
    </row>
    <row r="662" spans="1:8" hidden="1">
      <c r="A662" s="78" t="s">
        <v>819</v>
      </c>
      <c r="B662" s="79">
        <f>B660</f>
        <v>7</v>
      </c>
      <c r="C662" s="92" t="s">
        <v>839</v>
      </c>
      <c r="D662" s="78" t="s">
        <v>821</v>
      </c>
      <c r="E662" s="78" t="s">
        <v>836</v>
      </c>
      <c r="F662" s="81">
        <v>1</v>
      </c>
      <c r="G662" s="950">
        <f>VLOOKUP(C662,[15]Лист_1!$A$10:$H$103,3,0)</f>
        <v>68879.64</v>
      </c>
      <c r="H662" s="950">
        <f>VLOOKUP(C662,[15]Лист_1!$A$10:$H$103,7,0)</f>
        <v>16468.469999999998</v>
      </c>
    </row>
    <row r="663" spans="1:8" hidden="1">
      <c r="A663" s="78" t="s">
        <v>819</v>
      </c>
      <c r="B663" s="79">
        <f t="shared" si="25"/>
        <v>7</v>
      </c>
      <c r="C663" s="78" t="s">
        <v>840</v>
      </c>
      <c r="D663" s="78" t="s">
        <v>821</v>
      </c>
      <c r="E663" s="78" t="s">
        <v>822</v>
      </c>
      <c r="F663" s="81">
        <v>1</v>
      </c>
      <c r="G663" s="950">
        <f>VLOOKUP(C663,[15]Лист_1!$A$10:$H$103,3,0)</f>
        <v>197472.88</v>
      </c>
      <c r="H663" s="950">
        <f>VLOOKUP(C663,[15]Лист_1!$A$10:$H$103,7,0)</f>
        <v>47157.68</v>
      </c>
    </row>
    <row r="664" spans="1:8" hidden="1">
      <c r="A664" s="78" t="s">
        <v>819</v>
      </c>
      <c r="B664" s="79">
        <f t="shared" si="25"/>
        <v>7</v>
      </c>
      <c r="C664" s="78" t="s">
        <v>841</v>
      </c>
      <c r="D664" s="78" t="s">
        <v>821</v>
      </c>
      <c r="E664" s="78" t="s">
        <v>826</v>
      </c>
      <c r="F664" s="81">
        <v>1</v>
      </c>
      <c r="G664" s="950"/>
      <c r="H664" s="950"/>
    </row>
    <row r="665" spans="1:8" hidden="1">
      <c r="A665" s="78" t="s">
        <v>819</v>
      </c>
      <c r="B665" s="79">
        <f t="shared" si="25"/>
        <v>7</v>
      </c>
      <c r="C665" s="84" t="s">
        <v>1060</v>
      </c>
      <c r="D665" s="78" t="s">
        <v>821</v>
      </c>
      <c r="E665" s="78" t="s">
        <v>843</v>
      </c>
      <c r="F665" s="81">
        <v>1</v>
      </c>
      <c r="G665" s="950">
        <f>VLOOKUP(C665,[15]Лист_1!$A$10:$H$103,3,0)</f>
        <v>100050</v>
      </c>
      <c r="H665" s="950">
        <f>VLOOKUP(C665,[15]Лист_1!$A$10:$H$103,7,0)</f>
        <v>23920</v>
      </c>
    </row>
    <row r="666" spans="1:8" hidden="1">
      <c r="A666" s="78" t="s">
        <v>819</v>
      </c>
      <c r="B666" s="79">
        <f t="shared" si="25"/>
        <v>7</v>
      </c>
      <c r="C666" s="84" t="s">
        <v>844</v>
      </c>
      <c r="D666" s="78" t="s">
        <v>821</v>
      </c>
      <c r="E666" s="78" t="s">
        <v>826</v>
      </c>
      <c r="F666" s="81">
        <v>1</v>
      </c>
      <c r="G666" s="950">
        <f>VLOOKUP(C666,[15]Лист_1!$A$10:$H$103,3,0)</f>
        <v>70335</v>
      </c>
      <c r="H666" s="950">
        <f>VLOOKUP(C666,[15]Лист_1!$A$10:$H$103,7,0)</f>
        <v>16815.91</v>
      </c>
    </row>
    <row r="667" spans="1:8" hidden="1">
      <c r="A667" s="78" t="s">
        <v>819</v>
      </c>
      <c r="B667" s="79">
        <f t="shared" si="25"/>
        <v>7</v>
      </c>
      <c r="C667" s="84" t="s">
        <v>846</v>
      </c>
      <c r="D667" s="78" t="s">
        <v>821</v>
      </c>
      <c r="E667" s="91" t="s">
        <v>942</v>
      </c>
      <c r="F667" s="81">
        <v>1</v>
      </c>
      <c r="G667" s="950">
        <f>VLOOKUP(C667,[15]Лист_1!$A$10:$H$103,3,0)</f>
        <v>105456.23</v>
      </c>
      <c r="H667" s="950">
        <f>VLOOKUP(C667,[15]Лист_1!$A$10:$H$103,7,0)</f>
        <v>25212.71</v>
      </c>
    </row>
    <row r="668" spans="1:8" hidden="1">
      <c r="A668" s="78" t="s">
        <v>819</v>
      </c>
      <c r="B668" s="79">
        <f t="shared" si="25"/>
        <v>7</v>
      </c>
      <c r="C668" s="78" t="s">
        <v>847</v>
      </c>
      <c r="D668" s="78" t="s">
        <v>821</v>
      </c>
      <c r="E668" s="78" t="s">
        <v>829</v>
      </c>
      <c r="F668" s="81">
        <v>1</v>
      </c>
      <c r="G668" s="950">
        <f>VLOOKUP(C668,[15]Лист_1!$A$10:$H$103,3,0)</f>
        <v>140899.20000000001</v>
      </c>
      <c r="H668" s="950">
        <f>VLOOKUP(C668,[15]Лист_1!$A$10:$H$103,7,0)</f>
        <v>33878.230000000003</v>
      </c>
    </row>
    <row r="669" spans="1:8" hidden="1">
      <c r="A669" s="78" t="s">
        <v>819</v>
      </c>
      <c r="B669" s="79">
        <f t="shared" si="25"/>
        <v>7</v>
      </c>
      <c r="C669" s="84" t="s">
        <v>919</v>
      </c>
      <c r="D669" s="78" t="s">
        <v>821</v>
      </c>
      <c r="E669" s="78" t="s">
        <v>822</v>
      </c>
      <c r="F669" s="81">
        <v>1</v>
      </c>
      <c r="G669" s="950">
        <f>VLOOKUP(C669,[15]Лист_1!$A$10:$H$103,3,0)</f>
        <v>80340</v>
      </c>
      <c r="H669" s="950">
        <f>VLOOKUP(C669,[15]Лист_1!$A$10:$H$103,7,0)</f>
        <v>19207.91</v>
      </c>
    </row>
    <row r="670" spans="1:8" hidden="1">
      <c r="A670" s="78" t="s">
        <v>819</v>
      </c>
      <c r="B670" s="79">
        <f t="shared" si="25"/>
        <v>7</v>
      </c>
      <c r="C670" s="80" t="s">
        <v>848</v>
      </c>
      <c r="D670" s="78" t="s">
        <v>821</v>
      </c>
      <c r="E670" s="78" t="s">
        <v>826</v>
      </c>
      <c r="F670" s="81">
        <v>1</v>
      </c>
      <c r="G670" s="950">
        <f>VLOOKUP(C670,[15]Лист_1!$A$10:$H$103,3,0)</f>
        <v>70035</v>
      </c>
      <c r="H670" s="950">
        <f>VLOOKUP(C670,[15]Лист_1!$A$10:$H$103,7,0)</f>
        <v>16744</v>
      </c>
    </row>
    <row r="671" spans="1:8" hidden="1">
      <c r="A671" s="78" t="s">
        <v>819</v>
      </c>
      <c r="B671" s="79">
        <f t="shared" si="25"/>
        <v>7</v>
      </c>
      <c r="C671" s="78" t="s">
        <v>849</v>
      </c>
      <c r="D671" s="78" t="s">
        <v>821</v>
      </c>
      <c r="E671" s="78" t="s">
        <v>824</v>
      </c>
      <c r="F671" s="81">
        <v>1</v>
      </c>
      <c r="G671" s="950">
        <f>VLOOKUP(C671,[15]Лист_1!$A$10:$H$103,3,0)</f>
        <v>120300</v>
      </c>
      <c r="H671" s="950">
        <f>VLOOKUP(C671,[15]Лист_1!$A$10:$H$103,7,0)</f>
        <v>28761.52</v>
      </c>
    </row>
    <row r="672" spans="1:8" hidden="1">
      <c r="A672" s="78" t="s">
        <v>819</v>
      </c>
      <c r="B672" s="79">
        <f>B671</f>
        <v>7</v>
      </c>
      <c r="C672" s="90" t="s">
        <v>1044</v>
      </c>
      <c r="D672" s="78" t="s">
        <v>821</v>
      </c>
      <c r="E672" s="78" t="s">
        <v>826</v>
      </c>
      <c r="F672" s="81">
        <v>1</v>
      </c>
      <c r="G672" s="950">
        <v>74470</v>
      </c>
      <c r="H672" s="950"/>
    </row>
    <row r="673" spans="1:8" hidden="1">
      <c r="A673" s="78" t="s">
        <v>819</v>
      </c>
      <c r="B673" s="79">
        <f>B671</f>
        <v>7</v>
      </c>
      <c r="C673" s="78" t="s">
        <v>851</v>
      </c>
      <c r="D673" s="78" t="s">
        <v>821</v>
      </c>
      <c r="E673" s="78" t="s">
        <v>826</v>
      </c>
      <c r="F673" s="81">
        <v>1</v>
      </c>
      <c r="G673" s="950">
        <f>VLOOKUP(C673,[15]Лист_1!$A$10:$H$103,3,0)</f>
        <v>67154.38</v>
      </c>
      <c r="H673" s="950">
        <f>VLOOKUP(C673,[15]Лист_1!$A$10:$H$103,7,0)</f>
        <v>15773.990000000002</v>
      </c>
    </row>
    <row r="674" spans="1:8" hidden="1">
      <c r="A674" s="78" t="s">
        <v>819</v>
      </c>
      <c r="B674" s="79">
        <f>B672</f>
        <v>7</v>
      </c>
      <c r="C674" s="84" t="s">
        <v>853</v>
      </c>
      <c r="D674" s="78" t="s">
        <v>821</v>
      </c>
      <c r="E674" s="78" t="s">
        <v>836</v>
      </c>
      <c r="F674" s="81">
        <v>1</v>
      </c>
      <c r="G674" s="950">
        <f>VLOOKUP(C674,[15]Лист_1!$A$10:$H$103,3,0)</f>
        <v>71224.350000000006</v>
      </c>
      <c r="H674" s="950">
        <f>VLOOKUP(C674,[15]Лист_1!$A$10:$H$103,7,0)</f>
        <v>17028.649999999998</v>
      </c>
    </row>
    <row r="675" spans="1:8" hidden="1">
      <c r="A675" s="78" t="s">
        <v>819</v>
      </c>
      <c r="B675" s="79">
        <f t="shared" si="25"/>
        <v>7</v>
      </c>
      <c r="C675" s="84" t="s">
        <v>1061</v>
      </c>
      <c r="D675" s="78" t="s">
        <v>821</v>
      </c>
      <c r="E675" s="78" t="s">
        <v>826</v>
      </c>
      <c r="F675" s="81">
        <v>1</v>
      </c>
      <c r="G675" s="950">
        <f>VLOOKUP(C675,[15]Лист_1!$A$10:$H$103,3,0)</f>
        <v>92520</v>
      </c>
      <c r="H675" s="950">
        <f>VLOOKUP(C675,[15]Лист_1!$A$10:$H$103,7,0)</f>
        <v>22119.91</v>
      </c>
    </row>
    <row r="676" spans="1:8" hidden="1">
      <c r="A676" s="78" t="s">
        <v>819</v>
      </c>
      <c r="B676" s="79">
        <f t="shared" si="25"/>
        <v>7</v>
      </c>
      <c r="C676" s="91" t="s">
        <v>855</v>
      </c>
      <c r="D676" s="78" t="s">
        <v>821</v>
      </c>
      <c r="E676" s="91" t="s">
        <v>822</v>
      </c>
      <c r="F676" s="81">
        <v>1</v>
      </c>
      <c r="G676" s="950">
        <f>VLOOKUP(C676,[15]Лист_1!$A$10:$H$103,3,0)</f>
        <v>85555</v>
      </c>
      <c r="H676" s="950">
        <f>VLOOKUP(C676,[15]Лист_1!$A$10:$H$103,7,0)</f>
        <v>20454.45</v>
      </c>
    </row>
    <row r="677" spans="1:8" hidden="1">
      <c r="A677" s="78" t="s">
        <v>819</v>
      </c>
      <c r="B677" s="79">
        <f t="shared" si="25"/>
        <v>7</v>
      </c>
      <c r="C677" s="78" t="s">
        <v>856</v>
      </c>
      <c r="D677" s="78" t="s">
        <v>821</v>
      </c>
      <c r="E677" s="78" t="s">
        <v>826</v>
      </c>
      <c r="F677" s="81">
        <v>1</v>
      </c>
      <c r="G677" s="950">
        <f>VLOOKUP(C677,[15]Лист_1!$A$10:$H$103,3,0)</f>
        <v>131368.76</v>
      </c>
      <c r="H677" s="950">
        <f>VLOOKUP(C677,[15]Лист_1!$A$10:$H$103,7,0)</f>
        <v>31406.83</v>
      </c>
    </row>
    <row r="678" spans="1:8" hidden="1">
      <c r="A678" s="78" t="s">
        <v>819</v>
      </c>
      <c r="B678" s="79">
        <f t="shared" si="25"/>
        <v>7</v>
      </c>
      <c r="C678" s="78" t="s">
        <v>857</v>
      </c>
      <c r="D678" s="78" t="s">
        <v>821</v>
      </c>
      <c r="E678" s="78" t="s">
        <v>824</v>
      </c>
      <c r="F678" s="81">
        <v>1</v>
      </c>
      <c r="G678" s="950">
        <f>VLOOKUP(C678,[15]Лист_1!$A$10:$H$103,3,0)</f>
        <v>7180.16</v>
      </c>
      <c r="H678" s="950">
        <f>VLOOKUP(C678,[15]Лист_1!$A$10:$H$103,7,0)</f>
        <v>1072</v>
      </c>
    </row>
    <row r="679" spans="1:8" hidden="1">
      <c r="A679" s="78" t="s">
        <v>819</v>
      </c>
      <c r="B679" s="79">
        <f t="shared" si="25"/>
        <v>7</v>
      </c>
      <c r="C679" s="90" t="s">
        <v>1062</v>
      </c>
      <c r="D679" s="78" t="s">
        <v>821</v>
      </c>
      <c r="E679" s="78" t="s">
        <v>822</v>
      </c>
      <c r="F679" s="81"/>
      <c r="G679" s="950"/>
      <c r="H679" s="950"/>
    </row>
    <row r="680" spans="1:8" hidden="1">
      <c r="A680" s="78" t="s">
        <v>819</v>
      </c>
      <c r="B680" s="79">
        <f t="shared" si="25"/>
        <v>7</v>
      </c>
      <c r="C680" s="78" t="s">
        <v>858</v>
      </c>
      <c r="D680" s="78" t="s">
        <v>821</v>
      </c>
      <c r="E680" s="78" t="s">
        <v>826</v>
      </c>
      <c r="F680" s="81">
        <v>1</v>
      </c>
      <c r="G680" s="950">
        <f>VLOOKUP(C680,[15]Лист_1!$A$10:$H$103,3,0)</f>
        <v>79027.960000000006</v>
      </c>
      <c r="H680" s="950">
        <f>VLOOKUP(C680,[15]Лист_1!$A$10:$H$103,7,0)</f>
        <v>18893.21</v>
      </c>
    </row>
    <row r="681" spans="1:8" hidden="1">
      <c r="A681" s="78" t="s">
        <v>819</v>
      </c>
      <c r="B681" s="79">
        <f>B646</f>
        <v>7</v>
      </c>
      <c r="C681" s="91" t="s">
        <v>1063</v>
      </c>
      <c r="D681" s="78" t="s">
        <v>821</v>
      </c>
      <c r="E681" s="78" t="s">
        <v>824</v>
      </c>
      <c r="F681" s="81">
        <v>1</v>
      </c>
      <c r="G681" s="950">
        <f>VLOOKUP(C681,[15]Лист_1!$A$10:$H$103,3,0)</f>
        <v>14889</v>
      </c>
      <c r="H681" s="950">
        <f>VLOOKUP(C681,[15]Лист_1!$A$10:$H$103,7,0)</f>
        <v>3524.59</v>
      </c>
    </row>
    <row r="682" spans="1:8" hidden="1">
      <c r="A682" s="78" t="s">
        <v>819</v>
      </c>
      <c r="B682" s="79">
        <f>B647</f>
        <v>7</v>
      </c>
      <c r="C682" s="91" t="s">
        <v>862</v>
      </c>
      <c r="D682" s="78" t="s">
        <v>821</v>
      </c>
      <c r="E682" s="78" t="s">
        <v>822</v>
      </c>
      <c r="F682" s="81">
        <v>1</v>
      </c>
      <c r="G682" s="950">
        <f>VLOOKUP(C682,[15]Лист_1!$A$10:$H$103,3,0)</f>
        <v>116302.56</v>
      </c>
      <c r="H682" s="950">
        <f>VLOOKUP(C682,[15]Лист_1!$A$10:$H$103,7,0)</f>
        <v>27805.09</v>
      </c>
    </row>
    <row r="683" spans="1:8" ht="12" hidden="1" customHeight="1">
      <c r="A683" s="78" t="s">
        <v>819</v>
      </c>
      <c r="B683" s="79">
        <f t="shared" si="25"/>
        <v>7</v>
      </c>
      <c r="C683" s="84" t="s">
        <v>863</v>
      </c>
      <c r="D683" s="78" t="s">
        <v>821</v>
      </c>
      <c r="E683" s="78" t="s">
        <v>829</v>
      </c>
      <c r="F683" s="81">
        <v>1</v>
      </c>
      <c r="G683" s="950">
        <f>VLOOKUP(C683,[15]Лист_1!$A$10:$H$103,3,0)</f>
        <v>70837.52</v>
      </c>
      <c r="H683" s="950">
        <f>VLOOKUP(C683,[15]Лист_1!$A$10:$H$103,7,0)</f>
        <v>16934.88</v>
      </c>
    </row>
    <row r="684" spans="1:8" hidden="1">
      <c r="A684" s="78" t="s">
        <v>819</v>
      </c>
      <c r="B684" s="79">
        <f t="shared" si="25"/>
        <v>7</v>
      </c>
      <c r="C684" s="78" t="s">
        <v>1064</v>
      </c>
      <c r="D684" s="78" t="s">
        <v>821</v>
      </c>
      <c r="E684" s="78" t="s">
        <v>826</v>
      </c>
      <c r="F684" s="81">
        <v>1</v>
      </c>
      <c r="G684" s="950">
        <f>VLOOKUP(C684,[15]Лист_1!$A$10:$H$103,3,0)</f>
        <v>12350</v>
      </c>
      <c r="H684" s="950">
        <f>VLOOKUP(C684,[15]Лист_1!$A$10:$H$103,7,0)</f>
        <v>2924.9</v>
      </c>
    </row>
    <row r="685" spans="1:8" ht="15" hidden="1" customHeight="1">
      <c r="A685" s="78" t="s">
        <v>819</v>
      </c>
      <c r="B685" s="79">
        <f t="shared" si="25"/>
        <v>7</v>
      </c>
      <c r="C685" s="84" t="s">
        <v>865</v>
      </c>
      <c r="D685" s="78" t="s">
        <v>821</v>
      </c>
      <c r="E685" s="78" t="s">
        <v>822</v>
      </c>
      <c r="F685" s="81">
        <v>1</v>
      </c>
      <c r="G685" s="950">
        <f>VLOOKUP(C685,[15]Лист_1!$A$10:$H$103,3,0)</f>
        <v>126731.57999999999</v>
      </c>
      <c r="H685" s="950">
        <f>VLOOKUP(C685,[15]Лист_1!$A$10:$H$103,7,0)</f>
        <v>30298.07</v>
      </c>
    </row>
    <row r="686" spans="1:8" ht="15" hidden="1" customHeight="1">
      <c r="A686" s="78" t="s">
        <v>819</v>
      </c>
      <c r="B686" s="79">
        <f>B685</f>
        <v>7</v>
      </c>
      <c r="C686" s="84" t="s">
        <v>1040</v>
      </c>
      <c r="D686" s="78" t="s">
        <v>821</v>
      </c>
      <c r="E686" s="78" t="s">
        <v>822</v>
      </c>
      <c r="F686" s="81">
        <v>1</v>
      </c>
      <c r="G686" s="950">
        <f>VLOOKUP(C686,[15]Лист_1!$A$10:$H$103,3,0)</f>
        <v>120361</v>
      </c>
      <c r="H686" s="950">
        <f>VLOOKUP(C686,[15]Лист_1!$A$10:$H$103,7,0)</f>
        <v>28774.91</v>
      </c>
    </row>
    <row r="687" spans="1:8" hidden="1">
      <c r="A687" s="78" t="s">
        <v>819</v>
      </c>
      <c r="B687" s="79">
        <f>B685</f>
        <v>7</v>
      </c>
      <c r="C687" s="91" t="s">
        <v>866</v>
      </c>
      <c r="D687" s="78" t="s">
        <v>821</v>
      </c>
      <c r="E687" s="78" t="s">
        <v>826</v>
      </c>
      <c r="F687" s="81">
        <v>1</v>
      </c>
      <c r="G687" s="950">
        <f>VLOOKUP(C687,[15]Лист_1!$A$10:$H$103,3,0)</f>
        <v>64133.58</v>
      </c>
      <c r="H687" s="950">
        <f>VLOOKUP(C687,[15]Лист_1!$A$10:$H$103,7,0)</f>
        <v>15332.89</v>
      </c>
    </row>
    <row r="688" spans="1:8" hidden="1">
      <c r="A688" s="78" t="s">
        <v>819</v>
      </c>
      <c r="B688" s="79">
        <f>B687</f>
        <v>7</v>
      </c>
      <c r="C688" s="80" t="s">
        <v>867</v>
      </c>
      <c r="D688" s="78" t="s">
        <v>821</v>
      </c>
      <c r="E688" s="78" t="s">
        <v>822</v>
      </c>
      <c r="F688" s="81">
        <v>1</v>
      </c>
      <c r="G688" s="950">
        <f>VLOOKUP(C688,[15]Лист_1!$A$10:$H$103,3,0)</f>
        <v>70335</v>
      </c>
      <c r="H688" s="950">
        <f>VLOOKUP(C688,[15]Лист_1!$A$10:$H$103,7,0)</f>
        <v>16815.91</v>
      </c>
    </row>
    <row r="689" spans="1:8" hidden="1">
      <c r="A689" s="78" t="s">
        <v>819</v>
      </c>
      <c r="B689" s="79">
        <f t="shared" si="25"/>
        <v>7</v>
      </c>
      <c r="C689" s="80" t="s">
        <v>868</v>
      </c>
      <c r="D689" s="78" t="s">
        <v>821</v>
      </c>
      <c r="E689" s="78" t="s">
        <v>826</v>
      </c>
      <c r="F689" s="81">
        <v>1</v>
      </c>
      <c r="G689" s="950">
        <f>VLOOKUP(C689,[15]Лист_1!$A$10:$H$103,3,0)</f>
        <v>69337.08</v>
      </c>
      <c r="H689" s="950">
        <f>VLOOKUP(C689,[15]Лист_1!$A$10:$H$103,7,0)</f>
        <v>16577.460000000003</v>
      </c>
    </row>
    <row r="690" spans="1:8" hidden="1">
      <c r="A690" s="78" t="s">
        <v>819</v>
      </c>
      <c r="B690" s="79">
        <f t="shared" si="25"/>
        <v>7</v>
      </c>
      <c r="C690" s="90" t="s">
        <v>869</v>
      </c>
      <c r="D690" s="78" t="s">
        <v>821</v>
      </c>
      <c r="E690" s="78" t="s">
        <v>822</v>
      </c>
      <c r="F690" s="81">
        <v>1</v>
      </c>
      <c r="G690" s="950">
        <f>VLOOKUP(C690,[15]Лист_1!$A$10:$H$103,3,0)</f>
        <v>77960.210000000006</v>
      </c>
      <c r="H690" s="950">
        <f>VLOOKUP(C690,[15]Лист_1!$A$10:$H$103,7,0)</f>
        <v>18341.23</v>
      </c>
    </row>
    <row r="691" spans="1:8" hidden="1">
      <c r="A691" s="78" t="s">
        <v>819</v>
      </c>
      <c r="B691" s="79">
        <f t="shared" si="25"/>
        <v>7</v>
      </c>
      <c r="C691" s="90" t="s">
        <v>1065</v>
      </c>
      <c r="D691" s="78" t="s">
        <v>821</v>
      </c>
      <c r="E691" s="78" t="s">
        <v>822</v>
      </c>
      <c r="F691" s="81">
        <v>1</v>
      </c>
      <c r="G691" s="950">
        <f>VLOOKUP(C691,[15]Лист_1!$A$10:$H$103,3,0)</f>
        <v>29652.260000000002</v>
      </c>
      <c r="H691" s="950">
        <f>VLOOKUP(C691,[15]Лист_1!$A$10:$H$103,7,0)</f>
        <v>7089.5</v>
      </c>
    </row>
    <row r="692" spans="1:8" hidden="1">
      <c r="A692" s="78" t="s">
        <v>819</v>
      </c>
      <c r="B692" s="79">
        <f t="shared" si="25"/>
        <v>7</v>
      </c>
      <c r="C692" s="78" t="s">
        <v>871</v>
      </c>
      <c r="D692" s="78" t="s">
        <v>821</v>
      </c>
      <c r="E692" s="78" t="s">
        <v>829</v>
      </c>
      <c r="F692" s="81">
        <v>1</v>
      </c>
      <c r="G692" s="950">
        <f>VLOOKUP(C692,[15]Лист_1!$A$10:$H$103,3,0)</f>
        <v>59594.91</v>
      </c>
      <c r="H692" s="950">
        <f>VLOOKUP(C692,[15]Лист_1!$A$10:$H$103,7,0)</f>
        <v>14247.99</v>
      </c>
    </row>
    <row r="693" spans="1:8" hidden="1">
      <c r="A693" s="78" t="s">
        <v>819</v>
      </c>
      <c r="B693" s="79">
        <f t="shared" si="25"/>
        <v>7</v>
      </c>
      <c r="C693" s="78" t="s">
        <v>1066</v>
      </c>
      <c r="D693" s="78" t="s">
        <v>821</v>
      </c>
      <c r="E693" s="78" t="s">
        <v>824</v>
      </c>
      <c r="F693" s="81"/>
      <c r="G693" s="950"/>
      <c r="H693" s="950"/>
    </row>
    <row r="694" spans="1:8" hidden="1">
      <c r="A694" s="78" t="s">
        <v>819</v>
      </c>
      <c r="B694" s="79">
        <f>B693</f>
        <v>7</v>
      </c>
      <c r="C694" s="78" t="s">
        <v>873</v>
      </c>
      <c r="D694" s="78" t="s">
        <v>821</v>
      </c>
      <c r="E694" s="78" t="s">
        <v>843</v>
      </c>
      <c r="F694" s="81">
        <v>1</v>
      </c>
      <c r="G694" s="950">
        <f>VLOOKUP(C694,[15]Лист_1!$A$10:$H$103,3,0)+10000</f>
        <v>120051</v>
      </c>
      <c r="H694" s="950">
        <f>VLOOKUP(C694,[15]Лист_1!$A$10:$H$103,7,0)</f>
        <v>26310.610000000004</v>
      </c>
    </row>
    <row r="695" spans="1:8" hidden="1">
      <c r="A695" s="78" t="s">
        <v>819</v>
      </c>
      <c r="B695" s="79">
        <f t="shared" si="25"/>
        <v>7</v>
      </c>
      <c r="C695" s="91" t="s">
        <v>874</v>
      </c>
      <c r="D695" s="78" t="s">
        <v>821</v>
      </c>
      <c r="E695" s="78" t="s">
        <v>824</v>
      </c>
      <c r="F695" s="81">
        <v>1</v>
      </c>
      <c r="G695" s="950">
        <f>VLOOKUP(C695,[15]Лист_1!$A$10:$H$103,3,0)</f>
        <v>68492.52</v>
      </c>
      <c r="H695" s="950">
        <f>VLOOKUP(C695,[15]Лист_1!$A$10:$H$103,7,0)</f>
        <v>16144.71</v>
      </c>
    </row>
    <row r="696" spans="1:8" hidden="1">
      <c r="A696" s="78" t="s">
        <v>819</v>
      </c>
      <c r="B696" s="79">
        <f t="shared" si="25"/>
        <v>7</v>
      </c>
      <c r="C696" s="84" t="s">
        <v>877</v>
      </c>
      <c r="D696" s="78" t="s">
        <v>821</v>
      </c>
      <c r="E696" s="91" t="s">
        <v>942</v>
      </c>
      <c r="F696" s="81">
        <v>1</v>
      </c>
      <c r="G696" s="950">
        <f>VLOOKUP(C696,[15]Лист_1!$A$10:$H$103,3,0)</f>
        <v>130065</v>
      </c>
      <c r="H696" s="950">
        <f>VLOOKUP(C696,[15]Лист_1!$A$10:$H$103,7,0)</f>
        <v>31096</v>
      </c>
    </row>
    <row r="697" spans="1:8" hidden="1">
      <c r="A697" s="78" t="s">
        <v>819</v>
      </c>
      <c r="B697" s="79">
        <f>B695</f>
        <v>7</v>
      </c>
      <c r="C697" s="84" t="s">
        <v>1041</v>
      </c>
      <c r="D697" s="78" t="s">
        <v>821</v>
      </c>
      <c r="E697" s="78" t="s">
        <v>822</v>
      </c>
      <c r="F697" s="81">
        <v>1</v>
      </c>
      <c r="G697" s="950">
        <f>VLOOKUP(C697,[15]Лист_1!$A$10:$H$103,3,0)</f>
        <v>130365</v>
      </c>
      <c r="H697" s="950">
        <f>VLOOKUP(C697,[15]Лист_1!$A$10:$H$103,7,0)</f>
        <v>31167.91</v>
      </c>
    </row>
    <row r="698" spans="1:8" hidden="1">
      <c r="A698" s="78" t="s">
        <v>819</v>
      </c>
      <c r="B698" s="79">
        <f>B696</f>
        <v>7</v>
      </c>
      <c r="C698" s="78" t="s">
        <v>878</v>
      </c>
      <c r="D698" s="78" t="s">
        <v>821</v>
      </c>
      <c r="E698" s="78" t="s">
        <v>836</v>
      </c>
      <c r="F698" s="81">
        <v>1</v>
      </c>
      <c r="G698" s="950">
        <f>VLOOKUP(C698,[15]Лист_1!$A$10:$H$103,3,0)</f>
        <v>91156.39</v>
      </c>
      <c r="H698" s="950">
        <f>VLOOKUP(C698,[15]Лист_1!$A$10:$H$103,7,0)</f>
        <v>21793.63</v>
      </c>
    </row>
    <row r="699" spans="1:8" hidden="1">
      <c r="A699" s="78" t="s">
        <v>819</v>
      </c>
      <c r="B699" s="79">
        <f>B698</f>
        <v>7</v>
      </c>
      <c r="C699" s="80" t="s">
        <v>1067</v>
      </c>
      <c r="D699" s="78" t="s">
        <v>821</v>
      </c>
      <c r="E699" s="78" t="s">
        <v>826</v>
      </c>
      <c r="F699" s="81">
        <v>1</v>
      </c>
      <c r="G699" s="950">
        <f>VLOOKUP(C699,[15]Лист_1!$A$10:$H$103,3,0)</f>
        <v>117278</v>
      </c>
      <c r="H699" s="950">
        <f>VLOOKUP(C699,[15]Лист_1!$A$10:$H$103,7,0)</f>
        <v>27770.03</v>
      </c>
    </row>
    <row r="700" spans="1:8" hidden="1">
      <c r="A700" s="78" t="s">
        <v>819</v>
      </c>
      <c r="B700" s="79">
        <f>B699</f>
        <v>7</v>
      </c>
      <c r="C700" s="78" t="s">
        <v>1070</v>
      </c>
      <c r="D700" s="78" t="s">
        <v>821</v>
      </c>
      <c r="E700" s="78" t="s">
        <v>824</v>
      </c>
      <c r="F700" s="81">
        <v>1</v>
      </c>
      <c r="G700" s="950">
        <f>VLOOKUP(C700,[15]Лист_1!$A$10:$H$103,3,0)</f>
        <v>50325</v>
      </c>
      <c r="H700" s="950">
        <f>VLOOKUP(C700,[15]Лист_1!$A$10:$H$103,7,0)</f>
        <v>12031.910000000002</v>
      </c>
    </row>
    <row r="701" spans="1:8" hidden="1">
      <c r="A701" s="78" t="s">
        <v>819</v>
      </c>
      <c r="B701" s="79">
        <f>B698</f>
        <v>7</v>
      </c>
      <c r="C701" s="83" t="s">
        <v>879</v>
      </c>
      <c r="D701" s="78" t="s">
        <v>821</v>
      </c>
      <c r="E701" s="78" t="s">
        <v>822</v>
      </c>
      <c r="F701" s="81"/>
      <c r="G701" s="950"/>
      <c r="H701" s="950"/>
    </row>
    <row r="702" spans="1:8" hidden="1">
      <c r="A702" s="78" t="s">
        <v>819</v>
      </c>
      <c r="B702" s="79">
        <f t="shared" ref="B702:B722" si="26">B701</f>
        <v>7</v>
      </c>
      <c r="C702" s="83" t="s">
        <v>880</v>
      </c>
      <c r="D702" s="78" t="s">
        <v>821</v>
      </c>
      <c r="E702" s="78" t="s">
        <v>822</v>
      </c>
      <c r="F702" s="81">
        <v>1</v>
      </c>
      <c r="G702" s="950">
        <f>VLOOKUP(C702,[15]Лист_1!$A$10:$H$103,3,0)</f>
        <v>120060</v>
      </c>
      <c r="H702" s="950">
        <f>VLOOKUP(C702,[15]Лист_1!$A$10:$H$103,7,0)</f>
        <v>28704</v>
      </c>
    </row>
    <row r="703" spans="1:8" hidden="1">
      <c r="A703" s="78" t="s">
        <v>819</v>
      </c>
      <c r="B703" s="79">
        <f t="shared" si="26"/>
        <v>7</v>
      </c>
      <c r="C703" s="91" t="s">
        <v>881</v>
      </c>
      <c r="D703" s="78" t="s">
        <v>821</v>
      </c>
      <c r="E703" s="91" t="s">
        <v>942</v>
      </c>
      <c r="F703" s="81">
        <v>1</v>
      </c>
      <c r="G703" s="950">
        <f>VLOOKUP(C703,[15]Лист_1!$A$10:$H$103,3,0)</f>
        <v>113000</v>
      </c>
      <c r="H703" s="950">
        <f>VLOOKUP(C703,[15]Лист_1!$A$10:$H$103,7,0)</f>
        <v>0</v>
      </c>
    </row>
    <row r="704" spans="1:8" ht="12.75" hidden="1" customHeight="1">
      <c r="A704" s="78" t="s">
        <v>819</v>
      </c>
      <c r="B704" s="79">
        <f t="shared" si="26"/>
        <v>7</v>
      </c>
      <c r="C704" s="78" t="s">
        <v>1042</v>
      </c>
      <c r="D704" s="78" t="s">
        <v>821</v>
      </c>
      <c r="E704" s="78" t="s">
        <v>822</v>
      </c>
      <c r="F704" s="81">
        <v>1</v>
      </c>
      <c r="G704" s="950">
        <f>VLOOKUP(C704,[15]Лист_1!$A$10:$H$103,3,0)</f>
        <v>100350</v>
      </c>
      <c r="H704" s="950">
        <f>VLOOKUP(C704,[15]Лист_1!$A$10:$H$103,7,0)</f>
        <v>23991.91</v>
      </c>
    </row>
    <row r="705" spans="1:8" ht="12.75" hidden="1" customHeight="1">
      <c r="A705" s="78" t="s">
        <v>819</v>
      </c>
      <c r="B705" s="79">
        <f t="shared" si="26"/>
        <v>7</v>
      </c>
      <c r="C705" s="90" t="s">
        <v>963</v>
      </c>
      <c r="D705" s="78" t="s">
        <v>821</v>
      </c>
      <c r="E705" s="78" t="s">
        <v>822</v>
      </c>
      <c r="F705" s="81">
        <v>1</v>
      </c>
      <c r="G705" s="950">
        <f>VLOOKUP(C705,[15]Лист_1!$A$10:$H$103,3,0)</f>
        <v>60877</v>
      </c>
      <c r="H705" s="950">
        <f>VLOOKUP(C705,[15]Лист_1!$A$10:$H$103,7,0)</f>
        <v>13876.910000000002</v>
      </c>
    </row>
    <row r="706" spans="1:8" hidden="1">
      <c r="A706" s="78" t="s">
        <v>819</v>
      </c>
      <c r="B706" s="79">
        <f t="shared" si="26"/>
        <v>7</v>
      </c>
      <c r="C706" s="91" t="s">
        <v>884</v>
      </c>
      <c r="D706" s="78" t="s">
        <v>821</v>
      </c>
      <c r="E706" s="78" t="s">
        <v>824</v>
      </c>
      <c r="F706" s="81">
        <v>1</v>
      </c>
      <c r="G706" s="950">
        <f>VLOOKUP(C706,[15]Лист_1!$A$10:$H$103,3,0)</f>
        <v>77000</v>
      </c>
      <c r="H706" s="950">
        <f>VLOOKUP(C706,[15]Лист_1!$A$10:$H$103,7,0)</f>
        <v>18232.46</v>
      </c>
    </row>
    <row r="707" spans="1:8" ht="10.5" hidden="1" customHeight="1">
      <c r="A707" s="78" t="s">
        <v>819</v>
      </c>
      <c r="B707" s="79">
        <f>B705</f>
        <v>7</v>
      </c>
      <c r="C707" s="80" t="s">
        <v>1053</v>
      </c>
      <c r="D707" s="78" t="s">
        <v>821</v>
      </c>
      <c r="E707" s="78" t="s">
        <v>836</v>
      </c>
      <c r="F707" s="81">
        <v>1</v>
      </c>
      <c r="G707" s="950">
        <f>VLOOKUP(C707,[15]Лист_1!$A$10:$H$103,3,0)</f>
        <v>65376</v>
      </c>
      <c r="H707" s="950">
        <f>VLOOKUP(C707,[15]Лист_1!$A$10:$H$103,7,0)</f>
        <v>15630.310000000001</v>
      </c>
    </row>
    <row r="708" spans="1:8" ht="13.5" hidden="1" customHeight="1">
      <c r="A708" s="78" t="s">
        <v>819</v>
      </c>
      <c r="B708" s="79">
        <f>B706</f>
        <v>7</v>
      </c>
      <c r="C708" s="80" t="s">
        <v>886</v>
      </c>
      <c r="D708" s="78" t="s">
        <v>821</v>
      </c>
      <c r="E708" s="78" t="s">
        <v>822</v>
      </c>
      <c r="F708" s="81">
        <v>1</v>
      </c>
      <c r="G708" s="950">
        <f>VLOOKUP(C708,[15]Лист_1!$A$10:$H$103,3,0)</f>
        <v>119656.23999999999</v>
      </c>
      <c r="H708" s="950">
        <f>VLOOKUP(C708,[15]Лист_1!$A$10:$H$103,7,0)</f>
        <v>28606.75</v>
      </c>
    </row>
    <row r="709" spans="1:8" hidden="1">
      <c r="A709" s="78" t="s">
        <v>819</v>
      </c>
      <c r="B709" s="79">
        <f t="shared" si="26"/>
        <v>7</v>
      </c>
      <c r="C709" s="80" t="s">
        <v>888</v>
      </c>
      <c r="D709" s="78" t="s">
        <v>821</v>
      </c>
      <c r="E709" s="78" t="s">
        <v>822</v>
      </c>
      <c r="F709" s="81">
        <v>1</v>
      </c>
      <c r="G709" s="950">
        <v>50000</v>
      </c>
      <c r="H709" s="950"/>
    </row>
    <row r="710" spans="1:8" hidden="1">
      <c r="A710" s="78" t="s">
        <v>910</v>
      </c>
      <c r="B710" s="79">
        <f t="shared" si="26"/>
        <v>7</v>
      </c>
      <c r="C710" s="83" t="s">
        <v>914</v>
      </c>
      <c r="D710" s="78" t="s">
        <v>832</v>
      </c>
      <c r="E710" s="78" t="s">
        <v>172</v>
      </c>
      <c r="F710" s="81">
        <v>1</v>
      </c>
      <c r="G710" s="950">
        <f>VLOOKUP(C710,[15]Лист_1!$A$10:$H$103,3,0)</f>
        <v>80396.97</v>
      </c>
      <c r="H710" s="950">
        <f>VLOOKUP(C710,[15]Лист_1!$A$10:$H$103,7,0)</f>
        <v>19220.98</v>
      </c>
    </row>
    <row r="711" spans="1:8" hidden="1">
      <c r="A711" s="78" t="s">
        <v>910</v>
      </c>
      <c r="B711" s="79">
        <f t="shared" si="26"/>
        <v>7</v>
      </c>
      <c r="C711" s="78" t="s">
        <v>917</v>
      </c>
      <c r="D711" s="78" t="s">
        <v>821</v>
      </c>
      <c r="E711" s="78" t="s">
        <v>172</v>
      </c>
      <c r="F711" s="81">
        <v>1</v>
      </c>
      <c r="G711" s="950">
        <f>VLOOKUP(C711,[15]Лист_1!$A$10:$H$103,3,0)</f>
        <v>183147.48</v>
      </c>
      <c r="H711" s="950">
        <f>VLOOKUP(C711,[15]Лист_1!$A$10:$H$103,7,0)</f>
        <v>43787.13</v>
      </c>
    </row>
    <row r="712" spans="1:8" hidden="1">
      <c r="A712" s="78" t="s">
        <v>910</v>
      </c>
      <c r="B712" s="79">
        <f t="shared" si="26"/>
        <v>7</v>
      </c>
      <c r="C712" s="91" t="s">
        <v>1097</v>
      </c>
      <c r="D712" s="78" t="s">
        <v>821</v>
      </c>
      <c r="E712" s="78" t="s">
        <v>172</v>
      </c>
      <c r="F712" s="81">
        <v>1</v>
      </c>
      <c r="G712" s="950">
        <f>VLOOKUP(C712,[15]Лист_1!$A$10:$H$103,3,0)</f>
        <v>100350</v>
      </c>
      <c r="H712" s="950">
        <f>VLOOKUP(C712,[15]Лист_1!$A$10:$H$103,7,0)</f>
        <v>23991.91</v>
      </c>
    </row>
    <row r="713" spans="1:8" ht="26.4" hidden="1">
      <c r="A713" s="78" t="s">
        <v>910</v>
      </c>
      <c r="B713" s="79">
        <f>B711</f>
        <v>7</v>
      </c>
      <c r="C713" s="92" t="s">
        <v>909</v>
      </c>
      <c r="D713" s="78" t="s">
        <v>832</v>
      </c>
      <c r="E713" s="78" t="s">
        <v>172</v>
      </c>
      <c r="F713" s="81">
        <v>1</v>
      </c>
      <c r="G713" s="950">
        <v>50000</v>
      </c>
      <c r="H713" s="950">
        <v>11954.08</v>
      </c>
    </row>
    <row r="714" spans="1:8" hidden="1">
      <c r="A714" s="78" t="s">
        <v>905</v>
      </c>
      <c r="B714" s="79">
        <f>B711</f>
        <v>7</v>
      </c>
      <c r="C714" s="84" t="s">
        <v>908</v>
      </c>
      <c r="D714" s="78" t="s">
        <v>832</v>
      </c>
      <c r="E714" s="78" t="s">
        <v>173</v>
      </c>
      <c r="F714" s="81">
        <v>1</v>
      </c>
      <c r="G714" s="950">
        <f>VLOOKUP(C714,[15]Лист_1!$A$10:$H$103,3,0)</f>
        <v>116179.25</v>
      </c>
      <c r="H714" s="950">
        <f>VLOOKUP(C714,[15]Лист_1!$A$10:$H$103,7,0)</f>
        <v>27480.609999999997</v>
      </c>
    </row>
    <row r="715" spans="1:8" hidden="1">
      <c r="A715" s="78" t="s">
        <v>905</v>
      </c>
      <c r="B715" s="79">
        <f t="shared" si="26"/>
        <v>7</v>
      </c>
      <c r="C715" s="78" t="s">
        <v>907</v>
      </c>
      <c r="D715" s="78" t="s">
        <v>832</v>
      </c>
      <c r="E715" s="78" t="s">
        <v>173</v>
      </c>
      <c r="F715" s="81">
        <v>1</v>
      </c>
      <c r="G715" s="950">
        <f>VLOOKUP(C715,[15]Лист_1!$A$10:$H$103,3,0)</f>
        <v>145021.57999999999</v>
      </c>
      <c r="H715" s="950">
        <f>VLOOKUP(C715,[15]Лист_1!$A$10:$H$103,7,0)</f>
        <v>34671.939999999995</v>
      </c>
    </row>
    <row r="716" spans="1:8" ht="26.4" hidden="1">
      <c r="A716" s="78" t="s">
        <v>905</v>
      </c>
      <c r="B716" s="79">
        <f t="shared" si="26"/>
        <v>7</v>
      </c>
      <c r="C716" s="92" t="s">
        <v>909</v>
      </c>
      <c r="D716" s="78" t="s">
        <v>832</v>
      </c>
      <c r="E716" s="78" t="s">
        <v>173</v>
      </c>
      <c r="F716" s="81">
        <v>1</v>
      </c>
      <c r="G716" s="950">
        <f>VLOOKUP(C716,[15]Лист_1!$A$10:$H$103,3,0)-G713</f>
        <v>184995</v>
      </c>
      <c r="H716" s="950">
        <v>44228.92</v>
      </c>
    </row>
    <row r="717" spans="1:8" hidden="1">
      <c r="A717" s="78" t="s">
        <v>905</v>
      </c>
      <c r="B717" s="79">
        <f>B716</f>
        <v>7</v>
      </c>
      <c r="C717" s="84" t="s">
        <v>850</v>
      </c>
      <c r="D717" s="78" t="s">
        <v>832</v>
      </c>
      <c r="E717" s="78" t="s">
        <v>173</v>
      </c>
      <c r="F717" s="81">
        <v>1</v>
      </c>
      <c r="G717" s="950">
        <f>VLOOKUP(C717,[15]Лист_1!$A$10:$H$103,3,0)</f>
        <v>111954.13</v>
      </c>
      <c r="H717" s="950">
        <f>VLOOKUP(C717,[15]Лист_1!$A$10:$H$103,7,0)</f>
        <v>26766.289999999997</v>
      </c>
    </row>
    <row r="718" spans="1:8" ht="26.4" hidden="1">
      <c r="A718" s="91" t="s">
        <v>819</v>
      </c>
      <c r="B718" s="79">
        <f>B716</f>
        <v>7</v>
      </c>
      <c r="C718" s="80" t="s">
        <v>906</v>
      </c>
      <c r="D718" s="78" t="s">
        <v>821</v>
      </c>
      <c r="E718" s="963" t="s">
        <v>942</v>
      </c>
      <c r="F718" s="81">
        <v>1</v>
      </c>
      <c r="G718" s="950">
        <f>VLOOKUP(C718,[15]Лист_1!$A$10:$H$103,3,0)</f>
        <v>150350</v>
      </c>
      <c r="H718" s="950">
        <f>VLOOKUP(C718,[15]Лист_1!$A$10:$H$103,7,0)</f>
        <v>35946.719999999994</v>
      </c>
    </row>
    <row r="719" spans="1:8" ht="26.4" hidden="1">
      <c r="A719" s="78" t="s">
        <v>905</v>
      </c>
      <c r="B719" s="79">
        <f t="shared" si="26"/>
        <v>7</v>
      </c>
      <c r="C719" s="92" t="s">
        <v>962</v>
      </c>
      <c r="D719" s="78" t="s">
        <v>832</v>
      </c>
      <c r="E719" s="78" t="s">
        <v>173</v>
      </c>
      <c r="F719" s="81">
        <v>1</v>
      </c>
      <c r="G719" s="950">
        <f>VLOOKUP(C719,[15]Лист_1!$A$10:$H$103,3,0)</f>
        <v>87235.75</v>
      </c>
      <c r="H719" s="950">
        <f>VLOOKUP(C719,[15]Лист_1!$A$10:$H$103,7,0)</f>
        <v>20857.190000000002</v>
      </c>
    </row>
    <row r="720" spans="1:8" hidden="1">
      <c r="A720" s="78" t="s">
        <v>890</v>
      </c>
      <c r="B720" s="79">
        <f t="shared" si="26"/>
        <v>7</v>
      </c>
      <c r="C720" s="80" t="s">
        <v>891</v>
      </c>
      <c r="D720" s="78" t="s">
        <v>832</v>
      </c>
      <c r="E720" s="78" t="s">
        <v>210</v>
      </c>
      <c r="F720" s="81">
        <v>1</v>
      </c>
      <c r="G720" s="1835">
        <v>966359</v>
      </c>
      <c r="H720" s="1844">
        <v>259902</v>
      </c>
    </row>
    <row r="721" spans="1:8" hidden="1">
      <c r="A721" s="78" t="s">
        <v>890</v>
      </c>
      <c r="B721" s="79">
        <f t="shared" si="26"/>
        <v>7</v>
      </c>
      <c r="C721" s="84" t="s">
        <v>892</v>
      </c>
      <c r="D721" s="78" t="s">
        <v>832</v>
      </c>
      <c r="E721" s="78" t="s">
        <v>210</v>
      </c>
      <c r="F721" s="81">
        <v>1</v>
      </c>
      <c r="G721" s="1836"/>
      <c r="H721" s="1845"/>
    </row>
    <row r="722" spans="1:8" hidden="1">
      <c r="A722" s="78" t="s">
        <v>890</v>
      </c>
      <c r="B722" s="79">
        <f t="shared" si="26"/>
        <v>7</v>
      </c>
      <c r="C722" s="80" t="s">
        <v>894</v>
      </c>
      <c r="D722" s="78" t="s">
        <v>832</v>
      </c>
      <c r="E722" s="78" t="s">
        <v>210</v>
      </c>
      <c r="F722" s="81">
        <v>1</v>
      </c>
      <c r="G722" s="1837"/>
      <c r="H722" s="1846"/>
    </row>
    <row r="723" spans="1:8" hidden="1">
      <c r="A723" s="78" t="s">
        <v>340</v>
      </c>
      <c r="B723" s="79">
        <v>8</v>
      </c>
      <c r="C723" s="78" t="s">
        <v>1038</v>
      </c>
      <c r="D723" s="78" t="s">
        <v>832</v>
      </c>
      <c r="E723" s="951" t="s">
        <v>180</v>
      </c>
      <c r="F723" s="81">
        <v>1</v>
      </c>
      <c r="G723" s="950">
        <f>VLOOKUP(C723,[16]Лист_1!$A$1:$D$65536,3,0)</f>
        <v>159733.56</v>
      </c>
      <c r="H723" s="950">
        <f>VLOOKUP(C723,[16]Лист_1!$A$1:$D$65536,4,0)</f>
        <v>38188.92</v>
      </c>
    </row>
    <row r="724" spans="1:8" hidden="1">
      <c r="A724" s="78" t="s">
        <v>340</v>
      </c>
      <c r="B724" s="79">
        <f>B723</f>
        <v>8</v>
      </c>
      <c r="C724" s="91" t="s">
        <v>1100</v>
      </c>
      <c r="D724" s="78" t="s">
        <v>832</v>
      </c>
      <c r="E724" s="951" t="s">
        <v>180</v>
      </c>
      <c r="F724" s="81">
        <v>1</v>
      </c>
      <c r="G724" s="950">
        <f>VLOOKUP(C724,[16]Лист_1!$A$1:$D$65536,3,0)</f>
        <v>64989</v>
      </c>
      <c r="H724" s="950">
        <f>VLOOKUP(C724,[16]Лист_1!$A$1:$D$65536,4,0)</f>
        <v>15537.6</v>
      </c>
    </row>
    <row r="725" spans="1:8" hidden="1">
      <c r="A725" s="78" t="s">
        <v>340</v>
      </c>
      <c r="B725" s="79">
        <f>B724</f>
        <v>8</v>
      </c>
      <c r="C725" s="91" t="s">
        <v>1132</v>
      </c>
      <c r="D725" s="78" t="s">
        <v>832</v>
      </c>
      <c r="E725" s="951" t="s">
        <v>180</v>
      </c>
      <c r="F725" s="81">
        <v>1</v>
      </c>
      <c r="G725" s="950">
        <f>VLOOKUP(C725,[16]Лист_1!$A$1:$D$65536,3,0)</f>
        <v>66219.23</v>
      </c>
      <c r="H725" s="950">
        <f>VLOOKUP(C725,[16]Лист_1!$A$1:$D$65536,4,0)</f>
        <v>15831.91</v>
      </c>
    </row>
    <row r="726" spans="1:8" hidden="1">
      <c r="A726" s="78" t="s">
        <v>339</v>
      </c>
      <c r="B726" s="79">
        <v>8</v>
      </c>
      <c r="C726" s="84" t="s">
        <v>901</v>
      </c>
      <c r="D726" s="78" t="s">
        <v>832</v>
      </c>
      <c r="E726" s="951" t="s">
        <v>9</v>
      </c>
      <c r="F726" s="81">
        <v>1</v>
      </c>
      <c r="G726" s="950">
        <f>VLOOKUP(C726,[16]Лист_1!$A$1:$D$65536,3,0)</f>
        <v>8765</v>
      </c>
      <c r="H726" s="950">
        <f>VLOOKUP(C726,[16]Лист_1!$A$1:$D$65536,4,0)</f>
        <v>2095.85</v>
      </c>
    </row>
    <row r="727" spans="1:8" ht="26.4" hidden="1">
      <c r="A727" s="78" t="s">
        <v>339</v>
      </c>
      <c r="B727" s="79">
        <f>B723</f>
        <v>8</v>
      </c>
      <c r="C727" s="84" t="s">
        <v>1057</v>
      </c>
      <c r="D727" s="78" t="s">
        <v>832</v>
      </c>
      <c r="E727" s="951" t="s">
        <v>9</v>
      </c>
      <c r="F727" s="81">
        <v>1</v>
      </c>
      <c r="G727" s="950">
        <f>VLOOKUP(C727,[16]Лист_1!$A$1:$D$65536,3,0)</f>
        <v>80222</v>
      </c>
      <c r="H727" s="950">
        <f>VLOOKUP(C727,[16]Лист_1!$A$1:$D$65536,4,0)</f>
        <v>18954</v>
      </c>
    </row>
    <row r="728" spans="1:8" hidden="1">
      <c r="A728" s="78" t="s">
        <v>339</v>
      </c>
      <c r="B728" s="79">
        <f>B726</f>
        <v>8</v>
      </c>
      <c r="C728" s="92" t="s">
        <v>902</v>
      </c>
      <c r="D728" s="78" t="s">
        <v>832</v>
      </c>
      <c r="E728" s="951" t="s">
        <v>9</v>
      </c>
      <c r="F728" s="81">
        <v>1</v>
      </c>
      <c r="G728" s="950">
        <v>50000</v>
      </c>
      <c r="H728" s="950"/>
    </row>
    <row r="729" spans="1:8" hidden="1">
      <c r="A729" s="78" t="s">
        <v>339</v>
      </c>
      <c r="B729" s="79">
        <f>B728</f>
        <v>8</v>
      </c>
      <c r="C729" s="91" t="s">
        <v>1099</v>
      </c>
      <c r="D729" s="78" t="s">
        <v>832</v>
      </c>
      <c r="E729" s="951" t="s">
        <v>9</v>
      </c>
      <c r="F729" s="81">
        <v>1</v>
      </c>
      <c r="G729" s="950">
        <f>VLOOKUP(C729,[16]Лист_1!$A$1:$D$65536,3,0)</f>
        <v>45422</v>
      </c>
      <c r="H729" s="950">
        <f>VLOOKUP(C729,[16]Лист_1!$A$1:$D$65536,4,0)</f>
        <v>10634</v>
      </c>
    </row>
    <row r="730" spans="1:8" hidden="1">
      <c r="A730" s="78" t="s">
        <v>339</v>
      </c>
      <c r="B730" s="79">
        <f t="shared" ref="B730:B784" si="27">B729</f>
        <v>8</v>
      </c>
      <c r="C730" s="91" t="s">
        <v>1112</v>
      </c>
      <c r="D730" s="78" t="s">
        <v>832</v>
      </c>
      <c r="E730" s="951" t="s">
        <v>9</v>
      </c>
      <c r="F730" s="81">
        <v>1</v>
      </c>
      <c r="G730" s="950">
        <f>VLOOKUP(C730,[16]Лист_1!$A$1:$D$65536,3,0)</f>
        <v>40000</v>
      </c>
      <c r="H730" s="950">
        <f>VLOOKUP(C730,[16]Лист_1!$A$1:$D$65536,4,0)</f>
        <v>9563.2000000000007</v>
      </c>
    </row>
    <row r="731" spans="1:8" hidden="1">
      <c r="A731" s="78" t="s">
        <v>339</v>
      </c>
      <c r="B731" s="79">
        <f t="shared" si="27"/>
        <v>8</v>
      </c>
      <c r="C731" s="91" t="s">
        <v>1139</v>
      </c>
      <c r="D731" s="78" t="s">
        <v>832</v>
      </c>
      <c r="E731" s="951" t="s">
        <v>9</v>
      </c>
      <c r="F731" s="81">
        <v>1</v>
      </c>
      <c r="G731" s="950">
        <f>VLOOKUP(C731,[16]Лист_1!$A$1:$D$65536,3,0)</f>
        <v>55028</v>
      </c>
      <c r="H731" s="950">
        <f>VLOOKUP(C731,[16]Лист_1!$A$1:$D$65536,4,0)</f>
        <v>13155.5</v>
      </c>
    </row>
    <row r="732" spans="1:8" hidden="1">
      <c r="A732" s="78" t="s">
        <v>339</v>
      </c>
      <c r="B732" s="79">
        <f>B730</f>
        <v>8</v>
      </c>
      <c r="C732" s="80" t="s">
        <v>903</v>
      </c>
      <c r="D732" s="78" t="s">
        <v>832</v>
      </c>
      <c r="E732" s="951" t="s">
        <v>9</v>
      </c>
      <c r="F732" s="81">
        <v>1</v>
      </c>
      <c r="G732" s="950">
        <f>VLOOKUP(C732,[16]Лист_1!$A$1:$D$65536,3,0)</f>
        <v>31444.86</v>
      </c>
      <c r="H732" s="950">
        <f>VLOOKUP(C732,[16]Лист_1!$A$1:$D$65536,4,0)</f>
        <v>7517.1500000000005</v>
      </c>
    </row>
    <row r="733" spans="1:8" ht="26.4" hidden="1">
      <c r="A733" s="78" t="s">
        <v>819</v>
      </c>
      <c r="B733" s="79">
        <f>B732</f>
        <v>8</v>
      </c>
      <c r="C733" s="80" t="s">
        <v>823</v>
      </c>
      <c r="D733" s="78" t="s">
        <v>821</v>
      </c>
      <c r="E733" s="91" t="s">
        <v>918</v>
      </c>
      <c r="F733" s="81">
        <v>1</v>
      </c>
      <c r="G733" s="950">
        <f>VLOOKUP(C733,[16]Лист_1!$A$1:$D$65536,3,0)</f>
        <v>187093</v>
      </c>
      <c r="H733" s="950">
        <f>VLOOKUP(C733,[16]Лист_1!$A$1:$D$65536,4,0)</f>
        <v>44300.800000000003</v>
      </c>
    </row>
    <row r="734" spans="1:8" hidden="1">
      <c r="A734" s="78" t="s">
        <v>819</v>
      </c>
      <c r="B734" s="79">
        <f>B733</f>
        <v>8</v>
      </c>
      <c r="C734" s="84" t="s">
        <v>1039</v>
      </c>
      <c r="D734" s="78" t="s">
        <v>821</v>
      </c>
      <c r="E734" s="78" t="s">
        <v>829</v>
      </c>
      <c r="F734" s="81">
        <v>1</v>
      </c>
      <c r="G734" s="950">
        <f>VLOOKUP(C734,[16]Лист_1!$A$1:$D$65536,3,0)</f>
        <v>65350</v>
      </c>
      <c r="H734" s="950">
        <f>VLOOKUP(C734,[16]Лист_1!$A$1:$D$65536,4,0)</f>
        <v>15623.97</v>
      </c>
    </row>
    <row r="735" spans="1:8" hidden="1">
      <c r="A735" s="91" t="s">
        <v>819</v>
      </c>
      <c r="B735" s="79">
        <f>B734</f>
        <v>8</v>
      </c>
      <c r="C735" s="90" t="s">
        <v>1128</v>
      </c>
      <c r="D735" s="78" t="s">
        <v>821</v>
      </c>
      <c r="E735" s="78" t="s">
        <v>822</v>
      </c>
      <c r="F735" s="81">
        <v>1</v>
      </c>
      <c r="G735" s="950">
        <f>VLOOKUP(C735,[16]Лист_1!$A$1:$D$65536,3,0)</f>
        <v>47284.29</v>
      </c>
      <c r="H735" s="950">
        <f>VLOOKUP(C735,[16]Лист_1!$A$1:$D$65536,4,0)</f>
        <v>11304.25</v>
      </c>
    </row>
    <row r="736" spans="1:8" hidden="1">
      <c r="A736" s="78" t="s">
        <v>819</v>
      </c>
      <c r="B736" s="79">
        <f>B734</f>
        <v>8</v>
      </c>
      <c r="C736" s="80" t="s">
        <v>827</v>
      </c>
      <c r="D736" s="78" t="s">
        <v>821</v>
      </c>
      <c r="E736" s="78" t="s">
        <v>826</v>
      </c>
      <c r="F736" s="81">
        <v>1</v>
      </c>
      <c r="G736" s="950">
        <f>VLOOKUP(C736,[16]Лист_1!$A$1:$D$65536,3,0)</f>
        <v>60030</v>
      </c>
      <c r="H736" s="950">
        <f>VLOOKUP(C736,[16]Лист_1!$A$1:$D$65536,4,0)</f>
        <v>14352</v>
      </c>
    </row>
    <row r="737" spans="1:8" ht="26.4" hidden="1">
      <c r="A737" s="78" t="s">
        <v>819</v>
      </c>
      <c r="B737" s="79">
        <f t="shared" si="27"/>
        <v>8</v>
      </c>
      <c r="C737" s="80" t="s">
        <v>828</v>
      </c>
      <c r="D737" s="78" t="s">
        <v>821</v>
      </c>
      <c r="E737" s="78" t="s">
        <v>824</v>
      </c>
      <c r="F737" s="81">
        <v>1</v>
      </c>
      <c r="G737" s="950">
        <f>VLOOKUP(C737,[16]Лист_1!$A$1:$D$65536,3,0)</f>
        <v>18000</v>
      </c>
      <c r="H737" s="950">
        <f>VLOOKUP(C737,[16]Лист_1!$A$1:$D$65536,4,0)</f>
        <v>4303.8200000000006</v>
      </c>
    </row>
    <row r="738" spans="1:8" hidden="1">
      <c r="A738" s="78" t="s">
        <v>819</v>
      </c>
      <c r="B738" s="79">
        <f t="shared" si="27"/>
        <v>8</v>
      </c>
      <c r="C738" s="80" t="s">
        <v>1110</v>
      </c>
      <c r="D738" s="78" t="s">
        <v>821</v>
      </c>
      <c r="E738" s="91" t="s">
        <v>918</v>
      </c>
      <c r="F738" s="81">
        <v>1</v>
      </c>
      <c r="G738" s="950">
        <f>VLOOKUP(C738,[16]Лист_1!$A$1:$D$65536,3,0)</f>
        <v>111845.71</v>
      </c>
      <c r="H738" s="950">
        <f>VLOOKUP(C738,[16]Лист_1!$A$1:$D$65536,4,0)</f>
        <v>26740.579999999998</v>
      </c>
    </row>
    <row r="739" spans="1:8" hidden="1">
      <c r="A739" s="78" t="s">
        <v>819</v>
      </c>
      <c r="B739" s="79">
        <f>B737</f>
        <v>8</v>
      </c>
      <c r="C739" s="80" t="s">
        <v>830</v>
      </c>
      <c r="D739" s="78" t="s">
        <v>821</v>
      </c>
      <c r="E739" s="91" t="s">
        <v>942</v>
      </c>
      <c r="F739" s="81">
        <v>1</v>
      </c>
      <c r="G739" s="950">
        <f>VLOOKUP(C739,[16]Лист_1!$A$1:$D$65536,3,0)</f>
        <v>276490.86</v>
      </c>
      <c r="H739" s="950">
        <f>VLOOKUP(C739,[16]Лист_1!$A$1:$D$65536,4,0)</f>
        <v>66103.850000000006</v>
      </c>
    </row>
    <row r="740" spans="1:8" hidden="1">
      <c r="A740" s="78" t="s">
        <v>819</v>
      </c>
      <c r="B740" s="79">
        <f t="shared" si="27"/>
        <v>8</v>
      </c>
      <c r="C740" s="80" t="s">
        <v>833</v>
      </c>
      <c r="D740" s="78" t="s">
        <v>821</v>
      </c>
      <c r="E740" s="78" t="s">
        <v>826</v>
      </c>
      <c r="F740" s="81">
        <v>1</v>
      </c>
      <c r="G740" s="950">
        <f>VLOOKUP(C740,[16]Лист_1!$A$1:$D$65536,3,0)</f>
        <v>82631.25</v>
      </c>
      <c r="H740" s="950">
        <f>VLOOKUP(C740,[16]Лист_1!$A$1:$D$65536,4,0)</f>
        <v>19756.379999999997</v>
      </c>
    </row>
    <row r="741" spans="1:8" hidden="1">
      <c r="A741" s="78" t="s">
        <v>819</v>
      </c>
      <c r="B741" s="79">
        <f t="shared" si="27"/>
        <v>8</v>
      </c>
      <c r="C741" s="80" t="s">
        <v>831</v>
      </c>
      <c r="D741" s="78" t="s">
        <v>821</v>
      </c>
      <c r="E741" s="78" t="s">
        <v>822</v>
      </c>
      <c r="F741" s="81">
        <v>1</v>
      </c>
      <c r="G741" s="950">
        <f>VLOOKUP(C741,[16]Лист_1!$A$1:$D$65536,3,0)</f>
        <v>40020</v>
      </c>
      <c r="H741" s="950">
        <f>VLOOKUP(C741,[16]Лист_1!$A$1:$D$65536,4,0)</f>
        <v>9568</v>
      </c>
    </row>
    <row r="742" spans="1:8" hidden="1">
      <c r="A742" s="78" t="s">
        <v>819</v>
      </c>
      <c r="B742" s="79">
        <f>B741</f>
        <v>8</v>
      </c>
      <c r="C742" s="91" t="s">
        <v>1058</v>
      </c>
      <c r="D742" s="78" t="s">
        <v>821</v>
      </c>
      <c r="E742" s="91" t="s">
        <v>918</v>
      </c>
      <c r="F742" s="81">
        <v>1</v>
      </c>
      <c r="G742" s="950">
        <f>VLOOKUP(C742,[16]Лист_1!$A$1:$D$65536,3,0)</f>
        <v>7414</v>
      </c>
      <c r="H742" s="950">
        <f>VLOOKUP(C742,[16]Лист_1!$A$1:$D$65536,4,0)</f>
        <v>1755.67</v>
      </c>
    </row>
    <row r="743" spans="1:8" hidden="1">
      <c r="A743" s="78" t="s">
        <v>819</v>
      </c>
      <c r="B743" s="79">
        <f>B741</f>
        <v>8</v>
      </c>
      <c r="C743" s="90" t="s">
        <v>1113</v>
      </c>
      <c r="D743" s="78" t="s">
        <v>821</v>
      </c>
      <c r="E743" s="78" t="s">
        <v>822</v>
      </c>
      <c r="F743" s="81">
        <v>1</v>
      </c>
      <c r="G743" s="950">
        <f>VLOOKUP(C743,[16]Лист_1!$A$1:$D$65536,3,0)</f>
        <v>85529</v>
      </c>
      <c r="H743" s="950">
        <f>VLOOKUP(C743,[16]Лист_1!$A$1:$D$65536,4,0)</f>
        <v>20448.099999999999</v>
      </c>
    </row>
    <row r="744" spans="1:8" hidden="1">
      <c r="A744" s="78" t="s">
        <v>819</v>
      </c>
      <c r="B744" s="79">
        <f>B742</f>
        <v>8</v>
      </c>
      <c r="C744" s="90" t="s">
        <v>1098</v>
      </c>
      <c r="D744" s="78" t="s">
        <v>821</v>
      </c>
      <c r="E744" s="78" t="s">
        <v>824</v>
      </c>
      <c r="F744" s="81">
        <v>1</v>
      </c>
      <c r="G744" s="950">
        <f>VLOOKUP(C744,[16]Лист_1!$A$1:$D$65536,3,0)</f>
        <v>6000</v>
      </c>
      <c r="H744" s="950">
        <f>VLOOKUP(C744,[16]Лист_1!$A$1:$D$65536,4,0)</f>
        <v>1421.17</v>
      </c>
    </row>
    <row r="745" spans="1:8" hidden="1">
      <c r="A745" s="91" t="s">
        <v>819</v>
      </c>
      <c r="B745" s="79">
        <f>B741</f>
        <v>8</v>
      </c>
      <c r="C745" s="91" t="s">
        <v>1129</v>
      </c>
      <c r="D745" s="78" t="s">
        <v>821</v>
      </c>
      <c r="E745" s="78" t="s">
        <v>822</v>
      </c>
      <c r="F745" s="81">
        <v>1</v>
      </c>
      <c r="G745" s="950">
        <f>VLOOKUP(C745,[16]Лист_1!$A$1:$D$65536,3,0)</f>
        <v>68104.08</v>
      </c>
      <c r="H745" s="950">
        <f>VLOOKUP(C745,[16]Лист_1!$A$1:$D$65536,4,0)</f>
        <v>16281.85</v>
      </c>
    </row>
    <row r="746" spans="1:8" hidden="1">
      <c r="A746" s="78" t="s">
        <v>819</v>
      </c>
      <c r="B746" s="79">
        <f>B742</f>
        <v>8</v>
      </c>
      <c r="C746" s="91" t="s">
        <v>837</v>
      </c>
      <c r="D746" s="78" t="s">
        <v>821</v>
      </c>
      <c r="E746" s="78" t="s">
        <v>822</v>
      </c>
      <c r="F746" s="81">
        <v>1</v>
      </c>
      <c r="G746" s="950">
        <f>VLOOKUP(C746,[16]Лист_1!$A$1:$D$65536,3,0)</f>
        <v>36900.29</v>
      </c>
      <c r="H746" s="950">
        <f>VLOOKUP(C746,[16]Лист_1!$A$1:$D$65536,4,0)</f>
        <v>8821.24</v>
      </c>
    </row>
    <row r="747" spans="1:8" hidden="1">
      <c r="A747" s="78" t="s">
        <v>819</v>
      </c>
      <c r="B747" s="79">
        <f>B746</f>
        <v>8</v>
      </c>
      <c r="C747" s="80" t="s">
        <v>1059</v>
      </c>
      <c r="D747" s="78" t="s">
        <v>821</v>
      </c>
      <c r="E747" s="78" t="s">
        <v>822</v>
      </c>
      <c r="F747" s="81">
        <v>1</v>
      </c>
      <c r="G747" s="950">
        <f>VLOOKUP(C747,[16]Лист_1!$A$1:$D$65536,3,0)</f>
        <v>29015</v>
      </c>
      <c r="H747" s="950">
        <f>VLOOKUP(C747,[16]Лист_1!$A$1:$D$65536,4,0)</f>
        <v>6869.6</v>
      </c>
    </row>
    <row r="748" spans="1:8" hidden="1">
      <c r="A748" s="78" t="s">
        <v>819</v>
      </c>
      <c r="B748" s="79">
        <f t="shared" si="27"/>
        <v>8</v>
      </c>
      <c r="C748" s="91" t="s">
        <v>1109</v>
      </c>
      <c r="D748" s="78" t="s">
        <v>821</v>
      </c>
      <c r="E748" s="78" t="s">
        <v>824</v>
      </c>
      <c r="F748" s="81">
        <v>1</v>
      </c>
      <c r="G748" s="950">
        <f>VLOOKUP(C748,[16]Лист_1!$A$1:$D$65536,3,0)</f>
        <v>12003</v>
      </c>
      <c r="H748" s="950">
        <f>VLOOKUP(C748,[16]Лист_1!$A$1:$D$65536,4,0)</f>
        <v>0</v>
      </c>
    </row>
    <row r="749" spans="1:8" hidden="1">
      <c r="A749" s="78" t="s">
        <v>819</v>
      </c>
      <c r="B749" s="79">
        <f>B747</f>
        <v>8</v>
      </c>
      <c r="C749" s="92" t="s">
        <v>839</v>
      </c>
      <c r="D749" s="78" t="s">
        <v>821</v>
      </c>
      <c r="E749" s="78" t="s">
        <v>836</v>
      </c>
      <c r="F749" s="81">
        <v>1</v>
      </c>
      <c r="G749" s="950">
        <f>VLOOKUP(C749,[16]Лист_1!$A$1:$D$65536,3,0)</f>
        <v>109416.95</v>
      </c>
      <c r="H749" s="950">
        <f>VLOOKUP(C749,[16]Лист_1!$A$1:$D$65536,4,0)</f>
        <v>26158.739999999998</v>
      </c>
    </row>
    <row r="750" spans="1:8" hidden="1">
      <c r="A750" s="78" t="s">
        <v>819</v>
      </c>
      <c r="B750" s="79">
        <f t="shared" si="27"/>
        <v>8</v>
      </c>
      <c r="C750" s="78" t="s">
        <v>840</v>
      </c>
      <c r="D750" s="78" t="s">
        <v>821</v>
      </c>
      <c r="E750" s="78" t="s">
        <v>822</v>
      </c>
      <c r="F750" s="81">
        <v>1</v>
      </c>
      <c r="G750" s="950">
        <f>VLOOKUP(C750,[16]Лист_1!$A$1:$D$65536,3,0)</f>
        <v>12887</v>
      </c>
      <c r="H750" s="950">
        <f>VLOOKUP(C750,[16]Лист_1!$A$1:$D$65536,4,0)</f>
        <v>3050.71</v>
      </c>
    </row>
    <row r="751" spans="1:8" hidden="1">
      <c r="A751" s="78" t="s">
        <v>819</v>
      </c>
      <c r="B751" s="79">
        <f>B750</f>
        <v>8</v>
      </c>
      <c r="C751" s="84" t="s">
        <v>1060</v>
      </c>
      <c r="D751" s="78" t="s">
        <v>821</v>
      </c>
      <c r="E751" s="78" t="s">
        <v>843</v>
      </c>
      <c r="F751" s="81">
        <v>1</v>
      </c>
      <c r="G751" s="950">
        <f>VLOOKUP(C751,[16]Лист_1!$A$1:$D$65536,3,0)</f>
        <v>105050</v>
      </c>
      <c r="H751" s="950">
        <f>VLOOKUP(C751,[16]Лист_1!$A$1:$D$65536,4,0)</f>
        <v>25115.260000000002</v>
      </c>
    </row>
    <row r="752" spans="1:8" hidden="1">
      <c r="A752" s="78" t="s">
        <v>819</v>
      </c>
      <c r="B752" s="79">
        <f t="shared" si="27"/>
        <v>8</v>
      </c>
      <c r="C752" s="84" t="s">
        <v>844</v>
      </c>
      <c r="D752" s="78" t="s">
        <v>821</v>
      </c>
      <c r="E752" s="78" t="s">
        <v>826</v>
      </c>
      <c r="F752" s="81">
        <v>1</v>
      </c>
      <c r="G752" s="950">
        <f>VLOOKUP(C752,[16]Лист_1!$A$1:$D$65536,3,0)</f>
        <v>80274</v>
      </c>
      <c r="H752" s="950">
        <f>VLOOKUP(C752,[16]Лист_1!$A$1:$D$65536,4,0)</f>
        <v>19191.98</v>
      </c>
    </row>
    <row r="753" spans="1:8" hidden="1">
      <c r="A753" s="78" t="s">
        <v>819</v>
      </c>
      <c r="B753" s="79">
        <f t="shared" si="27"/>
        <v>8</v>
      </c>
      <c r="C753" s="84" t="s">
        <v>846</v>
      </c>
      <c r="D753" s="78" t="s">
        <v>821</v>
      </c>
      <c r="E753" s="91" t="s">
        <v>942</v>
      </c>
      <c r="F753" s="81">
        <v>1</v>
      </c>
      <c r="G753" s="950">
        <f>VLOOKUP(C753,[16]Лист_1!$A$1:$D$65536,3,0)</f>
        <v>110000</v>
      </c>
      <c r="H753" s="950">
        <f>VLOOKUP(C753,[16]Лист_1!$A$1:$D$65536,4,0)</f>
        <v>26299.09</v>
      </c>
    </row>
    <row r="754" spans="1:8" hidden="1">
      <c r="A754" s="78" t="s">
        <v>819</v>
      </c>
      <c r="B754" s="79">
        <f t="shared" si="27"/>
        <v>8</v>
      </c>
      <c r="C754" s="78" t="s">
        <v>847</v>
      </c>
      <c r="D754" s="78" t="s">
        <v>821</v>
      </c>
      <c r="E754" s="78" t="s">
        <v>829</v>
      </c>
      <c r="F754" s="81">
        <v>1</v>
      </c>
      <c r="G754" s="950">
        <f>VLOOKUP(C754,[16]Лист_1!$A$1:$D$65536,3,0)</f>
        <v>52436.1</v>
      </c>
      <c r="H754" s="950">
        <f>VLOOKUP(C754,[16]Лист_1!$A$1:$D$65536,4,0)</f>
        <v>12678.449999999999</v>
      </c>
    </row>
    <row r="755" spans="1:8" hidden="1">
      <c r="A755" s="78" t="s">
        <v>819</v>
      </c>
      <c r="B755" s="79">
        <f t="shared" si="27"/>
        <v>8</v>
      </c>
      <c r="C755" s="84" t="s">
        <v>919</v>
      </c>
      <c r="D755" s="78" t="s">
        <v>821</v>
      </c>
      <c r="E755" s="78" t="s">
        <v>822</v>
      </c>
      <c r="F755" s="81">
        <v>1</v>
      </c>
      <c r="G755" s="950">
        <f>VLOOKUP(C755,[16]Лист_1!$A$1:$D$65536,3,0)</f>
        <v>80314</v>
      </c>
      <c r="H755" s="950">
        <f>VLOOKUP(C755,[16]Лист_1!$A$1:$D$65536,4,0)</f>
        <v>19201.57</v>
      </c>
    </row>
    <row r="756" spans="1:8" hidden="1">
      <c r="A756" s="78" t="s">
        <v>819</v>
      </c>
      <c r="B756" s="79">
        <f t="shared" si="27"/>
        <v>8</v>
      </c>
      <c r="C756" s="80" t="s">
        <v>848</v>
      </c>
      <c r="D756" s="78" t="s">
        <v>821</v>
      </c>
      <c r="E756" s="78" t="s">
        <v>826</v>
      </c>
      <c r="F756" s="81">
        <v>1</v>
      </c>
      <c r="G756" s="950">
        <f>VLOOKUP(C756,[16]Лист_1!$A$1:$D$65536,3,0)</f>
        <v>95035.11</v>
      </c>
      <c r="H756" s="950">
        <f>VLOOKUP(C756,[16]Лист_1!$A$1:$D$65536,4,0)</f>
        <v>22721.410000000003</v>
      </c>
    </row>
    <row r="757" spans="1:8" hidden="1">
      <c r="A757" s="78" t="s">
        <v>819</v>
      </c>
      <c r="B757" s="79">
        <f t="shared" si="27"/>
        <v>8</v>
      </c>
      <c r="C757" s="92" t="s">
        <v>1130</v>
      </c>
      <c r="D757" s="78" t="s">
        <v>821</v>
      </c>
      <c r="E757" s="91" t="s">
        <v>942</v>
      </c>
      <c r="F757" s="81">
        <v>1</v>
      </c>
      <c r="G757" s="950">
        <f>VLOOKUP(C757,[16]Лист_1!$A$1:$D$65536,3,0)</f>
        <v>66960.67</v>
      </c>
      <c r="H757" s="950">
        <f>VLOOKUP(C757,[16]Лист_1!$A$1:$D$65536,4,0)</f>
        <v>16009.400000000001</v>
      </c>
    </row>
    <row r="758" spans="1:8" hidden="1">
      <c r="A758" s="78" t="s">
        <v>819</v>
      </c>
      <c r="B758" s="79">
        <f>B756</f>
        <v>8</v>
      </c>
      <c r="C758" s="78" t="s">
        <v>849</v>
      </c>
      <c r="D758" s="78" t="s">
        <v>821</v>
      </c>
      <c r="E758" s="78" t="s">
        <v>824</v>
      </c>
      <c r="F758" s="81">
        <v>1</v>
      </c>
      <c r="G758" s="950">
        <f>VLOOKUP(C758,[16]Лист_1!$A$1:$D$65536,3,0)</f>
        <v>146128.01</v>
      </c>
      <c r="H758" s="950">
        <f>VLOOKUP(C758,[16]Лист_1!$A$1:$D$65536,4,0)</f>
        <v>34936.120000000003</v>
      </c>
    </row>
    <row r="759" spans="1:8" hidden="1">
      <c r="A759" s="78" t="s">
        <v>819</v>
      </c>
      <c r="B759" s="79">
        <f>B758</f>
        <v>8</v>
      </c>
      <c r="C759" s="90" t="s">
        <v>1044</v>
      </c>
      <c r="D759" s="78" t="s">
        <v>821</v>
      </c>
      <c r="E759" s="78" t="s">
        <v>826</v>
      </c>
      <c r="F759" s="81">
        <v>1</v>
      </c>
      <c r="G759" s="950">
        <v>74470</v>
      </c>
      <c r="H759" s="950"/>
    </row>
    <row r="760" spans="1:8" hidden="1">
      <c r="A760" s="78" t="s">
        <v>819</v>
      </c>
      <c r="B760" s="79">
        <f>B758</f>
        <v>8</v>
      </c>
      <c r="C760" s="78" t="s">
        <v>851</v>
      </c>
      <c r="D760" s="78" t="s">
        <v>821</v>
      </c>
      <c r="E760" s="78" t="s">
        <v>826</v>
      </c>
      <c r="F760" s="81">
        <v>1</v>
      </c>
      <c r="G760" s="950">
        <f>VLOOKUP(C760,[16]Лист_1!$A$1:$D$65536,3,0)</f>
        <v>70309</v>
      </c>
      <c r="H760" s="950">
        <f>VLOOKUP(C760,[16]Лист_1!$A$1:$D$65536,4,0)</f>
        <v>16809.57</v>
      </c>
    </row>
    <row r="761" spans="1:8" hidden="1">
      <c r="A761" s="91" t="s">
        <v>819</v>
      </c>
      <c r="B761" s="79">
        <f>B727</f>
        <v>8</v>
      </c>
      <c r="C761" s="91" t="s">
        <v>1131</v>
      </c>
      <c r="D761" s="78" t="s">
        <v>821</v>
      </c>
      <c r="E761" s="78" t="s">
        <v>824</v>
      </c>
      <c r="F761" s="81">
        <v>1</v>
      </c>
      <c r="G761" s="950">
        <f>VLOOKUP(C761,[16]Лист_1!$A$1:$D$65536,3,0)</f>
        <v>3192</v>
      </c>
      <c r="H761" s="950"/>
    </row>
    <row r="762" spans="1:8" hidden="1">
      <c r="A762" s="78" t="s">
        <v>819</v>
      </c>
      <c r="B762" s="79">
        <f>B759</f>
        <v>8</v>
      </c>
      <c r="C762" s="84" t="s">
        <v>853</v>
      </c>
      <c r="D762" s="78" t="s">
        <v>821</v>
      </c>
      <c r="E762" s="78" t="s">
        <v>836</v>
      </c>
      <c r="F762" s="81">
        <v>1</v>
      </c>
      <c r="G762" s="950">
        <f>VLOOKUP(C762,[16]Лист_1!$A$1:$D$65536,3,0)</f>
        <v>114342.57</v>
      </c>
      <c r="H762" s="950">
        <f>VLOOKUP(C762,[16]Лист_1!$A$1:$D$65536,4,0)</f>
        <v>27337.43</v>
      </c>
    </row>
    <row r="763" spans="1:8" hidden="1">
      <c r="A763" s="78" t="s">
        <v>819</v>
      </c>
      <c r="B763" s="79">
        <f t="shared" si="27"/>
        <v>8</v>
      </c>
      <c r="C763" s="84" t="s">
        <v>1061</v>
      </c>
      <c r="D763" s="78" t="s">
        <v>821</v>
      </c>
      <c r="E763" s="78" t="s">
        <v>826</v>
      </c>
      <c r="F763" s="81">
        <v>1</v>
      </c>
      <c r="G763" s="950">
        <f>VLOOKUP(C763,[16]Лист_1!$A$1:$D$65536,3,0)</f>
        <v>88089.38</v>
      </c>
      <c r="H763" s="950">
        <f>VLOOKUP(C763,[16]Лист_1!$A$1:$D$65536,4,0)</f>
        <v>21060.68</v>
      </c>
    </row>
    <row r="764" spans="1:8" hidden="1">
      <c r="A764" s="78" t="s">
        <v>819</v>
      </c>
      <c r="B764" s="79">
        <f t="shared" si="27"/>
        <v>8</v>
      </c>
      <c r="C764" s="91" t="s">
        <v>855</v>
      </c>
      <c r="D764" s="78" t="s">
        <v>821</v>
      </c>
      <c r="E764" s="91" t="s">
        <v>822</v>
      </c>
      <c r="F764" s="81">
        <v>1</v>
      </c>
      <c r="G764" s="950">
        <f>VLOOKUP(C764,[16]Лист_1!$A$1:$D$65536,3,0)</f>
        <v>100324</v>
      </c>
      <c r="H764" s="950">
        <f>VLOOKUP(C764,[16]Лист_1!$A$1:$D$65536,4,0)</f>
        <v>23985.570000000003</v>
      </c>
    </row>
    <row r="765" spans="1:8" hidden="1">
      <c r="A765" s="78" t="s">
        <v>819</v>
      </c>
      <c r="B765" s="79">
        <f t="shared" si="27"/>
        <v>8</v>
      </c>
      <c r="C765" s="78" t="s">
        <v>856</v>
      </c>
      <c r="D765" s="78" t="s">
        <v>821</v>
      </c>
      <c r="E765" s="78" t="s">
        <v>826</v>
      </c>
      <c r="F765" s="81">
        <v>1</v>
      </c>
      <c r="G765" s="950">
        <f>VLOOKUP(C765,[16]Лист_1!$A$1:$D$65536,3,0)</f>
        <v>114603.57</v>
      </c>
      <c r="H765" s="950">
        <f>VLOOKUP(C765,[16]Лист_1!$A$1:$D$65536,4,0)</f>
        <v>27399.83</v>
      </c>
    </row>
    <row r="766" spans="1:8" hidden="1">
      <c r="A766" s="78" t="s">
        <v>819</v>
      </c>
      <c r="B766" s="79">
        <f>B765</f>
        <v>8</v>
      </c>
      <c r="C766" s="90" t="s">
        <v>1133</v>
      </c>
      <c r="D766" s="78" t="s">
        <v>821</v>
      </c>
      <c r="E766" s="91" t="s">
        <v>918</v>
      </c>
      <c r="F766" s="81">
        <v>1</v>
      </c>
      <c r="G766" s="950">
        <f>VLOOKUP(C766,[16]Лист_1!$A$1:$D$65536,3,0)</f>
        <v>33480.33</v>
      </c>
      <c r="H766" s="950">
        <f>VLOOKUP(C766,[16]Лист_1!$A$1:$D$65536,4,0)</f>
        <v>8004.7</v>
      </c>
    </row>
    <row r="767" spans="1:8" hidden="1">
      <c r="A767" s="78" t="s">
        <v>819</v>
      </c>
      <c r="B767" s="79">
        <f>B765</f>
        <v>8</v>
      </c>
      <c r="C767" s="78" t="s">
        <v>858</v>
      </c>
      <c r="D767" s="78" t="s">
        <v>821</v>
      </c>
      <c r="E767" s="78" t="s">
        <v>826</v>
      </c>
      <c r="F767" s="81">
        <v>1</v>
      </c>
      <c r="G767" s="950">
        <f>VLOOKUP(C767,[16]Лист_1!$A$1:$D$65536,3,0)</f>
        <v>77241.899999999994</v>
      </c>
      <c r="H767" s="950">
        <f>VLOOKUP(C767,[16]Лист_1!$A$1:$D$65536,4,0)</f>
        <v>18467.14</v>
      </c>
    </row>
    <row r="768" spans="1:8" hidden="1">
      <c r="A768" s="78" t="s">
        <v>819</v>
      </c>
      <c r="B768" s="79">
        <f>B734</f>
        <v>8</v>
      </c>
      <c r="C768" s="91" t="s">
        <v>1063</v>
      </c>
      <c r="D768" s="78" t="s">
        <v>821</v>
      </c>
      <c r="E768" s="78" t="s">
        <v>824</v>
      </c>
      <c r="F768" s="81">
        <v>1</v>
      </c>
      <c r="G768" s="950">
        <f>VLOOKUP(C768,[16]Лист_1!$A$1:$D$65536,3,0)</f>
        <v>17260</v>
      </c>
      <c r="H768" s="950">
        <f>VLOOKUP(C768,[16]Лист_1!$A$1:$D$65536,4,0)</f>
        <v>4087.84</v>
      </c>
    </row>
    <row r="769" spans="1:8" hidden="1">
      <c r="A769" s="78" t="s">
        <v>819</v>
      </c>
      <c r="B769" s="79">
        <f>B735</f>
        <v>8</v>
      </c>
      <c r="C769" s="91" t="s">
        <v>1134</v>
      </c>
      <c r="D769" s="78" t="s">
        <v>821</v>
      </c>
      <c r="E769" s="78" t="s">
        <v>824</v>
      </c>
      <c r="F769" s="81">
        <v>1</v>
      </c>
      <c r="G769" s="950">
        <f>VLOOKUP(C769,[16]Лист_1!$A$1:$D$65536,3,0)</f>
        <v>38244.519999999997</v>
      </c>
      <c r="H769" s="950">
        <f>VLOOKUP(C769,[16]Лист_1!$A$1:$D$65536,4,0)</f>
        <v>9143.84</v>
      </c>
    </row>
    <row r="770" spans="1:8" hidden="1">
      <c r="A770" s="78" t="s">
        <v>819</v>
      </c>
      <c r="B770" s="79">
        <f>B768</f>
        <v>8</v>
      </c>
      <c r="C770" s="84" t="s">
        <v>863</v>
      </c>
      <c r="D770" s="78" t="s">
        <v>821</v>
      </c>
      <c r="E770" s="78" t="s">
        <v>829</v>
      </c>
      <c r="F770" s="81">
        <v>1</v>
      </c>
      <c r="G770" s="950">
        <f>VLOOKUP(C770,[16]Лист_1!$A$1:$D$65536,3,0)</f>
        <v>80274</v>
      </c>
      <c r="H770" s="950">
        <f>VLOOKUP(C770,[16]Лист_1!$A$1:$D$65536,4,0)</f>
        <v>19191.98</v>
      </c>
    </row>
    <row r="771" spans="1:8" hidden="1">
      <c r="A771" s="78" t="s">
        <v>819</v>
      </c>
      <c r="B771" s="79">
        <f>B769</f>
        <v>8</v>
      </c>
      <c r="C771" s="84" t="s">
        <v>865</v>
      </c>
      <c r="D771" s="78" t="s">
        <v>821</v>
      </c>
      <c r="E771" s="78" t="s">
        <v>822</v>
      </c>
      <c r="F771" s="81">
        <v>1</v>
      </c>
      <c r="G771" s="950">
        <f>VLOOKUP(C771,[16]Лист_1!$A$1:$D$65536,3,0)</f>
        <v>57618.899999999994</v>
      </c>
      <c r="H771" s="950">
        <f>VLOOKUP(C771,[16]Лист_1!$A$1:$D$65536,4,0)</f>
        <v>13775.859999999999</v>
      </c>
    </row>
    <row r="772" spans="1:8" hidden="1">
      <c r="A772" s="78" t="s">
        <v>819</v>
      </c>
      <c r="B772" s="79">
        <f t="shared" si="27"/>
        <v>8</v>
      </c>
      <c r="C772" s="92" t="s">
        <v>1135</v>
      </c>
      <c r="D772" s="78" t="s">
        <v>821</v>
      </c>
      <c r="E772" s="78" t="s">
        <v>822</v>
      </c>
      <c r="F772" s="81">
        <v>1</v>
      </c>
      <c r="G772" s="950">
        <f>VLOOKUP(C772,[16]Лист_1!$A$1:$D$65536,3,0)</f>
        <v>20403.57</v>
      </c>
      <c r="H772" s="950">
        <f>VLOOKUP(C772,[16]Лист_1!$A$1:$D$65536,4,0)</f>
        <v>4426.62</v>
      </c>
    </row>
    <row r="773" spans="1:8" hidden="1">
      <c r="A773" s="78" t="s">
        <v>819</v>
      </c>
      <c r="B773" s="79">
        <f>B771</f>
        <v>8</v>
      </c>
      <c r="C773" s="84" t="s">
        <v>1040</v>
      </c>
      <c r="D773" s="78" t="s">
        <v>821</v>
      </c>
      <c r="E773" s="78" t="s">
        <v>822</v>
      </c>
      <c r="F773" s="81">
        <v>1</v>
      </c>
      <c r="G773" s="950">
        <f>VLOOKUP(C773,[16]Лист_1!$A$1:$D$65536,3,0)</f>
        <v>118542.67000000001</v>
      </c>
      <c r="H773" s="950">
        <f>VLOOKUP(C773,[16]Лист_1!$A$1:$D$65536,4,0)</f>
        <v>28342.02</v>
      </c>
    </row>
    <row r="774" spans="1:8" hidden="1">
      <c r="A774" s="78" t="s">
        <v>819</v>
      </c>
      <c r="B774" s="79">
        <f>B771</f>
        <v>8</v>
      </c>
      <c r="C774" s="91" t="s">
        <v>866</v>
      </c>
      <c r="D774" s="78" t="s">
        <v>821</v>
      </c>
      <c r="E774" s="78" t="s">
        <v>826</v>
      </c>
      <c r="F774" s="81">
        <v>1</v>
      </c>
      <c r="G774" s="950">
        <f>VLOOKUP(C774,[16]Лист_1!$A$1:$D$65536,3,0)</f>
        <v>65190.2</v>
      </c>
      <c r="H774" s="950">
        <f>VLOOKUP(C774,[16]Лист_1!$A$1:$D$65536,4,0)</f>
        <v>15585.630000000001</v>
      </c>
    </row>
    <row r="775" spans="1:8" hidden="1">
      <c r="A775" s="78" t="s">
        <v>819</v>
      </c>
      <c r="B775" s="79">
        <f>B774</f>
        <v>8</v>
      </c>
      <c r="C775" s="80" t="s">
        <v>867</v>
      </c>
      <c r="D775" s="78" t="s">
        <v>821</v>
      </c>
      <c r="E775" s="78" t="s">
        <v>822</v>
      </c>
      <c r="F775" s="81">
        <v>1</v>
      </c>
      <c r="G775" s="950">
        <f>VLOOKUP(C775,[16]Лист_1!$A$1:$D$65536,3,0)</f>
        <v>70309</v>
      </c>
      <c r="H775" s="950">
        <f>VLOOKUP(C775,[16]Лист_1!$A$1:$D$65536,4,0)</f>
        <v>16809.57</v>
      </c>
    </row>
    <row r="776" spans="1:8" hidden="1">
      <c r="A776" s="78" t="s">
        <v>819</v>
      </c>
      <c r="B776" s="79">
        <f t="shared" si="27"/>
        <v>8</v>
      </c>
      <c r="C776" s="80" t="s">
        <v>868</v>
      </c>
      <c r="D776" s="78" t="s">
        <v>821</v>
      </c>
      <c r="E776" s="78" t="s">
        <v>826</v>
      </c>
      <c r="F776" s="81">
        <v>1</v>
      </c>
      <c r="G776" s="950">
        <f>VLOOKUP(C776,[16]Лист_1!$A$1:$D$65536,3,0)</f>
        <v>92577.11</v>
      </c>
      <c r="H776" s="950">
        <f>VLOOKUP(C776,[16]Лист_1!$A$1:$D$65536,4,0)</f>
        <v>22132.989999999998</v>
      </c>
    </row>
    <row r="777" spans="1:8" hidden="1">
      <c r="A777" s="78" t="s">
        <v>819</v>
      </c>
      <c r="B777" s="79">
        <f t="shared" si="27"/>
        <v>8</v>
      </c>
      <c r="C777" s="90" t="s">
        <v>869</v>
      </c>
      <c r="D777" s="78" t="s">
        <v>821</v>
      </c>
      <c r="E777" s="78" t="s">
        <v>822</v>
      </c>
      <c r="F777" s="81">
        <v>1</v>
      </c>
      <c r="G777" s="950">
        <f>VLOOKUP(C777,[16]Лист_1!$A$1:$D$65536,3,0)</f>
        <v>78972.7</v>
      </c>
      <c r="H777" s="950">
        <f>VLOOKUP(C777,[16]Лист_1!$A$1:$D$65536,4,0)</f>
        <v>18880.27</v>
      </c>
    </row>
    <row r="778" spans="1:8" hidden="1">
      <c r="A778" s="78" t="s">
        <v>819</v>
      </c>
      <c r="B778" s="79">
        <f t="shared" si="27"/>
        <v>8</v>
      </c>
      <c r="C778" s="90" t="s">
        <v>1065</v>
      </c>
      <c r="D778" s="78" t="s">
        <v>821</v>
      </c>
      <c r="E778" s="78" t="s">
        <v>822</v>
      </c>
      <c r="F778" s="81">
        <v>1</v>
      </c>
      <c r="G778" s="950">
        <f>VLOOKUP(C778,[16]Лист_1!$A$1:$D$65536,3,0)</f>
        <v>75641.47</v>
      </c>
      <c r="H778" s="950">
        <f>VLOOKUP(C778,[16]Лист_1!$A$1:$D$65536,4,0)</f>
        <v>18083.59</v>
      </c>
    </row>
    <row r="779" spans="1:8" hidden="1">
      <c r="A779" s="78" t="s">
        <v>819</v>
      </c>
      <c r="B779" s="79">
        <f t="shared" si="27"/>
        <v>8</v>
      </c>
      <c r="C779" s="78" t="s">
        <v>871</v>
      </c>
      <c r="D779" s="78" t="s">
        <v>821</v>
      </c>
      <c r="E779" s="78" t="s">
        <v>829</v>
      </c>
      <c r="F779" s="81">
        <v>1</v>
      </c>
      <c r="G779" s="950">
        <f>VLOOKUP(C779,[16]Лист_1!$A$1:$D$65536,3,0)</f>
        <v>60305</v>
      </c>
      <c r="H779" s="950">
        <f>VLOOKUP(C779,[16]Лист_1!$A$1:$D$65536,4,0)</f>
        <v>14416.569999999998</v>
      </c>
    </row>
    <row r="780" spans="1:8" hidden="1">
      <c r="A780" s="78" t="s">
        <v>819</v>
      </c>
      <c r="B780" s="79">
        <f t="shared" si="27"/>
        <v>8</v>
      </c>
      <c r="C780" s="78" t="s">
        <v>873</v>
      </c>
      <c r="D780" s="78" t="s">
        <v>821</v>
      </c>
      <c r="E780" s="78" t="s">
        <v>843</v>
      </c>
      <c r="F780" s="81">
        <v>1</v>
      </c>
      <c r="G780" s="950">
        <f>VLOOKUP(C780,[16]Лист_1!$A$1:$D$65536,3,0)</f>
        <v>115551.07</v>
      </c>
      <c r="H780" s="950">
        <f>VLOOKUP(C780,[16]Лист_1!$A$1:$D$65536,4,0)</f>
        <v>27625.73</v>
      </c>
    </row>
    <row r="781" spans="1:8" hidden="1">
      <c r="A781" s="78" t="s">
        <v>819</v>
      </c>
      <c r="B781" s="79">
        <f t="shared" si="27"/>
        <v>8</v>
      </c>
      <c r="C781" s="91" t="s">
        <v>874</v>
      </c>
      <c r="D781" s="78" t="s">
        <v>821</v>
      </c>
      <c r="E781" s="78" t="s">
        <v>824</v>
      </c>
      <c r="F781" s="81">
        <v>1</v>
      </c>
      <c r="G781" s="950">
        <f>VLOOKUP(C781,[16]Лист_1!$A$1:$D$65536,3,0)</f>
        <v>66927.570000000007</v>
      </c>
      <c r="H781" s="950">
        <f>VLOOKUP(C781,[16]Лист_1!$A$1:$D$65536,4,0)</f>
        <v>16001.44</v>
      </c>
    </row>
    <row r="782" spans="1:8" hidden="1">
      <c r="A782" s="78" t="s">
        <v>819</v>
      </c>
      <c r="B782" s="79">
        <f t="shared" si="27"/>
        <v>8</v>
      </c>
      <c r="C782" s="90" t="s">
        <v>1136</v>
      </c>
      <c r="D782" s="78" t="s">
        <v>821</v>
      </c>
      <c r="E782" s="78" t="s">
        <v>822</v>
      </c>
      <c r="F782" s="81">
        <v>1</v>
      </c>
      <c r="G782" s="950">
        <f>VLOOKUP(C782,[16]Лист_1!$A$1:$D$65536,3,0)</f>
        <v>78751</v>
      </c>
      <c r="H782" s="950">
        <f>VLOOKUP(C782,[16]Лист_1!$A$1:$D$65536,4,0)</f>
        <v>0</v>
      </c>
    </row>
    <row r="783" spans="1:8" hidden="1">
      <c r="A783" s="78" t="s">
        <v>819</v>
      </c>
      <c r="B783" s="79">
        <f>B781</f>
        <v>8</v>
      </c>
      <c r="C783" s="84" t="s">
        <v>877</v>
      </c>
      <c r="D783" s="78" t="s">
        <v>821</v>
      </c>
      <c r="E783" s="91" t="s">
        <v>942</v>
      </c>
      <c r="F783" s="81">
        <v>1</v>
      </c>
      <c r="G783" s="950">
        <f>VLOOKUP(C783,[16]Лист_1!$A$1:$D$65536,3,0)</f>
        <v>130065</v>
      </c>
      <c r="H783" s="950">
        <f>VLOOKUP(C783,[16]Лист_1!$A$1:$D$65536,4,0)</f>
        <v>31096</v>
      </c>
    </row>
    <row r="784" spans="1:8" hidden="1">
      <c r="A784" s="78" t="s">
        <v>819</v>
      </c>
      <c r="B784" s="79">
        <f t="shared" si="27"/>
        <v>8</v>
      </c>
      <c r="C784" s="91" t="s">
        <v>1143</v>
      </c>
      <c r="D784" s="78" t="s">
        <v>821</v>
      </c>
      <c r="E784" s="78" t="s">
        <v>824</v>
      </c>
      <c r="F784" s="81">
        <v>1</v>
      </c>
      <c r="G784" s="950">
        <f>VLOOKUP(C784,[16]Лист_1!$A$1:$D$65536,3,0)</f>
        <v>80314</v>
      </c>
      <c r="H784" s="950">
        <f>VLOOKUP(C784,[16]Лист_1!$A$1:$D$65536,4,0)</f>
        <v>19201.57</v>
      </c>
    </row>
    <row r="785" spans="1:8" hidden="1">
      <c r="A785" s="78" t="s">
        <v>819</v>
      </c>
      <c r="B785" s="79">
        <f>B781</f>
        <v>8</v>
      </c>
      <c r="C785" s="84" t="s">
        <v>1041</v>
      </c>
      <c r="D785" s="78" t="s">
        <v>821</v>
      </c>
      <c r="E785" s="78" t="s">
        <v>822</v>
      </c>
      <c r="F785" s="81">
        <v>1</v>
      </c>
      <c r="G785" s="950">
        <f>VLOOKUP(C785,[16]Лист_1!$A$1:$D$65536,3,0)</f>
        <v>191556.72</v>
      </c>
      <c r="H785" s="950">
        <f>VLOOKUP(C785,[16]Лист_1!$A$1:$D$65536,4,0)</f>
        <v>45797.020000000004</v>
      </c>
    </row>
    <row r="786" spans="1:8" hidden="1">
      <c r="A786" s="78" t="s">
        <v>819</v>
      </c>
      <c r="B786" s="79">
        <f>B783</f>
        <v>8</v>
      </c>
      <c r="C786" s="78" t="s">
        <v>878</v>
      </c>
      <c r="D786" s="78" t="s">
        <v>821</v>
      </c>
      <c r="E786" s="78" t="s">
        <v>836</v>
      </c>
      <c r="F786" s="81">
        <v>1</v>
      </c>
      <c r="G786" s="950">
        <f>VLOOKUP(C786,[16]Лист_1!$A$1:$D$65536,3,0)</f>
        <v>95273</v>
      </c>
      <c r="H786" s="950">
        <f>VLOOKUP(C786,[16]Лист_1!$A$1:$D$65536,4,0)</f>
        <v>22778.780000000002</v>
      </c>
    </row>
    <row r="787" spans="1:8" hidden="1">
      <c r="A787" s="78" t="s">
        <v>819</v>
      </c>
      <c r="B787" s="79">
        <f>B783</f>
        <v>8</v>
      </c>
      <c r="C787" s="92" t="s">
        <v>1137</v>
      </c>
      <c r="D787" s="78" t="s">
        <v>821</v>
      </c>
      <c r="E787" s="78" t="s">
        <v>822</v>
      </c>
      <c r="F787" s="81">
        <v>1</v>
      </c>
      <c r="G787" s="950">
        <f>VLOOKUP(C787,[16]Лист_1!$A$1:$D$65536,3,0)</f>
        <v>150000</v>
      </c>
      <c r="H787" s="950">
        <f>VLOOKUP(C787,[16]Лист_1!$A$1:$D$65536,4,0)</f>
        <v>43434</v>
      </c>
    </row>
    <row r="788" spans="1:8" hidden="1">
      <c r="A788" s="78" t="s">
        <v>819</v>
      </c>
      <c r="B788" s="79">
        <f>B786</f>
        <v>8</v>
      </c>
      <c r="C788" s="80" t="s">
        <v>1067</v>
      </c>
      <c r="D788" s="78" t="s">
        <v>821</v>
      </c>
      <c r="E788" s="78" t="s">
        <v>826</v>
      </c>
      <c r="F788" s="81">
        <v>1</v>
      </c>
      <c r="G788" s="950">
        <f>VLOOKUP(C788,[16]Лист_1!$A$1:$D$65536,3,0)</f>
        <v>91546</v>
      </c>
      <c r="H788" s="950">
        <f>VLOOKUP(C788,[16]Лист_1!$A$1:$D$65536,4,0)</f>
        <v>21676.1</v>
      </c>
    </row>
    <row r="789" spans="1:8" hidden="1">
      <c r="A789" s="78" t="s">
        <v>819</v>
      </c>
      <c r="B789" s="79">
        <f>B788</f>
        <v>8</v>
      </c>
      <c r="C789" s="78" t="s">
        <v>1070</v>
      </c>
      <c r="D789" s="78" t="s">
        <v>821</v>
      </c>
      <c r="E789" s="78" t="s">
        <v>824</v>
      </c>
      <c r="F789" s="81">
        <v>1</v>
      </c>
      <c r="G789" s="950">
        <f>VLOOKUP(C789,[16]Лист_1!$A$1:$D$65536,3,0)</f>
        <v>31164.07</v>
      </c>
      <c r="H789" s="950">
        <f>VLOOKUP(C789,[16]Лист_1!$A$1:$D$65536,4,0)</f>
        <v>7281.6600000000008</v>
      </c>
    </row>
    <row r="790" spans="1:8" hidden="1">
      <c r="A790" s="78" t="s">
        <v>819</v>
      </c>
      <c r="B790" s="79">
        <f>B789</f>
        <v>8</v>
      </c>
      <c r="C790" s="83" t="s">
        <v>880</v>
      </c>
      <c r="D790" s="78" t="s">
        <v>821</v>
      </c>
      <c r="E790" s="78" t="s">
        <v>822</v>
      </c>
      <c r="F790" s="81">
        <v>1</v>
      </c>
      <c r="G790" s="950">
        <f>VLOOKUP(C790,[16]Лист_1!$A$1:$D$65536,3,0)</f>
        <v>86547.99</v>
      </c>
      <c r="H790" s="950">
        <f>VLOOKUP(C790,[16]Лист_1!$A$1:$D$65536,4,0)</f>
        <v>20651.11</v>
      </c>
    </row>
    <row r="791" spans="1:8" hidden="1">
      <c r="A791" s="78" t="s">
        <v>819</v>
      </c>
      <c r="B791" s="79">
        <f t="shared" ref="B791:B813" si="28">B790</f>
        <v>8</v>
      </c>
      <c r="C791" s="91" t="s">
        <v>881</v>
      </c>
      <c r="D791" s="78" t="s">
        <v>821</v>
      </c>
      <c r="E791" s="91" t="s">
        <v>942</v>
      </c>
      <c r="F791" s="81">
        <v>1</v>
      </c>
      <c r="G791" s="950">
        <f>VLOOKUP(C791,[16]Лист_1!$A$1:$D$65536,3,0)</f>
        <v>104500</v>
      </c>
      <c r="H791" s="950">
        <f>VLOOKUP(C791,[16]Лист_1!$A$1:$D$65536,4,0)</f>
        <v>0</v>
      </c>
    </row>
    <row r="792" spans="1:8" hidden="1">
      <c r="A792" s="78" t="s">
        <v>819</v>
      </c>
      <c r="B792" s="79">
        <f t="shared" si="28"/>
        <v>8</v>
      </c>
      <c r="C792" s="78" t="s">
        <v>1042</v>
      </c>
      <c r="D792" s="78" t="s">
        <v>821</v>
      </c>
      <c r="E792" s="78" t="s">
        <v>822</v>
      </c>
      <c r="F792" s="81">
        <v>1</v>
      </c>
      <c r="G792" s="950">
        <f>VLOOKUP(C792,[16]Лист_1!$A$1:$D$65536,3,0)</f>
        <v>103791.83</v>
      </c>
      <c r="H792" s="950">
        <f>VLOOKUP(C792,[16]Лист_1!$A$1:$D$65536,4,0)</f>
        <v>24814.46</v>
      </c>
    </row>
    <row r="793" spans="1:8" hidden="1">
      <c r="A793" s="78" t="s">
        <v>819</v>
      </c>
      <c r="B793" s="79">
        <f t="shared" si="28"/>
        <v>8</v>
      </c>
      <c r="C793" s="90" t="s">
        <v>963</v>
      </c>
      <c r="D793" s="78" t="s">
        <v>821</v>
      </c>
      <c r="E793" s="78" t="s">
        <v>822</v>
      </c>
      <c r="F793" s="81">
        <v>1</v>
      </c>
      <c r="G793" s="950">
        <f>VLOOKUP(C793,[16]Лист_1!$A$1:$D$65536,3,0)</f>
        <v>60850</v>
      </c>
      <c r="H793" s="950">
        <f>VLOOKUP(C793,[16]Лист_1!$A$1:$D$65536,4,0)</f>
        <v>13871.569999999998</v>
      </c>
    </row>
    <row r="794" spans="1:8" hidden="1">
      <c r="A794" s="78" t="s">
        <v>819</v>
      </c>
      <c r="B794" s="79">
        <f t="shared" si="28"/>
        <v>8</v>
      </c>
      <c r="C794" s="91" t="s">
        <v>884</v>
      </c>
      <c r="D794" s="78" t="s">
        <v>821</v>
      </c>
      <c r="E794" s="78" t="s">
        <v>824</v>
      </c>
      <c r="F794" s="81">
        <v>1</v>
      </c>
      <c r="G794" s="950">
        <f>VLOOKUP(C794,[16]Лист_1!$A$1:$D$65536,3,0)</f>
        <v>77001</v>
      </c>
      <c r="H794" s="950">
        <f>VLOOKUP(C794,[16]Лист_1!$A$1:$D$65536,4,0)</f>
        <v>18231.45</v>
      </c>
    </row>
    <row r="795" spans="1:8" hidden="1">
      <c r="A795" s="78" t="s">
        <v>819</v>
      </c>
      <c r="B795" s="79">
        <f>B793</f>
        <v>8</v>
      </c>
      <c r="C795" s="80" t="s">
        <v>1053</v>
      </c>
      <c r="D795" s="78" t="s">
        <v>821</v>
      </c>
      <c r="E795" s="78" t="s">
        <v>836</v>
      </c>
      <c r="F795" s="81">
        <v>1</v>
      </c>
      <c r="G795" s="950">
        <f>VLOOKUP(C795,[16]Лист_1!$A$1:$D$65536,3,0)</f>
        <v>65350</v>
      </c>
      <c r="H795" s="950">
        <f>VLOOKUP(C795,[16]Лист_1!$A$1:$D$65536,4,0)</f>
        <v>15623.97</v>
      </c>
    </row>
    <row r="796" spans="1:8" hidden="1">
      <c r="A796" s="78" t="s">
        <v>819</v>
      </c>
      <c r="B796" s="79">
        <f>B794</f>
        <v>8</v>
      </c>
      <c r="C796" s="80" t="s">
        <v>886</v>
      </c>
      <c r="D796" s="78" t="s">
        <v>821</v>
      </c>
      <c r="E796" s="78" t="s">
        <v>822</v>
      </c>
      <c r="F796" s="81">
        <v>1</v>
      </c>
      <c r="G796" s="950">
        <f>VLOOKUP(C796,[16]Лист_1!$A$1:$D$65536,3,0)</f>
        <v>100050</v>
      </c>
      <c r="H796" s="950">
        <f>VLOOKUP(C796,[16]Лист_1!$A$1:$D$65536,4,0)</f>
        <v>23920</v>
      </c>
    </row>
    <row r="797" spans="1:8" hidden="1">
      <c r="A797" s="78" t="s">
        <v>819</v>
      </c>
      <c r="B797" s="79">
        <f t="shared" si="28"/>
        <v>8</v>
      </c>
      <c r="C797" s="80" t="s">
        <v>888</v>
      </c>
      <c r="D797" s="78" t="s">
        <v>821</v>
      </c>
      <c r="E797" s="78" t="s">
        <v>822</v>
      </c>
      <c r="F797" s="81">
        <v>1</v>
      </c>
      <c r="G797" s="950"/>
      <c r="H797" s="950"/>
    </row>
    <row r="798" spans="1:8" hidden="1">
      <c r="A798" s="78" t="s">
        <v>819</v>
      </c>
      <c r="B798" s="79">
        <f>B797</f>
        <v>8</v>
      </c>
      <c r="C798" s="84" t="s">
        <v>850</v>
      </c>
      <c r="D798" s="78" t="s">
        <v>832</v>
      </c>
      <c r="E798" s="78" t="s">
        <v>822</v>
      </c>
      <c r="F798" s="81">
        <v>1</v>
      </c>
      <c r="G798" s="950">
        <f>VLOOKUP(C798,[16]Лист_1!$A$1:$D$65536,3,0)</f>
        <v>82158.87</v>
      </c>
      <c r="H798" s="950">
        <f>VLOOKUP(C798,[16]Лист_1!$A$1:$D$65536,4,0)</f>
        <v>19643</v>
      </c>
    </row>
    <row r="799" spans="1:8" hidden="1">
      <c r="A799" s="78" t="s">
        <v>819</v>
      </c>
      <c r="B799" s="79">
        <f>B798</f>
        <v>8</v>
      </c>
      <c r="C799" s="92" t="s">
        <v>1140</v>
      </c>
      <c r="D799" s="78" t="s">
        <v>832</v>
      </c>
      <c r="E799" s="78" t="s">
        <v>822</v>
      </c>
      <c r="F799" s="81">
        <v>1</v>
      </c>
      <c r="G799" s="950">
        <f>VLOOKUP(C799,[16]Лист_1!$A$1:$D$65536,3,0)</f>
        <v>47772.9</v>
      </c>
      <c r="H799" s="950">
        <f>VLOOKUP(C799,[16]Лист_1!$A$1:$D$65536,4,0)</f>
        <v>11422.119999999999</v>
      </c>
    </row>
    <row r="800" spans="1:8" hidden="1">
      <c r="A800" s="78" t="s">
        <v>819</v>
      </c>
      <c r="B800" s="79">
        <f>B798</f>
        <v>8</v>
      </c>
      <c r="C800" s="90" t="s">
        <v>1068</v>
      </c>
      <c r="D800" s="78" t="s">
        <v>821</v>
      </c>
      <c r="E800" s="78" t="s">
        <v>826</v>
      </c>
      <c r="F800" s="81">
        <v>1</v>
      </c>
      <c r="G800" s="950">
        <f>VLOOKUP(C800,[16]Лист_1!$A$1:$D$65536,3,0)</f>
        <v>60030</v>
      </c>
      <c r="H800" s="950">
        <f>VLOOKUP(C800,[16]Лист_1!$A$1:$D$65536,4,0)</f>
        <v>14214</v>
      </c>
    </row>
    <row r="801" spans="1:8" hidden="1">
      <c r="A801" s="78" t="s">
        <v>819</v>
      </c>
      <c r="B801" s="79">
        <f t="shared" si="28"/>
        <v>8</v>
      </c>
      <c r="C801" s="91" t="s">
        <v>1142</v>
      </c>
      <c r="D801" s="78" t="s">
        <v>821</v>
      </c>
      <c r="E801" s="78" t="s">
        <v>824</v>
      </c>
      <c r="F801" s="81">
        <v>1</v>
      </c>
      <c r="G801" s="950">
        <f>VLOOKUP(C801,[16]Лист_1!$A$1:$D$65536,3,0)</f>
        <v>13001</v>
      </c>
      <c r="H801" s="950">
        <f>VLOOKUP(C801,[16]Лист_1!$A$1:$D$65536,4,0)</f>
        <v>3077.67</v>
      </c>
    </row>
    <row r="802" spans="1:8" hidden="1">
      <c r="A802" s="78" t="s">
        <v>819</v>
      </c>
      <c r="B802" s="79">
        <f>B800</f>
        <v>8</v>
      </c>
      <c r="C802" s="90" t="s">
        <v>1141</v>
      </c>
      <c r="D802" s="78" t="s">
        <v>821</v>
      </c>
      <c r="E802" s="91" t="s">
        <v>918</v>
      </c>
      <c r="F802" s="81">
        <v>1</v>
      </c>
      <c r="G802" s="950">
        <f>VLOOKUP(C802,[16]Лист_1!$A$1:$D$65536,3,0)</f>
        <v>82170</v>
      </c>
      <c r="H802" s="950">
        <f>VLOOKUP(C802,[16]Лист_1!$A$1:$D$65536,4,0)</f>
        <v>17302.45</v>
      </c>
    </row>
    <row r="803" spans="1:8" hidden="1">
      <c r="A803" s="78" t="s">
        <v>910</v>
      </c>
      <c r="B803" s="79">
        <f>B797</f>
        <v>8</v>
      </c>
      <c r="C803" s="83" t="s">
        <v>914</v>
      </c>
      <c r="D803" s="78" t="s">
        <v>832</v>
      </c>
      <c r="E803" s="78" t="s">
        <v>172</v>
      </c>
      <c r="F803" s="81">
        <v>1</v>
      </c>
      <c r="G803" s="950">
        <f>VLOOKUP(C803,[16]Лист_1!$A$1:$D$65536,3,0)</f>
        <v>73458.149999999994</v>
      </c>
      <c r="H803" s="950">
        <f>VLOOKUP(C803,[16]Лист_1!$A$1:$D$65536,4,0)</f>
        <v>17562.939999999999</v>
      </c>
    </row>
    <row r="804" spans="1:8" hidden="1">
      <c r="A804" s="78" t="s">
        <v>910</v>
      </c>
      <c r="B804" s="79">
        <f>B803</f>
        <v>8</v>
      </c>
      <c r="C804" s="91" t="s">
        <v>1097</v>
      </c>
      <c r="D804" s="78" t="s">
        <v>821</v>
      </c>
      <c r="E804" s="78" t="s">
        <v>172</v>
      </c>
      <c r="F804" s="81">
        <v>1</v>
      </c>
      <c r="G804" s="950">
        <f>VLOOKUP(C804,[16]Лист_1!$A$1:$D$65536,3,0)</f>
        <v>100324</v>
      </c>
      <c r="H804" s="950">
        <f>VLOOKUP(C804,[16]Лист_1!$A$1:$D$65536,4,0)</f>
        <v>23985.570000000003</v>
      </c>
    </row>
    <row r="805" spans="1:8" ht="26.4" hidden="1">
      <c r="A805" s="78" t="s">
        <v>910</v>
      </c>
      <c r="B805" s="79">
        <f>B804</f>
        <v>8</v>
      </c>
      <c r="C805" s="92" t="s">
        <v>909</v>
      </c>
      <c r="D805" s="78" t="s">
        <v>832</v>
      </c>
      <c r="E805" s="78" t="s">
        <v>172</v>
      </c>
      <c r="F805" s="81">
        <v>1</v>
      </c>
      <c r="G805" s="950">
        <v>65000</v>
      </c>
      <c r="H805" s="950">
        <v>15540.39</v>
      </c>
    </row>
    <row r="806" spans="1:8" hidden="1">
      <c r="A806" s="78" t="s">
        <v>905</v>
      </c>
      <c r="B806" s="79">
        <f>B805</f>
        <v>8</v>
      </c>
      <c r="C806" s="78" t="s">
        <v>907</v>
      </c>
      <c r="D806" s="78" t="s">
        <v>832</v>
      </c>
      <c r="E806" s="78" t="s">
        <v>173</v>
      </c>
      <c r="F806" s="81">
        <v>1</v>
      </c>
      <c r="G806" s="950">
        <f>VLOOKUP(C806,[16]Лист_1!$A$1:$D$65536,3,0)</f>
        <v>107312.76</v>
      </c>
      <c r="H806" s="950">
        <f>VLOOKUP(C806,[16]Лист_1!$A$1:$D$65536,4,0)</f>
        <v>25656.13</v>
      </c>
    </row>
    <row r="807" spans="1:8" ht="26.4" hidden="1">
      <c r="A807" s="78" t="s">
        <v>905</v>
      </c>
      <c r="B807" s="79">
        <f t="shared" si="28"/>
        <v>8</v>
      </c>
      <c r="C807" s="92" t="s">
        <v>909</v>
      </c>
      <c r="D807" s="78" t="s">
        <v>832</v>
      </c>
      <c r="E807" s="78" t="s">
        <v>173</v>
      </c>
      <c r="F807" s="81">
        <v>1</v>
      </c>
      <c r="G807" s="950">
        <f>VLOOKUP(C807,[16]Лист_1!$A$1:$D$65536,3,0)-G805</f>
        <v>167848</v>
      </c>
      <c r="H807" s="950">
        <f>VLOOKUP(C807,[16]Лист_1!$A$1:$D$65536,4,0)-H805</f>
        <v>40129.68</v>
      </c>
    </row>
    <row r="808" spans="1:8" ht="26.4" hidden="1">
      <c r="A808" s="78" t="s">
        <v>905</v>
      </c>
      <c r="B808" s="79">
        <f>B807</f>
        <v>8</v>
      </c>
      <c r="C808" s="92" t="s">
        <v>1138</v>
      </c>
      <c r="D808" s="78" t="s">
        <v>832</v>
      </c>
      <c r="E808" s="78" t="s">
        <v>173</v>
      </c>
      <c r="F808" s="81">
        <v>1</v>
      </c>
      <c r="G808" s="950">
        <f>VLOOKUP(C808,[16]Лист_1!$A$1:$D$65536,3,0)</f>
        <v>42903.29</v>
      </c>
      <c r="H808" s="950">
        <f>VLOOKUP(C808,[16]Лист_1!$A$1:$D$65536,4,0)</f>
        <v>10257.519999999999</v>
      </c>
    </row>
    <row r="809" spans="1:8" ht="26.4" hidden="1">
      <c r="A809" s="91" t="s">
        <v>819</v>
      </c>
      <c r="B809" s="79">
        <f>B807</f>
        <v>8</v>
      </c>
      <c r="C809" s="80" t="s">
        <v>906</v>
      </c>
      <c r="D809" s="78" t="s">
        <v>821</v>
      </c>
      <c r="E809" s="963" t="s">
        <v>942</v>
      </c>
      <c r="F809" s="81">
        <v>1</v>
      </c>
      <c r="G809" s="950">
        <f>VLOOKUP(C809,[16]Лист_1!$A$1:$D$65536,3,0)</f>
        <v>106810.59</v>
      </c>
      <c r="H809" s="950">
        <f>VLOOKUP(C809,[16]Лист_1!$A$1:$D$65536,4,0)</f>
        <v>25536.1</v>
      </c>
    </row>
    <row r="810" spans="1:8" ht="26.4" hidden="1">
      <c r="A810" s="78" t="s">
        <v>905</v>
      </c>
      <c r="B810" s="79">
        <f t="shared" si="28"/>
        <v>8</v>
      </c>
      <c r="C810" s="92" t="s">
        <v>962</v>
      </c>
      <c r="D810" s="78" t="s">
        <v>832</v>
      </c>
      <c r="E810" s="78" t="s">
        <v>173</v>
      </c>
      <c r="F810" s="81">
        <v>1</v>
      </c>
      <c r="G810" s="950">
        <f>VLOOKUP(C810,[16]Лист_1!$A$1:$D$65536,3,0)</f>
        <v>127296.01000000001</v>
      </c>
      <c r="H810" s="950">
        <f>VLOOKUP(C810,[16]Лист_1!$A$1:$D$65536,4,0)</f>
        <v>30433.72</v>
      </c>
    </row>
    <row r="811" spans="1:8" hidden="1">
      <c r="A811" s="78" t="s">
        <v>890</v>
      </c>
      <c r="B811" s="79">
        <f t="shared" si="28"/>
        <v>8</v>
      </c>
      <c r="C811" s="80" t="s">
        <v>891</v>
      </c>
      <c r="D811" s="78" t="s">
        <v>832</v>
      </c>
      <c r="E811" s="78" t="s">
        <v>210</v>
      </c>
      <c r="F811" s="81">
        <v>1</v>
      </c>
      <c r="G811" s="950">
        <f>VLOOKUP(C811,[16]Лист_1!$A$1:$D$65536,3,0)</f>
        <v>111566.1</v>
      </c>
      <c r="H811" s="950">
        <f>VLOOKUP(C811,[16]Лист_1!$A$1:$D$65536,4,0)</f>
        <v>26672.410000000003</v>
      </c>
    </row>
    <row r="812" spans="1:8" hidden="1">
      <c r="A812" s="78" t="s">
        <v>890</v>
      </c>
      <c r="B812" s="79">
        <f t="shared" si="28"/>
        <v>8</v>
      </c>
      <c r="C812" s="84" t="s">
        <v>892</v>
      </c>
      <c r="D812" s="78" t="s">
        <v>832</v>
      </c>
      <c r="E812" s="78" t="s">
        <v>210</v>
      </c>
      <c r="F812" s="81">
        <v>1</v>
      </c>
      <c r="G812" s="950">
        <f>VLOOKUP(C812,[16]Лист_1!$A$1:$D$65536,3,0)</f>
        <v>561739</v>
      </c>
      <c r="H812" s="950">
        <f>VLOOKUP(C812,[16]Лист_1!$A$1:$D$65536,4,0)</f>
        <v>182081</v>
      </c>
    </row>
    <row r="813" spans="1:8" hidden="1">
      <c r="A813" s="78" t="s">
        <v>890</v>
      </c>
      <c r="B813" s="79">
        <f t="shared" si="28"/>
        <v>8</v>
      </c>
      <c r="C813" s="80" t="s">
        <v>894</v>
      </c>
      <c r="D813" s="78" t="s">
        <v>832</v>
      </c>
      <c r="E813" s="78" t="s">
        <v>210</v>
      </c>
      <c r="F813" s="81">
        <v>1</v>
      </c>
      <c r="G813" s="950">
        <f>VLOOKUP(C813,[16]Лист_1!$A$1:$D$65536,3,0)</f>
        <v>35268</v>
      </c>
      <c r="H813" s="950">
        <f>VLOOKUP(C813,[16]Лист_1!$A$1:$D$65536,4,0)</f>
        <v>8350.880000000001</v>
      </c>
    </row>
    <row r="814" spans="1:8" hidden="1">
      <c r="A814" s="78" t="s">
        <v>340</v>
      </c>
      <c r="B814" s="79">
        <v>9</v>
      </c>
      <c r="C814" s="78" t="s">
        <v>1038</v>
      </c>
      <c r="D814" s="78" t="s">
        <v>832</v>
      </c>
      <c r="E814" s="951" t="s">
        <v>180</v>
      </c>
      <c r="F814" s="81">
        <v>1</v>
      </c>
      <c r="G814" s="950">
        <f>VLOOKUP(C814,[17]Лист_1!$A$10:$D$77,3,0)</f>
        <v>141287.63</v>
      </c>
      <c r="H814" s="950">
        <f>VLOOKUP(C814,[17]Лист_1!$A$10:$D$77,4,0)</f>
        <v>33779.170000000006</v>
      </c>
    </row>
    <row r="815" spans="1:8" hidden="1">
      <c r="A815" s="78" t="s">
        <v>340</v>
      </c>
      <c r="B815" s="79">
        <f>B814</f>
        <v>9</v>
      </c>
      <c r="C815" s="91" t="s">
        <v>1100</v>
      </c>
      <c r="D815" s="78" t="s">
        <v>832</v>
      </c>
      <c r="E815" s="951" t="s">
        <v>180</v>
      </c>
      <c r="F815" s="81">
        <v>1</v>
      </c>
      <c r="G815" s="950">
        <f>VLOOKUP(C815,[17]Лист_1!$A$10:$D$77,3,0)</f>
        <v>62990.64</v>
      </c>
      <c r="H815" s="950">
        <f>VLOOKUP(C815,[17]Лист_1!$A$10:$D$77,4,0)</f>
        <v>15060.49</v>
      </c>
    </row>
    <row r="816" spans="1:8" hidden="1">
      <c r="A816" s="78" t="s">
        <v>340</v>
      </c>
      <c r="B816" s="79">
        <f>B815</f>
        <v>9</v>
      </c>
      <c r="C816" s="91" t="s">
        <v>1132</v>
      </c>
      <c r="D816" s="78" t="s">
        <v>832</v>
      </c>
      <c r="E816" s="951" t="s">
        <v>180</v>
      </c>
      <c r="F816" s="81">
        <v>1</v>
      </c>
      <c r="G816" s="950">
        <f>VLOOKUP(C816,[17]Лист_1!$A$10:$D$77,3,0)</f>
        <v>71465.95</v>
      </c>
      <c r="H816" s="950">
        <f>VLOOKUP(C816,[17]Лист_1!$A$10:$D$77,4,0)</f>
        <v>17086.310000000001</v>
      </c>
    </row>
    <row r="817" spans="1:8" hidden="1">
      <c r="A817" s="78" t="s">
        <v>339</v>
      </c>
      <c r="B817" s="79">
        <f>B816</f>
        <v>9</v>
      </c>
      <c r="C817" s="84" t="s">
        <v>901</v>
      </c>
      <c r="D817" s="78" t="s">
        <v>832</v>
      </c>
      <c r="E817" s="951" t="s">
        <v>9</v>
      </c>
      <c r="F817" s="81">
        <v>1</v>
      </c>
      <c r="G817" s="950">
        <f>VLOOKUP(C817,[17]Лист_1!$A$10:$D$77,3,0)</f>
        <v>8765</v>
      </c>
      <c r="H817" s="950">
        <f>VLOOKUP(C817,[17]Лист_1!$A$10:$D$77,4,0)</f>
        <v>2095.85</v>
      </c>
    </row>
    <row r="818" spans="1:8" ht="26.4" hidden="1">
      <c r="A818" s="78" t="s">
        <v>339</v>
      </c>
      <c r="B818" s="79">
        <f>B814</f>
        <v>9</v>
      </c>
      <c r="C818" s="84" t="s">
        <v>1057</v>
      </c>
      <c r="D818" s="78" t="s">
        <v>832</v>
      </c>
      <c r="E818" s="951" t="s">
        <v>9</v>
      </c>
      <c r="F818" s="81">
        <v>1</v>
      </c>
      <c r="G818" s="950">
        <f>VLOOKUP(C818,[17]Лист_1!$A$10:$D$77,3,0)</f>
        <v>90000</v>
      </c>
      <c r="H818" s="950">
        <f>VLOOKUP(C818,[17]Лист_1!$A$10:$D$77,4,0)</f>
        <v>21516.95</v>
      </c>
    </row>
    <row r="819" spans="1:8" hidden="1">
      <c r="A819" s="78" t="s">
        <v>339</v>
      </c>
      <c r="B819" s="79">
        <f>B817</f>
        <v>9</v>
      </c>
      <c r="C819" s="92" t="s">
        <v>902</v>
      </c>
      <c r="D819" s="78" t="s">
        <v>832</v>
      </c>
      <c r="E819" s="951" t="s">
        <v>9</v>
      </c>
      <c r="F819" s="81">
        <v>1</v>
      </c>
      <c r="G819" s="950">
        <v>50000</v>
      </c>
      <c r="H819" s="950"/>
    </row>
    <row r="820" spans="1:8" hidden="1">
      <c r="A820" s="78" t="s">
        <v>339</v>
      </c>
      <c r="B820" s="79">
        <f>B819</f>
        <v>9</v>
      </c>
      <c r="C820" s="91" t="s">
        <v>1099</v>
      </c>
      <c r="D820" s="78" t="s">
        <v>832</v>
      </c>
      <c r="E820" s="951" t="s">
        <v>9</v>
      </c>
      <c r="F820" s="81">
        <v>1</v>
      </c>
      <c r="G820" s="950">
        <f>VLOOKUP(C820,[17]Лист_1!$A$10:$D$77,3,0)</f>
        <v>58840.630000000005</v>
      </c>
      <c r="H820" s="950">
        <f>VLOOKUP(C820,[17]Лист_1!$A$10:$D$77,4,0)</f>
        <v>13842.050000000001</v>
      </c>
    </row>
    <row r="821" spans="1:8" hidden="1">
      <c r="A821" s="78" t="s">
        <v>339</v>
      </c>
      <c r="B821" s="79">
        <f>B820</f>
        <v>9</v>
      </c>
      <c r="C821" s="91" t="s">
        <v>1112</v>
      </c>
      <c r="D821" s="78" t="s">
        <v>832</v>
      </c>
      <c r="E821" s="951" t="s">
        <v>9</v>
      </c>
      <c r="F821" s="81">
        <v>1</v>
      </c>
      <c r="G821" s="950">
        <f>VLOOKUP(C821,[17]Лист_1!$A$10:$D$77,3,0)</f>
        <v>40000</v>
      </c>
      <c r="H821" s="950">
        <f>VLOOKUP(C821,[17]Лист_1!$A$10:$D$77,4,0)</f>
        <v>9563.2000000000007</v>
      </c>
    </row>
    <row r="822" spans="1:8" hidden="1">
      <c r="A822" s="78" t="s">
        <v>339</v>
      </c>
      <c r="B822" s="79">
        <f>B821</f>
        <v>9</v>
      </c>
      <c r="C822" s="91" t="s">
        <v>1139</v>
      </c>
      <c r="D822" s="78" t="s">
        <v>832</v>
      </c>
      <c r="E822" s="951" t="s">
        <v>9</v>
      </c>
      <c r="F822" s="81">
        <v>1</v>
      </c>
      <c r="G822" s="950">
        <f>VLOOKUP(C822,[17]Лист_1!$A$10:$D$77,3,0)</f>
        <v>54425.06</v>
      </c>
      <c r="H822" s="950">
        <f>VLOOKUP(C822,[17]Лист_1!$A$10:$D$77,4,0)</f>
        <v>13011.45</v>
      </c>
    </row>
    <row r="823" spans="1:8" hidden="1">
      <c r="A823" s="78" t="s">
        <v>339</v>
      </c>
      <c r="B823" s="79">
        <f>B821</f>
        <v>9</v>
      </c>
      <c r="C823" s="80" t="s">
        <v>903</v>
      </c>
      <c r="D823" s="78" t="s">
        <v>832</v>
      </c>
      <c r="E823" s="951" t="s">
        <v>9</v>
      </c>
      <c r="F823" s="81">
        <v>1</v>
      </c>
      <c r="G823" s="950">
        <f>VLOOKUP(C823,[17]Лист_1!$A$10:$D$77,3,0)</f>
        <v>93500</v>
      </c>
      <c r="H823" s="950">
        <f>VLOOKUP(C823,[17]Лист_1!$A$10:$D$77,4,0)</f>
        <v>22353.739999999998</v>
      </c>
    </row>
    <row r="824" spans="1:8" ht="26.4" hidden="1">
      <c r="A824" s="78" t="s">
        <v>819</v>
      </c>
      <c r="B824" s="79">
        <f t="shared" ref="B824:B831" si="29">B823</f>
        <v>9</v>
      </c>
      <c r="C824" s="80" t="s">
        <v>823</v>
      </c>
      <c r="D824" s="78" t="s">
        <v>821</v>
      </c>
      <c r="E824" s="91" t="s">
        <v>918</v>
      </c>
      <c r="F824" s="81">
        <v>1</v>
      </c>
      <c r="G824" s="950">
        <f>VLOOKUP(C824,[17]Лист_1!$A$10:$D$77,3,0)</f>
        <v>158416.26999999999</v>
      </c>
      <c r="H824" s="950">
        <f>VLOOKUP(C824,[17]Лист_1!$A$10:$D$77,4,0)</f>
        <v>37758.81</v>
      </c>
    </row>
    <row r="825" spans="1:8" hidden="1">
      <c r="A825" s="78" t="s">
        <v>819</v>
      </c>
      <c r="B825" s="79">
        <f t="shared" si="29"/>
        <v>9</v>
      </c>
      <c r="C825" s="84" t="s">
        <v>1039</v>
      </c>
      <c r="D825" s="78" t="s">
        <v>821</v>
      </c>
      <c r="E825" s="78" t="s">
        <v>829</v>
      </c>
      <c r="F825" s="81">
        <v>1</v>
      </c>
      <c r="G825" s="950">
        <f>VLOOKUP(C825,[17]Лист_1!$A$10:$D$77,3,0)</f>
        <v>88871.88</v>
      </c>
      <c r="H825" s="950">
        <f>VLOOKUP(C825,[17]Лист_1!$A$10:$D$77,4,0)</f>
        <v>21246.77</v>
      </c>
    </row>
    <row r="826" spans="1:8" hidden="1">
      <c r="A826" s="78" t="s">
        <v>819</v>
      </c>
      <c r="B826" s="79">
        <f t="shared" si="29"/>
        <v>9</v>
      </c>
      <c r="C826" s="80" t="s">
        <v>827</v>
      </c>
      <c r="D826" s="78" t="s">
        <v>821</v>
      </c>
      <c r="E826" s="78" t="s">
        <v>826</v>
      </c>
      <c r="F826" s="81">
        <v>1</v>
      </c>
      <c r="G826" s="950">
        <f>VLOOKUP(C826,[17]Лист_1!$A$10:$D$77,3,0)</f>
        <v>59352.880000000005</v>
      </c>
      <c r="H826" s="950">
        <f>VLOOKUP(C826,[17]Лист_1!$A$10:$D$77,4,0)</f>
        <v>14190.300000000001</v>
      </c>
    </row>
    <row r="827" spans="1:8" ht="26.4" hidden="1">
      <c r="A827" s="78" t="s">
        <v>819</v>
      </c>
      <c r="B827" s="79">
        <f t="shared" si="29"/>
        <v>9</v>
      </c>
      <c r="C827" s="80" t="s">
        <v>828</v>
      </c>
      <c r="D827" s="78" t="s">
        <v>821</v>
      </c>
      <c r="E827" s="78" t="s">
        <v>824</v>
      </c>
      <c r="F827" s="81">
        <v>1</v>
      </c>
      <c r="G827" s="950">
        <f>VLOOKUP(C827,[17]Лист_1!$A$10:$D$77,3,0)+18829</f>
        <v>38094.380000000005</v>
      </c>
      <c r="H827" s="950">
        <f>VLOOKUP(C827,[17]Лист_1!$A$10:$D$77,4,0)+4457.79</f>
        <v>9064.0499999999993</v>
      </c>
    </row>
    <row r="828" spans="1:8" hidden="1">
      <c r="A828" s="78" t="s">
        <v>819</v>
      </c>
      <c r="B828" s="79">
        <f t="shared" si="29"/>
        <v>9</v>
      </c>
      <c r="C828" s="80" t="s">
        <v>1110</v>
      </c>
      <c r="D828" s="78" t="s">
        <v>821</v>
      </c>
      <c r="E828" s="91" t="s">
        <v>918</v>
      </c>
      <c r="F828" s="81">
        <v>1</v>
      </c>
      <c r="G828" s="950">
        <f>VLOOKUP(C828,[17]Лист_1!$A$10:$D$77,3,0)</f>
        <v>120348</v>
      </c>
      <c r="H828" s="950">
        <f>VLOOKUP(C828,[17]Лист_1!$A$10:$D$77,4,0)</f>
        <v>28771.74</v>
      </c>
    </row>
    <row r="829" spans="1:8" hidden="1">
      <c r="A829" s="78" t="s">
        <v>819</v>
      </c>
      <c r="B829" s="79">
        <f t="shared" si="29"/>
        <v>9</v>
      </c>
      <c r="C829" s="80" t="s">
        <v>833</v>
      </c>
      <c r="D829" s="78" t="s">
        <v>821</v>
      </c>
      <c r="E829" s="78" t="s">
        <v>826</v>
      </c>
      <c r="F829" s="81">
        <v>1</v>
      </c>
      <c r="G829" s="950">
        <f>VLOOKUP(C829,[17]Лист_1!$A$10:$D$77,3,0)</f>
        <v>76638.27</v>
      </c>
      <c r="H829" s="950">
        <f>VLOOKUP(C829,[17]Лист_1!$A$10:$D$77,4,0)</f>
        <v>18321.96</v>
      </c>
    </row>
    <row r="830" spans="1:8" hidden="1">
      <c r="A830" s="78" t="s">
        <v>819</v>
      </c>
      <c r="B830" s="79">
        <f t="shared" si="29"/>
        <v>9</v>
      </c>
      <c r="C830" s="80" t="s">
        <v>831</v>
      </c>
      <c r="D830" s="78" t="s">
        <v>821</v>
      </c>
      <c r="E830" s="78" t="s">
        <v>822</v>
      </c>
      <c r="F830" s="81">
        <v>1</v>
      </c>
      <c r="G830" s="950">
        <f>VLOOKUP(C830,[17]Лист_1!$A$10:$D$77,3,0)</f>
        <v>39388.26</v>
      </c>
      <c r="H830" s="950">
        <f>VLOOKUP(C830,[17]Лист_1!$A$10:$D$77,4,0)</f>
        <v>9417.4</v>
      </c>
    </row>
    <row r="831" spans="1:8" hidden="1">
      <c r="A831" s="78" t="s">
        <v>819</v>
      </c>
      <c r="B831" s="79">
        <f t="shared" si="29"/>
        <v>9</v>
      </c>
      <c r="C831" s="91" t="s">
        <v>1058</v>
      </c>
      <c r="D831" s="78" t="s">
        <v>821</v>
      </c>
      <c r="E831" s="91" t="s">
        <v>918</v>
      </c>
      <c r="F831" s="81">
        <v>1</v>
      </c>
      <c r="G831" s="950">
        <v>651</v>
      </c>
      <c r="H831" s="950">
        <v>153.85</v>
      </c>
    </row>
    <row r="832" spans="1:8" hidden="1">
      <c r="A832" s="78" t="s">
        <v>819</v>
      </c>
      <c r="B832" s="79">
        <f>B830</f>
        <v>9</v>
      </c>
      <c r="C832" s="90" t="s">
        <v>1113</v>
      </c>
      <c r="D832" s="78" t="s">
        <v>821</v>
      </c>
      <c r="E832" s="78" t="s">
        <v>822</v>
      </c>
      <c r="F832" s="81">
        <v>1</v>
      </c>
      <c r="G832" s="950">
        <f>VLOOKUP(C832,[17]Лист_1!$A$10:$D$77,3,0)</f>
        <v>84628.31</v>
      </c>
      <c r="H832" s="950">
        <f>VLOOKUP(C832,[17]Лист_1!$A$10:$D$77,4,0)</f>
        <v>20232.32</v>
      </c>
    </row>
    <row r="833" spans="1:8" hidden="1">
      <c r="A833" s="78" t="s">
        <v>819</v>
      </c>
      <c r="B833" s="79">
        <f>B831</f>
        <v>9</v>
      </c>
      <c r="C833" s="90" t="s">
        <v>1098</v>
      </c>
      <c r="D833" s="78" t="s">
        <v>821</v>
      </c>
      <c r="E833" s="78" t="s">
        <v>824</v>
      </c>
      <c r="F833" s="81">
        <v>1</v>
      </c>
      <c r="G833" s="950">
        <v>4002</v>
      </c>
      <c r="H833" s="950">
        <v>947.8</v>
      </c>
    </row>
    <row r="834" spans="1:8" hidden="1">
      <c r="A834" s="91" t="s">
        <v>819</v>
      </c>
      <c r="B834" s="79">
        <f>B830</f>
        <v>9</v>
      </c>
      <c r="C834" s="91" t="s">
        <v>1165</v>
      </c>
      <c r="D834" s="78" t="s">
        <v>821</v>
      </c>
      <c r="E834" s="78" t="s">
        <v>824</v>
      </c>
      <c r="F834" s="81">
        <v>1</v>
      </c>
      <c r="G834" s="950">
        <v>10966.45</v>
      </c>
      <c r="H834" s="950">
        <v>2622.22</v>
      </c>
    </row>
    <row r="835" spans="1:8" hidden="1">
      <c r="A835" s="78" t="s">
        <v>819</v>
      </c>
      <c r="B835" s="79">
        <f>B832</f>
        <v>9</v>
      </c>
      <c r="C835" s="91" t="s">
        <v>1189</v>
      </c>
      <c r="D835" s="78" t="s">
        <v>821</v>
      </c>
      <c r="E835" s="78" t="s">
        <v>836</v>
      </c>
      <c r="F835" s="81">
        <v>1</v>
      </c>
      <c r="G835" s="950">
        <v>12000</v>
      </c>
      <c r="H835" s="950"/>
    </row>
    <row r="836" spans="1:8" hidden="1">
      <c r="A836" s="78" t="s">
        <v>819</v>
      </c>
      <c r="B836" s="79">
        <f>B831</f>
        <v>9</v>
      </c>
      <c r="C836" s="91" t="s">
        <v>837</v>
      </c>
      <c r="D836" s="78" t="s">
        <v>821</v>
      </c>
      <c r="E836" s="78" t="s">
        <v>822</v>
      </c>
      <c r="F836" s="81">
        <v>1</v>
      </c>
      <c r="G836" s="950">
        <f>VLOOKUP(C836,[17]Лист_1!$A$10:$D$77,3,0)</f>
        <v>60484.729999999996</v>
      </c>
      <c r="H836" s="950">
        <f>VLOOKUP(C836,[17]Лист_1!$A$10:$D$77,4,0)</f>
        <v>14460.77</v>
      </c>
    </row>
    <row r="837" spans="1:8" hidden="1">
      <c r="A837" s="78" t="s">
        <v>819</v>
      </c>
      <c r="B837" s="79">
        <f t="shared" ref="B837:B846" si="30">B836</f>
        <v>9</v>
      </c>
      <c r="C837" s="80" t="s">
        <v>1059</v>
      </c>
      <c r="D837" s="78" t="s">
        <v>821</v>
      </c>
      <c r="E837" s="78" t="s">
        <v>822</v>
      </c>
      <c r="F837" s="81">
        <v>1</v>
      </c>
      <c r="G837" s="950">
        <v>7003</v>
      </c>
      <c r="H837" s="950">
        <v>1658.8</v>
      </c>
    </row>
    <row r="838" spans="1:8" hidden="1">
      <c r="A838" s="78" t="s">
        <v>819</v>
      </c>
      <c r="B838" s="79">
        <f t="shared" si="30"/>
        <v>9</v>
      </c>
      <c r="C838" s="91" t="s">
        <v>1109</v>
      </c>
      <c r="D838" s="78" t="s">
        <v>821</v>
      </c>
      <c r="E838" s="78" t="s">
        <v>824</v>
      </c>
      <c r="F838" s="81">
        <v>1</v>
      </c>
      <c r="G838" s="950">
        <v>13972</v>
      </c>
      <c r="H838" s="950"/>
    </row>
    <row r="839" spans="1:8" hidden="1">
      <c r="A839" s="78" t="s">
        <v>819</v>
      </c>
      <c r="B839" s="79">
        <f t="shared" si="30"/>
        <v>9</v>
      </c>
      <c r="C839" s="78" t="s">
        <v>840</v>
      </c>
      <c r="D839" s="78" t="s">
        <v>821</v>
      </c>
      <c r="E839" s="78" t="s">
        <v>822</v>
      </c>
      <c r="F839" s="81">
        <v>1</v>
      </c>
      <c r="G839" s="950">
        <v>10805</v>
      </c>
      <c r="H839" s="950">
        <v>2558.92</v>
      </c>
    </row>
    <row r="840" spans="1:8" hidden="1">
      <c r="A840" s="78" t="s">
        <v>819</v>
      </c>
      <c r="B840" s="79">
        <f t="shared" si="30"/>
        <v>9</v>
      </c>
      <c r="C840" s="84" t="s">
        <v>1060</v>
      </c>
      <c r="D840" s="78" t="s">
        <v>821</v>
      </c>
      <c r="E840" s="78" t="s">
        <v>843</v>
      </c>
      <c r="F840" s="81">
        <v>1</v>
      </c>
      <c r="G840" s="950">
        <f>VLOOKUP(C840,[17]Лист_1!$A$10:$D$77,3,0)</f>
        <v>105050</v>
      </c>
      <c r="H840" s="950">
        <f>VLOOKUP(C840,[17]Лист_1!$A$10:$D$77,4,0)</f>
        <v>25116.35</v>
      </c>
    </row>
    <row r="841" spans="1:8" hidden="1">
      <c r="A841" s="78" t="s">
        <v>819</v>
      </c>
      <c r="B841" s="79">
        <f t="shared" si="30"/>
        <v>9</v>
      </c>
      <c r="C841" s="84" t="s">
        <v>844</v>
      </c>
      <c r="D841" s="78" t="s">
        <v>821</v>
      </c>
      <c r="E841" s="78" t="s">
        <v>826</v>
      </c>
      <c r="F841" s="81">
        <v>1</v>
      </c>
      <c r="G841" s="950">
        <f>VLOOKUP(C841,[17]Лист_1!$A$10:$D$77,3,0)</f>
        <v>78994.05</v>
      </c>
      <c r="H841" s="950">
        <f>VLOOKUP(C841,[17]Лист_1!$A$10:$D$77,4,0)</f>
        <v>18886.25</v>
      </c>
    </row>
    <row r="842" spans="1:8" hidden="1">
      <c r="A842" s="78" t="s">
        <v>819</v>
      </c>
      <c r="B842" s="79">
        <f t="shared" si="30"/>
        <v>9</v>
      </c>
      <c r="C842" s="84" t="s">
        <v>846</v>
      </c>
      <c r="D842" s="78" t="s">
        <v>821</v>
      </c>
      <c r="E842" s="91" t="s">
        <v>942</v>
      </c>
      <c r="F842" s="81">
        <v>1</v>
      </c>
      <c r="G842" s="950">
        <f>VLOOKUP(C842,[17]Лист_1!$A$10:$D$77,3,0)</f>
        <v>110000</v>
      </c>
      <c r="H842" s="950">
        <f>VLOOKUP(C842,[17]Лист_1!$A$10:$D$77,4,0)</f>
        <v>26299.079999999998</v>
      </c>
    </row>
    <row r="843" spans="1:8" hidden="1">
      <c r="A843" s="78" t="s">
        <v>819</v>
      </c>
      <c r="B843" s="79">
        <f t="shared" si="30"/>
        <v>9</v>
      </c>
      <c r="C843" s="78" t="s">
        <v>847</v>
      </c>
      <c r="D843" s="78" t="s">
        <v>821</v>
      </c>
      <c r="E843" s="78" t="s">
        <v>829</v>
      </c>
      <c r="F843" s="81">
        <v>1</v>
      </c>
      <c r="G843" s="950">
        <f>VLOOKUP(C843,[17]Лист_1!$A$10:$D$77,3,0)</f>
        <v>100271</v>
      </c>
      <c r="H843" s="950">
        <f>VLOOKUP(C843,[17]Лист_1!$A$10:$D$77,4,0)</f>
        <v>24054.74</v>
      </c>
    </row>
    <row r="844" spans="1:8" hidden="1">
      <c r="A844" s="78" t="s">
        <v>819</v>
      </c>
      <c r="B844" s="79">
        <f t="shared" si="30"/>
        <v>9</v>
      </c>
      <c r="C844" s="84" t="s">
        <v>919</v>
      </c>
      <c r="D844" s="78" t="s">
        <v>821</v>
      </c>
      <c r="E844" s="78" t="s">
        <v>822</v>
      </c>
      <c r="F844" s="81">
        <v>1</v>
      </c>
      <c r="G844" s="950">
        <f>VLOOKUP(C844,[17]Лист_1!$A$10:$D$77,3,0)</f>
        <v>80327</v>
      </c>
      <c r="H844" s="950">
        <f>VLOOKUP(C844,[17]Лист_1!$A$10:$D$77,4,0)</f>
        <v>19204.740000000002</v>
      </c>
    </row>
    <row r="845" spans="1:8" hidden="1">
      <c r="A845" s="78" t="s">
        <v>819</v>
      </c>
      <c r="B845" s="79">
        <f t="shared" si="30"/>
        <v>9</v>
      </c>
      <c r="C845" s="80" t="s">
        <v>848</v>
      </c>
      <c r="D845" s="78" t="s">
        <v>821</v>
      </c>
      <c r="E845" s="78" t="s">
        <v>826</v>
      </c>
      <c r="F845" s="81">
        <v>1</v>
      </c>
      <c r="G845" s="950">
        <f>VLOOKUP(C845,[17]Лист_1!$A$10:$D$77,3,0)</f>
        <v>61818.36</v>
      </c>
      <c r="H845" s="950">
        <f>VLOOKUP(C845,[17]Лист_1!$A$10:$D$77,4,0)</f>
        <v>14779.32</v>
      </c>
    </row>
    <row r="846" spans="1:8" hidden="1">
      <c r="A846" s="78" t="s">
        <v>819</v>
      </c>
      <c r="B846" s="79">
        <f t="shared" si="30"/>
        <v>9</v>
      </c>
      <c r="C846" s="92" t="s">
        <v>1130</v>
      </c>
      <c r="D846" s="78" t="s">
        <v>821</v>
      </c>
      <c r="E846" s="91" t="s">
        <v>942</v>
      </c>
      <c r="F846" s="81">
        <v>1</v>
      </c>
      <c r="G846" s="950">
        <f>VLOOKUP(C846,[17]Лист_1!$A$10:$D$77,3,0)</f>
        <v>70322</v>
      </c>
      <c r="H846" s="950">
        <f>VLOOKUP(C846,[17]Лист_1!$A$10:$D$77,4,0)</f>
        <v>16812.740000000002</v>
      </c>
    </row>
    <row r="847" spans="1:8" hidden="1">
      <c r="A847" s="78" t="s">
        <v>819</v>
      </c>
      <c r="B847" s="79">
        <f>B845</f>
        <v>9</v>
      </c>
      <c r="C847" s="78" t="s">
        <v>849</v>
      </c>
      <c r="D847" s="78" t="s">
        <v>821</v>
      </c>
      <c r="E847" s="78" t="s">
        <v>824</v>
      </c>
      <c r="F847" s="81">
        <v>1</v>
      </c>
      <c r="G847" s="950">
        <f>VLOOKUP(C847,[17]Лист_1!$A$10:$D$77,3,0)</f>
        <v>82013.86</v>
      </c>
      <c r="H847" s="950">
        <f>VLOOKUP(C847,[17]Лист_1!$A$10:$D$77,4,0)</f>
        <v>19607.97</v>
      </c>
    </row>
    <row r="848" spans="1:8" hidden="1">
      <c r="A848" s="78" t="s">
        <v>819</v>
      </c>
      <c r="B848" s="79">
        <f>B847</f>
        <v>9</v>
      </c>
      <c r="C848" s="90" t="s">
        <v>1044</v>
      </c>
      <c r="D848" s="78" t="s">
        <v>821</v>
      </c>
      <c r="E848" s="78" t="s">
        <v>826</v>
      </c>
      <c r="F848" s="81">
        <v>1</v>
      </c>
      <c r="G848" s="950">
        <v>72575</v>
      </c>
      <c r="H848" s="950"/>
    </row>
    <row r="849" spans="1:8" hidden="1">
      <c r="A849" s="78" t="s">
        <v>819</v>
      </c>
      <c r="B849" s="79">
        <f>B847</f>
        <v>9</v>
      </c>
      <c r="C849" s="78" t="s">
        <v>851</v>
      </c>
      <c r="D849" s="78" t="s">
        <v>821</v>
      </c>
      <c r="E849" s="78" t="s">
        <v>826</v>
      </c>
      <c r="F849" s="81">
        <v>1</v>
      </c>
      <c r="G849" s="950">
        <f>VLOOKUP(C849,[17]Лист_1!$A$10:$D$77,3,0)</f>
        <v>70944.12</v>
      </c>
      <c r="H849" s="950">
        <f>VLOOKUP(C849,[17]Лист_1!$A$10:$D$77,4,0)</f>
        <v>16961.509999999998</v>
      </c>
    </row>
    <row r="850" spans="1:8" hidden="1">
      <c r="A850" s="91" t="s">
        <v>819</v>
      </c>
      <c r="B850" s="79">
        <f>B818</f>
        <v>9</v>
      </c>
      <c r="C850" s="91" t="s">
        <v>1131</v>
      </c>
      <c r="D850" s="78" t="s">
        <v>821</v>
      </c>
      <c r="E850" s="78" t="s">
        <v>824</v>
      </c>
      <c r="F850" s="81">
        <v>1</v>
      </c>
      <c r="G850" s="950">
        <v>10345</v>
      </c>
      <c r="H850" s="950"/>
    </row>
    <row r="851" spans="1:8" hidden="1">
      <c r="A851" s="78" t="s">
        <v>819</v>
      </c>
      <c r="B851" s="79">
        <f>B848</f>
        <v>9</v>
      </c>
      <c r="C851" s="84" t="s">
        <v>853</v>
      </c>
      <c r="D851" s="78" t="s">
        <v>821</v>
      </c>
      <c r="E851" s="78" t="s">
        <v>836</v>
      </c>
      <c r="F851" s="81">
        <v>1</v>
      </c>
      <c r="G851" s="950">
        <f>VLOOKUP(C851,[17]Лист_1!$A$10:$D$77,3,0)</f>
        <v>120060</v>
      </c>
      <c r="H851" s="950">
        <f>VLOOKUP(C851,[17]Лист_1!$A$10:$D$77,4,0)</f>
        <v>28704</v>
      </c>
    </row>
    <row r="852" spans="1:8" hidden="1">
      <c r="A852" s="78" t="s">
        <v>819</v>
      </c>
      <c r="B852" s="79">
        <f>B851</f>
        <v>9</v>
      </c>
      <c r="C852" s="84" t="s">
        <v>1061</v>
      </c>
      <c r="D852" s="78" t="s">
        <v>821</v>
      </c>
      <c r="E852" s="78" t="s">
        <v>826</v>
      </c>
      <c r="F852" s="81">
        <v>1</v>
      </c>
      <c r="G852" s="950">
        <f>VLOOKUP(C852,[17]Лист_1!$A$10:$D$77,3,0)</f>
        <v>93132.15</v>
      </c>
      <c r="H852" s="950">
        <f>VLOOKUP(C852,[17]Лист_1!$A$10:$D$77,4,0)</f>
        <v>22265.759999999998</v>
      </c>
    </row>
    <row r="853" spans="1:8" hidden="1">
      <c r="A853" s="78" t="s">
        <v>819</v>
      </c>
      <c r="B853" s="79">
        <f>B852</f>
        <v>9</v>
      </c>
      <c r="C853" s="91" t="s">
        <v>855</v>
      </c>
      <c r="D853" s="78" t="s">
        <v>821</v>
      </c>
      <c r="E853" s="91" t="s">
        <v>822</v>
      </c>
      <c r="F853" s="81">
        <v>1</v>
      </c>
      <c r="G853" s="950">
        <f>VLOOKUP(C853,[17]Лист_1!$A$10:$D$77,3,0)</f>
        <v>100337</v>
      </c>
      <c r="H853" s="950">
        <f>VLOOKUP(C853,[17]Лист_1!$A$10:$D$77,4,0)</f>
        <v>23988.74</v>
      </c>
    </row>
    <row r="854" spans="1:8" hidden="1">
      <c r="A854" s="78" t="s">
        <v>819</v>
      </c>
      <c r="B854" s="79">
        <f>B853</f>
        <v>9</v>
      </c>
      <c r="C854" s="78" t="s">
        <v>856</v>
      </c>
      <c r="D854" s="78" t="s">
        <v>821</v>
      </c>
      <c r="E854" s="78" t="s">
        <v>826</v>
      </c>
      <c r="F854" s="81">
        <v>1</v>
      </c>
      <c r="G854" s="950">
        <f>VLOOKUP(C854,[17]Лист_1!$A$10:$D$77,3,0)</f>
        <v>150287</v>
      </c>
      <c r="H854" s="950">
        <f>VLOOKUP(C854,[17]Лист_1!$A$10:$D$77,4,0)</f>
        <v>35931.040000000001</v>
      </c>
    </row>
    <row r="855" spans="1:8" hidden="1">
      <c r="A855" s="78" t="s">
        <v>819</v>
      </c>
      <c r="B855" s="79">
        <f>B854</f>
        <v>9</v>
      </c>
      <c r="C855" s="90" t="s">
        <v>1133</v>
      </c>
      <c r="D855" s="78" t="s">
        <v>821</v>
      </c>
      <c r="E855" s="91" t="s">
        <v>918</v>
      </c>
      <c r="F855" s="81">
        <v>1</v>
      </c>
      <c r="G855" s="950">
        <f>VLOOKUP(C855,[17]Лист_1!$A$10:$D$77,3,0)</f>
        <v>70322</v>
      </c>
      <c r="H855" s="950">
        <f>VLOOKUP(C855,[17]Лист_1!$A$10:$D$77,4,0)</f>
        <v>16812.740000000002</v>
      </c>
    </row>
    <row r="856" spans="1:8" hidden="1">
      <c r="A856" s="78" t="s">
        <v>819</v>
      </c>
      <c r="B856" s="79">
        <f>B854</f>
        <v>9</v>
      </c>
      <c r="C856" s="78" t="s">
        <v>858</v>
      </c>
      <c r="D856" s="78" t="s">
        <v>821</v>
      </c>
      <c r="E856" s="78" t="s">
        <v>826</v>
      </c>
      <c r="F856" s="81">
        <v>1</v>
      </c>
      <c r="G856" s="950">
        <f>VLOOKUP(C856,[17]Лист_1!$A$10:$D$77,3,0)</f>
        <v>76941.929999999993</v>
      </c>
      <c r="H856" s="950">
        <f>VLOOKUP(C856,[17]Лист_1!$A$10:$D$77,4,0)</f>
        <v>18395.240000000002</v>
      </c>
    </row>
    <row r="857" spans="1:8" hidden="1">
      <c r="A857" s="78" t="s">
        <v>819</v>
      </c>
      <c r="B857" s="79">
        <f>B825</f>
        <v>9</v>
      </c>
      <c r="C857" s="91" t="s">
        <v>1063</v>
      </c>
      <c r="D857" s="78" t="s">
        <v>821</v>
      </c>
      <c r="E857" s="78" t="s">
        <v>824</v>
      </c>
      <c r="F857" s="81">
        <v>1</v>
      </c>
      <c r="G857" s="950">
        <v>12023</v>
      </c>
      <c r="H857" s="950">
        <v>2846.24</v>
      </c>
    </row>
    <row r="858" spans="1:8" hidden="1">
      <c r="A858" s="78" t="s">
        <v>819</v>
      </c>
      <c r="B858" s="79">
        <f>B826</f>
        <v>9</v>
      </c>
      <c r="C858" s="91" t="s">
        <v>1134</v>
      </c>
      <c r="D858" s="78" t="s">
        <v>821</v>
      </c>
      <c r="E858" s="78" t="s">
        <v>824</v>
      </c>
      <c r="F858" s="81">
        <v>1</v>
      </c>
      <c r="G858" s="950">
        <f>VLOOKUP(C858,[17]Лист_1!$A$10:$D$77,3,0)</f>
        <v>80327</v>
      </c>
      <c r="H858" s="950">
        <f>VLOOKUP(C858,[17]Лист_1!$A$10:$D$77,4,0)</f>
        <v>19204.740000000002</v>
      </c>
    </row>
    <row r="859" spans="1:8" hidden="1">
      <c r="A859" s="78" t="s">
        <v>819</v>
      </c>
      <c r="B859" s="79">
        <f>B857</f>
        <v>9</v>
      </c>
      <c r="C859" s="84" t="s">
        <v>863</v>
      </c>
      <c r="D859" s="78" t="s">
        <v>821</v>
      </c>
      <c r="E859" s="78" t="s">
        <v>829</v>
      </c>
      <c r="F859" s="81">
        <v>1</v>
      </c>
      <c r="G859" s="950">
        <f>VLOOKUP(C859,[17]Лист_1!$A$10:$D$77,3,0)</f>
        <v>79652.509999999995</v>
      </c>
      <c r="H859" s="950">
        <f>VLOOKUP(C859,[17]Лист_1!$A$10:$D$77,4,0)</f>
        <v>19043.260000000002</v>
      </c>
    </row>
    <row r="860" spans="1:8" hidden="1">
      <c r="A860" s="78" t="s">
        <v>819</v>
      </c>
      <c r="B860" s="79">
        <f>B859</f>
        <v>9</v>
      </c>
      <c r="C860" s="84" t="s">
        <v>865</v>
      </c>
      <c r="D860" s="78" t="s">
        <v>821</v>
      </c>
      <c r="E860" s="78" t="s">
        <v>822</v>
      </c>
      <c r="F860" s="81">
        <v>1</v>
      </c>
      <c r="G860" s="950">
        <f>VLOOKUP(C860,[17]Лист_1!$A$10:$D$77,3,0)</f>
        <v>117249.38</v>
      </c>
      <c r="H860" s="950">
        <f>VLOOKUP(C860,[17]Лист_1!$A$10:$D$77,4,0)</f>
        <v>28032.010000000002</v>
      </c>
    </row>
    <row r="861" spans="1:8" hidden="1">
      <c r="A861" s="78" t="s">
        <v>819</v>
      </c>
      <c r="B861" s="79">
        <f>B860</f>
        <v>9</v>
      </c>
      <c r="C861" s="92" t="s">
        <v>1135</v>
      </c>
      <c r="D861" s="78" t="s">
        <v>821</v>
      </c>
      <c r="E861" s="78" t="s">
        <v>822</v>
      </c>
      <c r="F861" s="81">
        <v>1</v>
      </c>
      <c r="G861" s="950">
        <f>VLOOKUP(C861,[17]Лист_1!$A$10:$D$77,3,0)</f>
        <v>140287</v>
      </c>
      <c r="H861" s="950">
        <f>VLOOKUP(C861,[17]Лист_1!$A$10:$D$77,4,0)</f>
        <v>33540.5</v>
      </c>
    </row>
    <row r="862" spans="1:8" ht="26.4" hidden="1">
      <c r="A862" s="78" t="s">
        <v>819</v>
      </c>
      <c r="B862" s="79">
        <f>B861</f>
        <v>9</v>
      </c>
      <c r="C862" s="92" t="s">
        <v>1166</v>
      </c>
      <c r="D862" s="78" t="s">
        <v>821</v>
      </c>
      <c r="E862" s="78" t="s">
        <v>822</v>
      </c>
      <c r="F862" s="81">
        <v>1</v>
      </c>
      <c r="G862" s="950">
        <f>VLOOKUP(C862,[17]Лист_1!$A$10:$D$77,3,0)</f>
        <v>16424.18</v>
      </c>
      <c r="H862" s="950">
        <f>VLOOKUP(C862,[17]Лист_1!$A$10:$D$77,4,0)</f>
        <v>3926.5</v>
      </c>
    </row>
    <row r="863" spans="1:8" hidden="1">
      <c r="A863" s="78" t="s">
        <v>819</v>
      </c>
      <c r="B863" s="79">
        <f>B860</f>
        <v>9</v>
      </c>
      <c r="C863" s="84" t="s">
        <v>1040</v>
      </c>
      <c r="D863" s="78" t="s">
        <v>821</v>
      </c>
      <c r="E863" s="78" t="s">
        <v>822</v>
      </c>
      <c r="F863" s="81">
        <v>1</v>
      </c>
      <c r="G863" s="950">
        <f>VLOOKUP(C863,[17]Лист_1!$A$10:$D$77,3,0)</f>
        <v>112799.46</v>
      </c>
      <c r="H863" s="950">
        <f>VLOOKUP(C863,[17]Лист_1!$A$10:$D$77,4,0)</f>
        <v>26968.05</v>
      </c>
    </row>
    <row r="864" spans="1:8" hidden="1">
      <c r="A864" s="78" t="s">
        <v>819</v>
      </c>
      <c r="B864" s="79">
        <f>B860</f>
        <v>9</v>
      </c>
      <c r="C864" s="91" t="s">
        <v>866</v>
      </c>
      <c r="D864" s="78" t="s">
        <v>821</v>
      </c>
      <c r="E864" s="78" t="s">
        <v>826</v>
      </c>
      <c r="F864" s="81">
        <v>1</v>
      </c>
      <c r="G864" s="950">
        <f>VLOOKUP(C864,[17]Лист_1!$A$10:$D$77,3,0)</f>
        <v>74145.259999999995</v>
      </c>
      <c r="H864" s="950">
        <f>VLOOKUP(C864,[17]Лист_1!$A$10:$D$77,4,0)</f>
        <v>17726.490000000002</v>
      </c>
    </row>
    <row r="865" spans="1:8" hidden="1">
      <c r="A865" s="78" t="s">
        <v>819</v>
      </c>
      <c r="B865" s="79">
        <f t="shared" ref="B865:B870" si="31">B864</f>
        <v>9</v>
      </c>
      <c r="C865" s="80" t="s">
        <v>867</v>
      </c>
      <c r="D865" s="78" t="s">
        <v>821</v>
      </c>
      <c r="E865" s="78" t="s">
        <v>822</v>
      </c>
      <c r="F865" s="81">
        <v>1</v>
      </c>
      <c r="G865" s="950">
        <f>VLOOKUP(C865,[17]Лист_1!$A$10:$D$77,3,0)</f>
        <v>80287</v>
      </c>
      <c r="H865" s="950">
        <f>VLOOKUP(C865,[17]Лист_1!$A$10:$D$77,4,0)</f>
        <v>19195.150000000001</v>
      </c>
    </row>
    <row r="866" spans="1:8" hidden="1">
      <c r="A866" s="78" t="s">
        <v>819</v>
      </c>
      <c r="B866" s="79">
        <f t="shared" si="31"/>
        <v>9</v>
      </c>
      <c r="C866" s="80" t="s">
        <v>868</v>
      </c>
      <c r="D866" s="78" t="s">
        <v>821</v>
      </c>
      <c r="E866" s="78" t="s">
        <v>826</v>
      </c>
      <c r="F866" s="81">
        <v>1</v>
      </c>
      <c r="G866" s="950">
        <f>VLOOKUP(C866,[17]Лист_1!$A$10:$D$77,3,0)</f>
        <v>54117.55</v>
      </c>
      <c r="H866" s="950">
        <f>VLOOKUP(C866,[17]Лист_1!$A$10:$D$77,4,0)</f>
        <v>12938.95</v>
      </c>
    </row>
    <row r="867" spans="1:8" hidden="1">
      <c r="A867" s="78" t="s">
        <v>819</v>
      </c>
      <c r="B867" s="79">
        <f t="shared" si="31"/>
        <v>9</v>
      </c>
      <c r="C867" s="90" t="s">
        <v>1065</v>
      </c>
      <c r="D867" s="78" t="s">
        <v>821</v>
      </c>
      <c r="E867" s="78" t="s">
        <v>822</v>
      </c>
      <c r="F867" s="81">
        <v>1</v>
      </c>
      <c r="G867" s="950">
        <f>VLOOKUP(C867,[17]Лист_1!$A$10:$D$77,3,0)</f>
        <v>78653.89</v>
      </c>
      <c r="H867" s="950">
        <f>VLOOKUP(C867,[17]Лист_1!$A$10:$D$77,4,0)</f>
        <v>18804.740000000002</v>
      </c>
    </row>
    <row r="868" spans="1:8" hidden="1">
      <c r="A868" s="78" t="s">
        <v>819</v>
      </c>
      <c r="B868" s="79">
        <f t="shared" si="31"/>
        <v>9</v>
      </c>
      <c r="C868" s="78" t="s">
        <v>871</v>
      </c>
      <c r="D868" s="78" t="s">
        <v>821</v>
      </c>
      <c r="E868" s="78" t="s">
        <v>829</v>
      </c>
      <c r="F868" s="81">
        <v>1</v>
      </c>
      <c r="G868" s="950">
        <f>VLOOKUP(C868,[17]Лист_1!$A$10:$D$77,3,0)</f>
        <v>71547.56</v>
      </c>
      <c r="H868" s="950">
        <f>VLOOKUP(C868,[17]Лист_1!$A$10:$D$77,4,0)</f>
        <v>17106.689999999999</v>
      </c>
    </row>
    <row r="869" spans="1:8" hidden="1">
      <c r="A869" s="78" t="s">
        <v>819</v>
      </c>
      <c r="B869" s="79">
        <f t="shared" si="31"/>
        <v>9</v>
      </c>
      <c r="C869" s="91" t="s">
        <v>874</v>
      </c>
      <c r="D869" s="78" t="s">
        <v>821</v>
      </c>
      <c r="E869" s="78" t="s">
        <v>824</v>
      </c>
      <c r="F869" s="81">
        <v>1</v>
      </c>
      <c r="G869" s="950">
        <f>VLOOKUP(C869,[17]Лист_1!$A$10:$D$77,3,0)</f>
        <v>65211.44</v>
      </c>
      <c r="H869" s="950">
        <f>VLOOKUP(C869,[17]Лист_1!$A$10:$D$77,4,0)</f>
        <v>15590.52</v>
      </c>
    </row>
    <row r="870" spans="1:8" hidden="1">
      <c r="A870" s="78" t="s">
        <v>819</v>
      </c>
      <c r="B870" s="79">
        <f t="shared" si="31"/>
        <v>9</v>
      </c>
      <c r="C870" s="90" t="s">
        <v>1164</v>
      </c>
      <c r="D870" s="78" t="s">
        <v>821</v>
      </c>
      <c r="E870" s="78" t="s">
        <v>822</v>
      </c>
      <c r="F870" s="81">
        <v>1</v>
      </c>
      <c r="G870" s="950">
        <v>78571</v>
      </c>
      <c r="H870" s="950"/>
    </row>
    <row r="871" spans="1:8" hidden="1">
      <c r="A871" s="78" t="s">
        <v>819</v>
      </c>
      <c r="B871" s="79">
        <f>B869</f>
        <v>9</v>
      </c>
      <c r="C871" s="84" t="s">
        <v>877</v>
      </c>
      <c r="D871" s="78" t="s">
        <v>821</v>
      </c>
      <c r="E871" s="91" t="s">
        <v>942</v>
      </c>
      <c r="F871" s="81">
        <v>1</v>
      </c>
      <c r="G871" s="950">
        <f>VLOOKUP(C871,[17]Лист_1!$A$10:$D$77,3,0)</f>
        <v>140536.67000000001</v>
      </c>
      <c r="H871" s="950">
        <f>VLOOKUP(C871,[17]Лист_1!$A$10:$D$77,4,0)</f>
        <v>33599.86</v>
      </c>
    </row>
    <row r="872" spans="1:8" hidden="1">
      <c r="A872" s="78" t="s">
        <v>819</v>
      </c>
      <c r="B872" s="79">
        <f>B871</f>
        <v>9</v>
      </c>
      <c r="C872" s="91" t="s">
        <v>1143</v>
      </c>
      <c r="D872" s="78" t="s">
        <v>821</v>
      </c>
      <c r="E872" s="78" t="s">
        <v>824</v>
      </c>
      <c r="F872" s="81">
        <v>1</v>
      </c>
      <c r="G872" s="950">
        <f>VLOOKUP(C872,[17]Лист_1!$A$10:$D$77,3,0)</f>
        <v>80327</v>
      </c>
      <c r="H872" s="950">
        <f>VLOOKUP(C872,[17]Лист_1!$A$10:$D$77,4,0)</f>
        <v>19204.740000000002</v>
      </c>
    </row>
    <row r="873" spans="1:8" hidden="1">
      <c r="A873" s="78" t="s">
        <v>819</v>
      </c>
      <c r="B873" s="79">
        <f>B869</f>
        <v>9</v>
      </c>
      <c r="C873" s="84" t="s">
        <v>1041</v>
      </c>
      <c r="D873" s="78" t="s">
        <v>821</v>
      </c>
      <c r="E873" s="78" t="s">
        <v>822</v>
      </c>
      <c r="F873" s="81">
        <v>1</v>
      </c>
      <c r="G873" s="950">
        <f>VLOOKUP(C873,[17]Лист_1!$A$10:$D$77,3,0)</f>
        <v>76520.55</v>
      </c>
      <c r="H873" s="950">
        <f>VLOOKUP(C873,[17]Лист_1!$A$10:$D$77,4,0)</f>
        <v>18294.46</v>
      </c>
    </row>
    <row r="874" spans="1:8" hidden="1">
      <c r="A874" s="78" t="s">
        <v>819</v>
      </c>
      <c r="B874" s="79">
        <f>B871</f>
        <v>9</v>
      </c>
      <c r="C874" s="78" t="s">
        <v>878</v>
      </c>
      <c r="D874" s="78" t="s">
        <v>821</v>
      </c>
      <c r="E874" s="78" t="s">
        <v>836</v>
      </c>
      <c r="F874" s="81">
        <v>1</v>
      </c>
      <c r="G874" s="950">
        <f>VLOOKUP(C874,[17]Лист_1!$A$10:$D$77,3,0)</f>
        <v>95287</v>
      </c>
      <c r="H874" s="950">
        <f>VLOOKUP(C874,[17]Лист_1!$A$10:$D$77,4,0)</f>
        <v>22780.95</v>
      </c>
    </row>
    <row r="875" spans="1:8" hidden="1">
      <c r="A875" s="78" t="s">
        <v>819</v>
      </c>
      <c r="B875" s="79">
        <f>B871</f>
        <v>9</v>
      </c>
      <c r="C875" s="92" t="s">
        <v>1137</v>
      </c>
      <c r="D875" s="78" t="s">
        <v>821</v>
      </c>
      <c r="E875" s="78" t="s">
        <v>822</v>
      </c>
      <c r="F875" s="81">
        <v>1</v>
      </c>
      <c r="G875" s="950">
        <v>150000</v>
      </c>
      <c r="H875" s="950">
        <v>43434</v>
      </c>
    </row>
    <row r="876" spans="1:8" hidden="1">
      <c r="A876" s="78" t="s">
        <v>819</v>
      </c>
      <c r="B876" s="79">
        <f>B875</f>
        <v>9</v>
      </c>
      <c r="C876" s="78" t="s">
        <v>1070</v>
      </c>
      <c r="D876" s="78" t="s">
        <v>821</v>
      </c>
      <c r="E876" s="78" t="s">
        <v>824</v>
      </c>
      <c r="F876" s="81">
        <v>1</v>
      </c>
      <c r="G876" s="950">
        <f>VLOOKUP(C876,[17]Лист_1!$A$10:$D$77,3,0)</f>
        <v>1889.6100000000001</v>
      </c>
      <c r="H876" s="950">
        <f>VLOOKUP(C876,[17]Лист_1!$A$10:$D$77,4,0)</f>
        <v>282</v>
      </c>
    </row>
    <row r="877" spans="1:8" hidden="1">
      <c r="A877" s="78" t="s">
        <v>819</v>
      </c>
      <c r="B877" s="79">
        <f>B876</f>
        <v>9</v>
      </c>
      <c r="C877" s="83" t="s">
        <v>880</v>
      </c>
      <c r="D877" s="78" t="s">
        <v>821</v>
      </c>
      <c r="E877" s="78" t="s">
        <v>822</v>
      </c>
      <c r="F877" s="81">
        <v>1</v>
      </c>
      <c r="G877" s="950">
        <v>20261</v>
      </c>
      <c r="H877" s="950">
        <v>4796.8900000000003</v>
      </c>
    </row>
    <row r="878" spans="1:8" hidden="1">
      <c r="A878" s="78" t="s">
        <v>819</v>
      </c>
      <c r="B878" s="79">
        <f t="shared" ref="B878:B898" si="32">B877</f>
        <v>9</v>
      </c>
      <c r="C878" s="91" t="s">
        <v>881</v>
      </c>
      <c r="D878" s="78" t="s">
        <v>821</v>
      </c>
      <c r="E878" s="91" t="s">
        <v>942</v>
      </c>
      <c r="F878" s="81">
        <v>1</v>
      </c>
      <c r="G878" s="950">
        <v>103500</v>
      </c>
      <c r="H878" s="950"/>
    </row>
    <row r="879" spans="1:8" hidden="1">
      <c r="A879" s="78" t="s">
        <v>819</v>
      </c>
      <c r="B879" s="79">
        <f t="shared" si="32"/>
        <v>9</v>
      </c>
      <c r="C879" s="78" t="s">
        <v>1042</v>
      </c>
      <c r="D879" s="78" t="s">
        <v>821</v>
      </c>
      <c r="E879" s="78" t="s">
        <v>822</v>
      </c>
      <c r="F879" s="81">
        <v>1</v>
      </c>
      <c r="G879" s="950">
        <f>VLOOKUP(C879,[17]Лист_1!$A$10:$D$77,3,0)</f>
        <v>95776.73</v>
      </c>
      <c r="H879" s="950">
        <f>VLOOKUP(C879,[17]Лист_1!$A$10:$D$77,4,0)</f>
        <v>22897.839999999997</v>
      </c>
    </row>
    <row r="880" spans="1:8" hidden="1">
      <c r="A880" s="78" t="s">
        <v>819</v>
      </c>
      <c r="B880" s="79">
        <f t="shared" si="32"/>
        <v>9</v>
      </c>
      <c r="C880" s="90" t="s">
        <v>963</v>
      </c>
      <c r="D880" s="78" t="s">
        <v>821</v>
      </c>
      <c r="E880" s="78" t="s">
        <v>822</v>
      </c>
      <c r="F880" s="81">
        <v>1</v>
      </c>
      <c r="G880" s="950">
        <f>VLOOKUP(C880,[17]Лист_1!$A$10:$D$77,3,0)</f>
        <v>57476.08</v>
      </c>
      <c r="H880" s="950">
        <f>VLOOKUP(C880,[17]Лист_1!$A$10:$D$77,4,0)</f>
        <v>14417.98</v>
      </c>
    </row>
    <row r="881" spans="1:8" hidden="1">
      <c r="A881" s="78" t="s">
        <v>819</v>
      </c>
      <c r="B881" s="79">
        <f t="shared" si="32"/>
        <v>9</v>
      </c>
      <c r="C881" s="91" t="s">
        <v>884</v>
      </c>
      <c r="D881" s="78" t="s">
        <v>821</v>
      </c>
      <c r="E881" s="78" t="s">
        <v>824</v>
      </c>
      <c r="F881" s="81">
        <v>1</v>
      </c>
      <c r="G881" s="950">
        <v>77000</v>
      </c>
      <c r="H881" s="950">
        <v>18232.46</v>
      </c>
    </row>
    <row r="882" spans="1:8" hidden="1">
      <c r="A882" s="78" t="s">
        <v>819</v>
      </c>
      <c r="B882" s="79">
        <f>B880</f>
        <v>9</v>
      </c>
      <c r="C882" s="80" t="s">
        <v>1053</v>
      </c>
      <c r="D882" s="78" t="s">
        <v>821</v>
      </c>
      <c r="E882" s="78" t="s">
        <v>836</v>
      </c>
      <c r="F882" s="81">
        <v>1</v>
      </c>
      <c r="G882" s="950">
        <f>VLOOKUP(C882,[17]Лист_1!$A$10:$D$77,3,0)</f>
        <v>65363</v>
      </c>
      <c r="H882" s="950">
        <f>VLOOKUP(C882,[17]Лист_1!$A$10:$D$77,4,0)</f>
        <v>15627.140000000001</v>
      </c>
    </row>
    <row r="883" spans="1:8" hidden="1">
      <c r="A883" s="78" t="s">
        <v>819</v>
      </c>
      <c r="B883" s="79">
        <f>B881</f>
        <v>9</v>
      </c>
      <c r="C883" s="80" t="s">
        <v>886</v>
      </c>
      <c r="D883" s="78" t="s">
        <v>821</v>
      </c>
      <c r="E883" s="78" t="s">
        <v>822</v>
      </c>
      <c r="F883" s="81">
        <v>1</v>
      </c>
      <c r="G883" s="950">
        <f>VLOOKUP(C883,[17]Лист_1!$A$10:$D$77,3,0)</f>
        <v>106050</v>
      </c>
      <c r="H883" s="950">
        <f>VLOOKUP(C883,[17]Лист_1!$A$10:$D$77,4,0)</f>
        <v>25354.959999999999</v>
      </c>
    </row>
    <row r="884" spans="1:8" hidden="1">
      <c r="A884" s="78" t="s">
        <v>819</v>
      </c>
      <c r="B884" s="79">
        <f t="shared" si="32"/>
        <v>9</v>
      </c>
      <c r="C884" s="91" t="s">
        <v>1167</v>
      </c>
      <c r="D884" s="78" t="s">
        <v>821</v>
      </c>
      <c r="E884" s="78" t="s">
        <v>824</v>
      </c>
      <c r="F884" s="81">
        <v>1</v>
      </c>
      <c r="G884" s="950">
        <v>25300</v>
      </c>
      <c r="H884" s="950">
        <v>5991.16</v>
      </c>
    </row>
    <row r="885" spans="1:8" hidden="1">
      <c r="A885" s="78" t="s">
        <v>819</v>
      </c>
      <c r="B885" s="79">
        <f>B883</f>
        <v>9</v>
      </c>
      <c r="C885" s="80" t="s">
        <v>888</v>
      </c>
      <c r="D885" s="78" t="s">
        <v>821</v>
      </c>
      <c r="E885" s="78" t="s">
        <v>822</v>
      </c>
      <c r="F885" s="81">
        <v>1</v>
      </c>
      <c r="G885" s="950">
        <f>VLOOKUP(C885,[17]Лист_1!$A$10:$D$77,3,0)</f>
        <v>8033.09</v>
      </c>
      <c r="H885" s="950">
        <f>VLOOKUP(C885,[17]Лист_1!$A$10:$D$77,4,0)</f>
        <v>1921.26</v>
      </c>
    </row>
    <row r="886" spans="1:8" hidden="1">
      <c r="A886" s="78" t="s">
        <v>819</v>
      </c>
      <c r="B886" s="79">
        <f t="shared" ref="B886:B891" si="33">B885</f>
        <v>9</v>
      </c>
      <c r="C886" s="84" t="s">
        <v>850</v>
      </c>
      <c r="D886" s="78" t="s">
        <v>832</v>
      </c>
      <c r="E886" s="78" t="s">
        <v>822</v>
      </c>
      <c r="F886" s="81">
        <v>1</v>
      </c>
      <c r="G886" s="950">
        <f>VLOOKUP(C886,[17]Лист_1!$A$10:$D$77,3,0)</f>
        <v>58150.320000000007</v>
      </c>
      <c r="H886" s="950">
        <f>VLOOKUP(C886,[17]Лист_1!$A$10:$D$77,4,0)</f>
        <v>13902.46</v>
      </c>
    </row>
    <row r="887" spans="1:8" hidden="1">
      <c r="A887" s="78" t="s">
        <v>819</v>
      </c>
      <c r="B887" s="79">
        <f t="shared" si="33"/>
        <v>9</v>
      </c>
      <c r="C887" s="92" t="s">
        <v>1140</v>
      </c>
      <c r="D887" s="78" t="s">
        <v>832</v>
      </c>
      <c r="E887" s="78" t="s">
        <v>822</v>
      </c>
      <c r="F887" s="81">
        <v>1</v>
      </c>
      <c r="G887" s="950">
        <f>VLOOKUP(C887,[17]Лист_1!$A$10:$D$77,3,0)</f>
        <v>86001.07</v>
      </c>
      <c r="H887" s="950">
        <f>VLOOKUP(C887,[17]Лист_1!$A$10:$D$77,4,0)</f>
        <v>20560.39</v>
      </c>
    </row>
    <row r="888" spans="1:8" hidden="1">
      <c r="A888" s="78" t="s">
        <v>819</v>
      </c>
      <c r="B888" s="79">
        <f t="shared" si="33"/>
        <v>9</v>
      </c>
      <c r="C888" s="90" t="s">
        <v>1141</v>
      </c>
      <c r="D888" s="78" t="s">
        <v>821</v>
      </c>
      <c r="E888" s="91" t="s">
        <v>918</v>
      </c>
      <c r="F888" s="81">
        <v>1</v>
      </c>
      <c r="G888" s="950">
        <f>VLOOKUP(C888,[17]Лист_1!$A$10:$D$77,3,0)</f>
        <v>81619</v>
      </c>
      <c r="H888" s="950">
        <f>VLOOKUP(C888,[17]Лист_1!$A$10:$D$77,4,0)</f>
        <v>17869.620000000003</v>
      </c>
    </row>
    <row r="889" spans="1:8" hidden="1">
      <c r="A889" s="78" t="s">
        <v>910</v>
      </c>
      <c r="B889" s="79">
        <f t="shared" si="33"/>
        <v>9</v>
      </c>
      <c r="C889" s="91" t="s">
        <v>1097</v>
      </c>
      <c r="D889" s="78" t="s">
        <v>821</v>
      </c>
      <c r="E889" s="78" t="s">
        <v>172</v>
      </c>
      <c r="F889" s="81">
        <v>1</v>
      </c>
      <c r="G889" s="950">
        <f>VLOOKUP(C889,[17]Лист_1!$A$10:$D$77,3,0)</f>
        <v>102598.32</v>
      </c>
      <c r="H889" s="950">
        <f>VLOOKUP(C889,[17]Лист_1!$A$10:$D$77,4,0)</f>
        <v>24529.489999999998</v>
      </c>
    </row>
    <row r="890" spans="1:8" ht="26.4" hidden="1">
      <c r="A890" s="78" t="s">
        <v>910</v>
      </c>
      <c r="B890" s="79">
        <f t="shared" si="33"/>
        <v>9</v>
      </c>
      <c r="C890" s="92" t="s">
        <v>909</v>
      </c>
      <c r="D890" s="78" t="s">
        <v>832</v>
      </c>
      <c r="E890" s="78" t="s">
        <v>172</v>
      </c>
      <c r="F890" s="81">
        <v>1</v>
      </c>
      <c r="G890" s="950">
        <v>45000</v>
      </c>
      <c r="H890" s="950">
        <v>11440.51</v>
      </c>
    </row>
    <row r="891" spans="1:8" hidden="1">
      <c r="A891" s="78" t="s">
        <v>905</v>
      </c>
      <c r="B891" s="79">
        <f t="shared" si="33"/>
        <v>9</v>
      </c>
      <c r="C891" s="78" t="s">
        <v>907</v>
      </c>
      <c r="D891" s="78" t="s">
        <v>832</v>
      </c>
      <c r="E891" s="78" t="s">
        <v>173</v>
      </c>
      <c r="F891" s="81">
        <v>1</v>
      </c>
      <c r="G891" s="950">
        <f>VLOOKUP(C891,[17]Лист_1!$A$10:$D$77,3,0)</f>
        <v>151937</v>
      </c>
      <c r="H891" s="950">
        <f>VLOOKUP(C891,[17]Лист_1!$A$10:$D$77,4,0)</f>
        <v>36324.92</v>
      </c>
    </row>
    <row r="892" spans="1:8" ht="26.4" hidden="1">
      <c r="A892" s="78" t="s">
        <v>905</v>
      </c>
      <c r="B892" s="79">
        <f t="shared" si="32"/>
        <v>9</v>
      </c>
      <c r="C892" s="92" t="s">
        <v>909</v>
      </c>
      <c r="D892" s="78" t="s">
        <v>832</v>
      </c>
      <c r="E892" s="78" t="s">
        <v>173</v>
      </c>
      <c r="F892" s="81">
        <v>1</v>
      </c>
      <c r="G892" s="950">
        <f>VLOOKUP(C892,[17]Лист_1!$A$10:$D$77,3,0)-G890</f>
        <v>266906</v>
      </c>
      <c r="H892" s="950">
        <f>VLOOKUP(C892,[17]Лист_1!$A$10:$D$77,4,0)-H890</f>
        <v>67856.44</v>
      </c>
    </row>
    <row r="893" spans="1:8" ht="26.4" hidden="1">
      <c r="A893" s="78" t="s">
        <v>905</v>
      </c>
      <c r="B893" s="79">
        <f>B892</f>
        <v>9</v>
      </c>
      <c r="C893" s="92" t="s">
        <v>1138</v>
      </c>
      <c r="D893" s="78" t="s">
        <v>832</v>
      </c>
      <c r="E893" s="78" t="s">
        <v>173</v>
      </c>
      <c r="F893" s="81">
        <v>1</v>
      </c>
      <c r="G893" s="950">
        <f>VLOOKUP(C893,[17]Лист_1!$A$10:$D$77,3,0)</f>
        <v>95082</v>
      </c>
      <c r="H893" s="950">
        <f>VLOOKUP(C893,[17]Лист_1!$A$10:$D$77,4,0)</f>
        <v>22731.54</v>
      </c>
    </row>
    <row r="894" spans="1:8" ht="26.4" hidden="1">
      <c r="A894" s="91" t="s">
        <v>819</v>
      </c>
      <c r="B894" s="79">
        <f>B892</f>
        <v>9</v>
      </c>
      <c r="C894" s="80" t="s">
        <v>906</v>
      </c>
      <c r="D894" s="78" t="s">
        <v>821</v>
      </c>
      <c r="E894" s="963" t="s">
        <v>942</v>
      </c>
      <c r="F894" s="81">
        <v>1</v>
      </c>
      <c r="G894" s="950">
        <f>VLOOKUP(C894,[17]Лист_1!$A$10:$D$77,3,0)</f>
        <v>161749</v>
      </c>
      <c r="H894" s="950">
        <f>VLOOKUP(C894,[17]Лист_1!$A$10:$D$77,4,0)</f>
        <v>38670.61</v>
      </c>
    </row>
    <row r="895" spans="1:8" ht="26.4" hidden="1">
      <c r="A895" s="78" t="s">
        <v>905</v>
      </c>
      <c r="B895" s="79">
        <f t="shared" si="32"/>
        <v>9</v>
      </c>
      <c r="C895" s="92" t="s">
        <v>962</v>
      </c>
      <c r="D895" s="78" t="s">
        <v>832</v>
      </c>
      <c r="E895" s="78" t="s">
        <v>173</v>
      </c>
      <c r="F895" s="81">
        <v>1</v>
      </c>
      <c r="G895" s="950">
        <f>VLOOKUP(C895,[17]Лист_1!$A$10:$D$77,3,0)</f>
        <v>63162.91</v>
      </c>
      <c r="H895" s="950">
        <f>VLOOKUP(C895,[17]Лист_1!$A$10:$D$77,4,0)</f>
        <v>15100.87</v>
      </c>
    </row>
    <row r="896" spans="1:8" hidden="1">
      <c r="A896" s="78" t="s">
        <v>890</v>
      </c>
      <c r="B896" s="79">
        <f t="shared" si="32"/>
        <v>9</v>
      </c>
      <c r="C896" s="80" t="s">
        <v>891</v>
      </c>
      <c r="D896" s="78" t="s">
        <v>832</v>
      </c>
      <c r="E896" s="78" t="s">
        <v>210</v>
      </c>
      <c r="F896" s="81">
        <v>1</v>
      </c>
      <c r="G896" s="950">
        <f>VLOOKUP(C896,[17]Лист_1!$A$10:$D$77,3,0)</f>
        <v>100050</v>
      </c>
      <c r="H896" s="950">
        <f>VLOOKUP(C896,[17]Лист_1!$A$10:$D$77,4,0)</f>
        <v>23920</v>
      </c>
    </row>
    <row r="897" spans="1:8" hidden="1">
      <c r="A897" s="78" t="s">
        <v>890</v>
      </c>
      <c r="B897" s="79">
        <f t="shared" si="32"/>
        <v>9</v>
      </c>
      <c r="C897" s="84" t="s">
        <v>892</v>
      </c>
      <c r="D897" s="78" t="s">
        <v>832</v>
      </c>
      <c r="E897" s="78" t="s">
        <v>210</v>
      </c>
      <c r="F897" s="81">
        <v>1</v>
      </c>
      <c r="G897" s="950">
        <f>VLOOKUP(C897,[17]Лист_1!$A$10:$D$77,3,0)</f>
        <v>557311</v>
      </c>
      <c r="H897" s="950">
        <f>VLOOKUP(C897,[17]Лист_1!$A$10:$D$77,4,0)</f>
        <v>186509</v>
      </c>
    </row>
    <row r="898" spans="1:8" hidden="1">
      <c r="A898" s="78" t="s">
        <v>890</v>
      </c>
      <c r="B898" s="79">
        <f t="shared" si="32"/>
        <v>9</v>
      </c>
      <c r="C898" s="84" t="s">
        <v>1168</v>
      </c>
      <c r="D898" s="78" t="s">
        <v>832</v>
      </c>
      <c r="E898" s="78" t="s">
        <v>210</v>
      </c>
      <c r="F898" s="81">
        <v>1</v>
      </c>
      <c r="G898" s="950">
        <v>220909</v>
      </c>
      <c r="H898" s="950">
        <v>52306.77</v>
      </c>
    </row>
    <row r="899" spans="1:8" hidden="1">
      <c r="A899" s="78" t="s">
        <v>890</v>
      </c>
      <c r="B899" s="79">
        <f>B897</f>
        <v>9</v>
      </c>
      <c r="C899" s="80" t="s">
        <v>894</v>
      </c>
      <c r="D899" s="78" t="s">
        <v>832</v>
      </c>
      <c r="E899" s="78" t="s">
        <v>210</v>
      </c>
      <c r="F899" s="81">
        <v>1</v>
      </c>
      <c r="G899" s="950">
        <v>32267</v>
      </c>
      <c r="H899" s="950">
        <v>7639.69</v>
      </c>
    </row>
    <row r="900" spans="1:8" hidden="1">
      <c r="A900" s="78" t="s">
        <v>340</v>
      </c>
      <c r="B900" s="79">
        <v>10</v>
      </c>
      <c r="C900" s="78" t="s">
        <v>1038</v>
      </c>
      <c r="D900" s="78" t="s">
        <v>832</v>
      </c>
      <c r="E900" s="951" t="s">
        <v>180</v>
      </c>
      <c r="F900" s="81">
        <v>1</v>
      </c>
      <c r="G900" s="950">
        <f>VLOOKUP(C900,[18]Лист_1!$A$10:$D$88,3,0)</f>
        <v>150075</v>
      </c>
      <c r="H900" s="950">
        <f>VLOOKUP(C900,[18]Лист_1!$A$10:$D$88,4,0)</f>
        <v>35880</v>
      </c>
    </row>
    <row r="901" spans="1:8" hidden="1">
      <c r="A901" s="78" t="s">
        <v>340</v>
      </c>
      <c r="B901" s="79">
        <f>B900</f>
        <v>10</v>
      </c>
      <c r="C901" s="91" t="s">
        <v>1100</v>
      </c>
      <c r="D901" s="78" t="s">
        <v>832</v>
      </c>
      <c r="E901" s="951" t="s">
        <v>180</v>
      </c>
      <c r="F901" s="81">
        <v>1</v>
      </c>
      <c r="G901" s="950">
        <f>VLOOKUP(C901,[18]Лист_1!$A$10:$D$88,3,0)</f>
        <v>64989</v>
      </c>
      <c r="H901" s="950">
        <f>VLOOKUP(C901,[18]Лист_1!$A$10:$D$88,4,0)</f>
        <v>15537.6</v>
      </c>
    </row>
    <row r="902" spans="1:8" hidden="1">
      <c r="A902" s="78" t="s">
        <v>340</v>
      </c>
      <c r="B902" s="79">
        <f>B901</f>
        <v>10</v>
      </c>
      <c r="C902" s="91" t="s">
        <v>1132</v>
      </c>
      <c r="D902" s="78" t="s">
        <v>832</v>
      </c>
      <c r="E902" s="951" t="s">
        <v>180</v>
      </c>
      <c r="F902" s="81">
        <v>1</v>
      </c>
      <c r="G902" s="950">
        <f>VLOOKUP(C902,[18]Лист_1!$A$10:$D$88,3,0)</f>
        <v>56444.28</v>
      </c>
      <c r="H902" s="950">
        <f>VLOOKUP(C902,[18]Лист_1!$A$10:$D$88,4,0)</f>
        <v>13494.51</v>
      </c>
    </row>
    <row r="903" spans="1:8" hidden="1">
      <c r="A903" s="78" t="s">
        <v>339</v>
      </c>
      <c r="B903" s="79">
        <f>B902</f>
        <v>10</v>
      </c>
      <c r="C903" s="84" t="s">
        <v>901</v>
      </c>
      <c r="D903" s="78" t="s">
        <v>832</v>
      </c>
      <c r="E903" s="951" t="s">
        <v>9</v>
      </c>
      <c r="F903" s="81">
        <v>1</v>
      </c>
      <c r="G903" s="950">
        <f>VLOOKUP(C903,[18]Лист_1!$A$10:$D$88,3,0)</f>
        <v>8765</v>
      </c>
      <c r="H903" s="950">
        <f>VLOOKUP(C903,[18]Лист_1!$A$10:$D$88,4,0)</f>
        <v>2095.85</v>
      </c>
    </row>
    <row r="904" spans="1:8" ht="26.4" hidden="1">
      <c r="A904" s="78" t="s">
        <v>339</v>
      </c>
      <c r="B904" s="79">
        <f>B900</f>
        <v>10</v>
      </c>
      <c r="C904" s="84" t="s">
        <v>1057</v>
      </c>
      <c r="D904" s="78" t="s">
        <v>832</v>
      </c>
      <c r="E904" s="951" t="s">
        <v>9</v>
      </c>
      <c r="F904" s="81">
        <v>1</v>
      </c>
      <c r="G904" s="950">
        <f>VLOOKUP(C904,[18]Лист_1!$A$10:$D$88,3,0)</f>
        <v>90000</v>
      </c>
      <c r="H904" s="950">
        <f>VLOOKUP(C904,[18]Лист_1!$A$10:$D$88,4,0)</f>
        <v>21516.95</v>
      </c>
    </row>
    <row r="905" spans="1:8" hidden="1">
      <c r="A905" s="78" t="s">
        <v>339</v>
      </c>
      <c r="B905" s="79">
        <f>B903</f>
        <v>10</v>
      </c>
      <c r="C905" s="92" t="s">
        <v>902</v>
      </c>
      <c r="D905" s="78" t="s">
        <v>832</v>
      </c>
      <c r="E905" s="951" t="s">
        <v>9</v>
      </c>
      <c r="F905" s="81">
        <v>1</v>
      </c>
      <c r="G905" s="950">
        <v>50000</v>
      </c>
      <c r="H905" s="950"/>
    </row>
    <row r="906" spans="1:8" hidden="1">
      <c r="A906" s="78" t="s">
        <v>339</v>
      </c>
      <c r="B906" s="79">
        <f>B905</f>
        <v>10</v>
      </c>
      <c r="C906" s="91" t="s">
        <v>1099</v>
      </c>
      <c r="D906" s="78" t="s">
        <v>832</v>
      </c>
      <c r="E906" s="951" t="s">
        <v>9</v>
      </c>
      <c r="F906" s="81">
        <v>1</v>
      </c>
      <c r="G906" s="950">
        <f>VLOOKUP(C906,[18]Лист_1!$A$10:$D$88,3,0)</f>
        <v>65182</v>
      </c>
      <c r="H906" s="950">
        <f>VLOOKUP(C906,[18]Лист_1!$A$10:$D$88,4,0)</f>
        <v>15358.61</v>
      </c>
    </row>
    <row r="907" spans="1:8" hidden="1">
      <c r="A907" s="78" t="s">
        <v>339</v>
      </c>
      <c r="B907" s="79">
        <f>B906</f>
        <v>10</v>
      </c>
      <c r="C907" s="91" t="s">
        <v>1112</v>
      </c>
      <c r="D907" s="78" t="s">
        <v>832</v>
      </c>
      <c r="E907" s="951" t="s">
        <v>9</v>
      </c>
      <c r="F907" s="81">
        <v>1</v>
      </c>
      <c r="G907" s="950">
        <f>VLOOKUP(C907,[18]Лист_1!$A$10:$D$88,3,0)</f>
        <v>45216.87</v>
      </c>
      <c r="H907" s="950">
        <f>VLOOKUP(C907,[18]Лист_1!$A$10:$D$88,4,0)</f>
        <v>10810.970000000001</v>
      </c>
    </row>
    <row r="908" spans="1:8" hidden="1">
      <c r="A908" s="78" t="s">
        <v>339</v>
      </c>
      <c r="B908" s="79">
        <f>B907</f>
        <v>10</v>
      </c>
      <c r="C908" s="91" t="s">
        <v>1139</v>
      </c>
      <c r="D908" s="78" t="s">
        <v>832</v>
      </c>
      <c r="E908" s="951" t="s">
        <v>9</v>
      </c>
      <c r="F908" s="81">
        <v>1</v>
      </c>
      <c r="G908" s="950">
        <f>VLOOKUP(C908,[18]Лист_1!$A$10:$D$88,3,0)</f>
        <v>57538.34</v>
      </c>
      <c r="H908" s="950">
        <f>VLOOKUP(C908,[18]Лист_1!$A$10:$D$88,4,0)</f>
        <v>13756.630000000001</v>
      </c>
    </row>
    <row r="909" spans="1:8" hidden="1">
      <c r="A909" s="78" t="s">
        <v>339</v>
      </c>
      <c r="B909" s="79">
        <f>B907</f>
        <v>10</v>
      </c>
      <c r="C909" s="80" t="s">
        <v>903</v>
      </c>
      <c r="D909" s="78" t="s">
        <v>832</v>
      </c>
      <c r="E909" s="951" t="s">
        <v>9</v>
      </c>
      <c r="F909" s="81">
        <v>1</v>
      </c>
      <c r="G909" s="950">
        <f>VLOOKUP(C909,[18]Лист_1!$A$10:$D$88,3,0)</f>
        <v>93499</v>
      </c>
      <c r="H909" s="950">
        <f>VLOOKUP(C909,[18]Лист_1!$A$10:$D$88,4,0)</f>
        <v>22354.73</v>
      </c>
    </row>
    <row r="910" spans="1:8" ht="26.4" hidden="1">
      <c r="A910" s="78" t="s">
        <v>819</v>
      </c>
      <c r="B910" s="79">
        <f t="shared" ref="B910:B917" si="34">B909</f>
        <v>10</v>
      </c>
      <c r="C910" s="80" t="s">
        <v>823</v>
      </c>
      <c r="D910" s="78" t="s">
        <v>821</v>
      </c>
      <c r="E910" s="91" t="s">
        <v>918</v>
      </c>
      <c r="F910" s="81">
        <v>1</v>
      </c>
      <c r="G910" s="950">
        <f>VLOOKUP(C910,[18]Лист_1!$A$10:$D$88,3,0)</f>
        <v>133310.87</v>
      </c>
      <c r="H910" s="950">
        <f>VLOOKUP(C910,[18]Лист_1!$A$10:$D$88,4,0)</f>
        <v>31872</v>
      </c>
    </row>
    <row r="911" spans="1:8" hidden="1">
      <c r="A911" s="78" t="s">
        <v>819</v>
      </c>
      <c r="B911" s="79">
        <f t="shared" si="34"/>
        <v>10</v>
      </c>
      <c r="C911" s="84" t="s">
        <v>1039</v>
      </c>
      <c r="D911" s="78" t="s">
        <v>821</v>
      </c>
      <c r="E911" s="78" t="s">
        <v>829</v>
      </c>
      <c r="F911" s="81">
        <v>1</v>
      </c>
      <c r="G911" s="950">
        <f>VLOOKUP(C911,[18]Лист_1!$A$10:$D$88,3,0)</f>
        <v>42636.61</v>
      </c>
      <c r="H911" s="950">
        <f>VLOOKUP(C911,[18]Лист_1!$A$10:$D$88,4,0)</f>
        <v>10193.6</v>
      </c>
    </row>
    <row r="912" spans="1:8" hidden="1">
      <c r="A912" s="78" t="s">
        <v>819</v>
      </c>
      <c r="B912" s="79">
        <f t="shared" si="34"/>
        <v>10</v>
      </c>
      <c r="C912" s="80" t="s">
        <v>827</v>
      </c>
      <c r="D912" s="78" t="s">
        <v>821</v>
      </c>
      <c r="E912" s="78" t="s">
        <v>826</v>
      </c>
      <c r="F912" s="81">
        <v>1</v>
      </c>
      <c r="G912" s="950">
        <f>VLOOKUP(C912,[18]Лист_1!$A$10:$D$88,3,0)</f>
        <v>75000</v>
      </c>
      <c r="H912" s="950">
        <f>VLOOKUP(C912,[18]Лист_1!$A$10:$D$88,4,0)</f>
        <v>17931.14</v>
      </c>
    </row>
    <row r="913" spans="1:8" ht="26.4" hidden="1">
      <c r="A913" s="78" t="s">
        <v>819</v>
      </c>
      <c r="B913" s="79">
        <f t="shared" si="34"/>
        <v>10</v>
      </c>
      <c r="C913" s="80" t="s">
        <v>828</v>
      </c>
      <c r="D913" s="78" t="s">
        <v>821</v>
      </c>
      <c r="E913" s="78" t="s">
        <v>824</v>
      </c>
      <c r="F913" s="81">
        <v>1</v>
      </c>
      <c r="G913" s="950">
        <f>VLOOKUP(C913,[18]Лист_1!$A$10:$D$88,3,0)</f>
        <v>40179</v>
      </c>
      <c r="H913" s="950">
        <f>VLOOKUP(C913,[18]Лист_1!$A$10:$D$88,4,0)</f>
        <v>9513.91</v>
      </c>
    </row>
    <row r="914" spans="1:8" hidden="1">
      <c r="A914" s="78" t="s">
        <v>819</v>
      </c>
      <c r="B914" s="79">
        <f t="shared" si="34"/>
        <v>10</v>
      </c>
      <c r="C914" s="80" t="s">
        <v>1110</v>
      </c>
      <c r="D914" s="78" t="s">
        <v>821</v>
      </c>
      <c r="E914" s="91" t="s">
        <v>918</v>
      </c>
      <c r="F914" s="81">
        <v>1</v>
      </c>
      <c r="G914" s="950">
        <f>VLOOKUP(C914,[18]Лист_1!$A$10:$D$88,3,0)</f>
        <v>120360</v>
      </c>
      <c r="H914" s="950">
        <f>VLOOKUP(C914,[18]Лист_1!$A$10:$D$88,4,0)</f>
        <v>28775.91</v>
      </c>
    </row>
    <row r="915" spans="1:8" hidden="1">
      <c r="A915" s="78" t="s">
        <v>819</v>
      </c>
      <c r="B915" s="79">
        <f t="shared" si="34"/>
        <v>10</v>
      </c>
      <c r="C915" s="80" t="s">
        <v>833</v>
      </c>
      <c r="D915" s="78" t="s">
        <v>821</v>
      </c>
      <c r="E915" s="78" t="s">
        <v>826</v>
      </c>
      <c r="F915" s="81">
        <v>1</v>
      </c>
      <c r="G915" s="950">
        <f>VLOOKUP(C915,[18]Лист_1!$A$10:$D$88,3,0)</f>
        <v>80300</v>
      </c>
      <c r="H915" s="950">
        <f>VLOOKUP(C915,[18]Лист_1!$A$10:$D$88,4,0)</f>
        <v>19198.329999999998</v>
      </c>
    </row>
    <row r="916" spans="1:8" hidden="1">
      <c r="A916" s="78" t="s">
        <v>819</v>
      </c>
      <c r="B916" s="79">
        <f t="shared" si="34"/>
        <v>10</v>
      </c>
      <c r="C916" s="80" t="s">
        <v>831</v>
      </c>
      <c r="D916" s="78" t="s">
        <v>821</v>
      </c>
      <c r="E916" s="78" t="s">
        <v>822</v>
      </c>
      <c r="F916" s="81">
        <v>1</v>
      </c>
      <c r="G916" s="950">
        <f>VLOOKUP(C916,[18]Лист_1!$A$10:$D$88,3,0)</f>
        <v>40020</v>
      </c>
      <c r="H916" s="950">
        <f>VLOOKUP(C916,[18]Лист_1!$A$10:$D$88,4,0)</f>
        <v>9568</v>
      </c>
    </row>
    <row r="917" spans="1:8" hidden="1">
      <c r="A917" s="78" t="s">
        <v>819</v>
      </c>
      <c r="B917" s="79">
        <f t="shared" si="34"/>
        <v>10</v>
      </c>
      <c r="C917" s="91" t="s">
        <v>1058</v>
      </c>
      <c r="D917" s="78" t="s">
        <v>821</v>
      </c>
      <c r="E917" s="91" t="s">
        <v>918</v>
      </c>
      <c r="F917" s="81">
        <v>1</v>
      </c>
      <c r="G917" s="950">
        <f>VLOOKUP(C917,[18]Лист_1!$A$10:$D$88,3,0)</f>
        <v>651</v>
      </c>
      <c r="H917" s="950">
        <f>VLOOKUP(C917,[18]Лист_1!$A$10:$D$88,4,0)</f>
        <v>153.85</v>
      </c>
    </row>
    <row r="918" spans="1:8" hidden="1">
      <c r="A918" s="78" t="s">
        <v>819</v>
      </c>
      <c r="B918" s="79">
        <f>B916</f>
        <v>10</v>
      </c>
      <c r="C918" s="90" t="s">
        <v>1113</v>
      </c>
      <c r="D918" s="78" t="s">
        <v>821</v>
      </c>
      <c r="E918" s="78" t="s">
        <v>822</v>
      </c>
      <c r="F918" s="81">
        <v>1</v>
      </c>
      <c r="G918" s="950">
        <f>VLOOKUP(C918,[18]Лист_1!$A$10:$D$88,3,0)</f>
        <v>85554</v>
      </c>
      <c r="H918" s="950">
        <f>VLOOKUP(C918,[18]Лист_1!$A$10:$D$88,4,0)</f>
        <v>20455.45</v>
      </c>
    </row>
    <row r="919" spans="1:8" hidden="1">
      <c r="A919" s="78" t="s">
        <v>819</v>
      </c>
      <c r="B919" s="79">
        <f>B917</f>
        <v>10</v>
      </c>
      <c r="C919" s="90" t="s">
        <v>1098</v>
      </c>
      <c r="D919" s="78" t="s">
        <v>821</v>
      </c>
      <c r="E919" s="78" t="s">
        <v>824</v>
      </c>
      <c r="F919" s="81">
        <v>1</v>
      </c>
      <c r="G919" s="950">
        <f>VLOOKUP(C919,[18]Лист_1!$A$10:$D$88,3,0)</f>
        <v>9003</v>
      </c>
      <c r="H919" s="950">
        <f>VLOOKUP(C919,[18]Лист_1!$A$10:$D$88,4,0)</f>
        <v>2131.4499999999998</v>
      </c>
    </row>
    <row r="920" spans="1:8" hidden="1">
      <c r="A920" s="91" t="s">
        <v>819</v>
      </c>
      <c r="B920" s="79">
        <f>B916</f>
        <v>10</v>
      </c>
      <c r="C920" s="91" t="s">
        <v>1165</v>
      </c>
      <c r="D920" s="78" t="s">
        <v>821</v>
      </c>
      <c r="E920" s="78" t="s">
        <v>824</v>
      </c>
      <c r="F920" s="81">
        <v>1</v>
      </c>
      <c r="G920" s="950">
        <f>VLOOKUP(C920,[18]Лист_1!$A$10:$D$88,3,0)</f>
        <v>60330</v>
      </c>
      <c r="H920" s="950">
        <f>VLOOKUP(C920,[18]Лист_1!$A$10:$D$88,4,0)</f>
        <v>14423.910000000002</v>
      </c>
    </row>
    <row r="921" spans="1:8" hidden="1">
      <c r="A921" s="78" t="s">
        <v>819</v>
      </c>
      <c r="B921" s="79">
        <f>B918</f>
        <v>10</v>
      </c>
      <c r="C921" s="91" t="s">
        <v>1189</v>
      </c>
      <c r="D921" s="78" t="s">
        <v>821</v>
      </c>
      <c r="E921" s="78" t="s">
        <v>836</v>
      </c>
      <c r="F921" s="81">
        <v>1</v>
      </c>
      <c r="G921" s="950">
        <v>20000</v>
      </c>
      <c r="H921" s="950"/>
    </row>
    <row r="922" spans="1:8" hidden="1">
      <c r="A922" s="78" t="s">
        <v>819</v>
      </c>
      <c r="B922" s="79">
        <f>B917</f>
        <v>10</v>
      </c>
      <c r="C922" s="91" t="s">
        <v>837</v>
      </c>
      <c r="D922" s="78" t="s">
        <v>821</v>
      </c>
      <c r="E922" s="78" t="s">
        <v>822</v>
      </c>
      <c r="F922" s="81">
        <v>1</v>
      </c>
      <c r="G922" s="950">
        <f>VLOOKUP(C922,[18]Лист_1!$A$10:$D$88,3,0)</f>
        <v>23487.95</v>
      </c>
      <c r="H922" s="950">
        <f>VLOOKUP(C922,[18]Лист_1!$A$10:$D$88,4,0)</f>
        <v>5444.58</v>
      </c>
    </row>
    <row r="923" spans="1:8" hidden="1">
      <c r="A923" s="78" t="s">
        <v>819</v>
      </c>
      <c r="B923" s="79">
        <f>B922</f>
        <v>10</v>
      </c>
      <c r="C923" s="80" t="s">
        <v>1059</v>
      </c>
      <c r="D923" s="78" t="s">
        <v>821</v>
      </c>
      <c r="E923" s="78" t="s">
        <v>822</v>
      </c>
      <c r="F923" s="81">
        <v>1</v>
      </c>
      <c r="G923" s="950">
        <f>VLOOKUP(C923,[18]Лист_1!$A$10:$D$88,3,0)</f>
        <v>7003</v>
      </c>
      <c r="H923" s="950">
        <f>VLOOKUP(C923,[18]Лист_1!$A$10:$D$88,4,0)</f>
        <v>1658.8</v>
      </c>
    </row>
    <row r="924" spans="1:8" hidden="1">
      <c r="A924" s="78" t="s">
        <v>819</v>
      </c>
      <c r="B924" s="79">
        <f>B923</f>
        <v>10</v>
      </c>
      <c r="C924" s="91" t="s">
        <v>1109</v>
      </c>
      <c r="D924" s="78" t="s">
        <v>821</v>
      </c>
      <c r="E924" s="78" t="s">
        <v>824</v>
      </c>
      <c r="F924" s="81">
        <v>1</v>
      </c>
      <c r="G924" s="950">
        <v>15509</v>
      </c>
      <c r="H924" s="950"/>
    </row>
    <row r="925" spans="1:8" hidden="1">
      <c r="A925" s="78" t="s">
        <v>819</v>
      </c>
      <c r="B925" s="79">
        <f>B924</f>
        <v>10</v>
      </c>
      <c r="C925" s="80" t="s">
        <v>1193</v>
      </c>
      <c r="D925" s="78" t="s">
        <v>821</v>
      </c>
      <c r="E925" s="78" t="s">
        <v>822</v>
      </c>
      <c r="F925" s="81">
        <v>1</v>
      </c>
      <c r="G925" s="950">
        <f>VLOOKUP(C925,[18]Лист_1!$A$10:$D$88,3,0)</f>
        <v>100350</v>
      </c>
      <c r="H925" s="950">
        <f>VLOOKUP(C925,[18]Лист_1!$A$10:$D$88,4,0)</f>
        <v>23991.91</v>
      </c>
    </row>
    <row r="926" spans="1:8" hidden="1">
      <c r="A926" s="78" t="s">
        <v>819</v>
      </c>
      <c r="B926" s="79">
        <f>B924</f>
        <v>10</v>
      </c>
      <c r="C926" s="78" t="s">
        <v>840</v>
      </c>
      <c r="D926" s="78" t="s">
        <v>821</v>
      </c>
      <c r="E926" s="78" t="s">
        <v>822</v>
      </c>
      <c r="F926" s="81">
        <v>1</v>
      </c>
      <c r="G926" s="950">
        <f>VLOOKUP(C926,[18]Лист_1!$A$10:$D$88,3,0)</f>
        <v>10805</v>
      </c>
      <c r="H926" s="950">
        <f>VLOOKUP(C926,[18]Лист_1!$A$10:$D$88,4,0)</f>
        <v>2558.92</v>
      </c>
    </row>
    <row r="927" spans="1:8" hidden="1">
      <c r="A927" s="78" t="s">
        <v>819</v>
      </c>
      <c r="B927" s="79">
        <f t="shared" ref="B927:B933" si="35">B926</f>
        <v>10</v>
      </c>
      <c r="C927" s="84" t="s">
        <v>1060</v>
      </c>
      <c r="D927" s="78" t="s">
        <v>821</v>
      </c>
      <c r="E927" s="78" t="s">
        <v>843</v>
      </c>
      <c r="F927" s="81">
        <v>1</v>
      </c>
      <c r="G927" s="950">
        <f>VLOOKUP(C927,[18]Лист_1!$A$10:$D$88,3,0)</f>
        <v>115050</v>
      </c>
      <c r="H927" s="950">
        <f>VLOOKUP(C927,[18]Лист_1!$A$10:$D$88,4,0)</f>
        <v>27505.8</v>
      </c>
    </row>
    <row r="928" spans="1:8" hidden="1">
      <c r="A928" s="78" t="s">
        <v>819</v>
      </c>
      <c r="B928" s="79">
        <f t="shared" si="35"/>
        <v>10</v>
      </c>
      <c r="C928" s="84" t="s">
        <v>844</v>
      </c>
      <c r="D928" s="78" t="s">
        <v>821</v>
      </c>
      <c r="E928" s="78" t="s">
        <v>826</v>
      </c>
      <c r="F928" s="81">
        <v>1</v>
      </c>
      <c r="G928" s="950">
        <f>VLOOKUP(C928,[18]Лист_1!$A$10:$D$88,3,0)</f>
        <v>75430.570000000007</v>
      </c>
      <c r="H928" s="950">
        <f>VLOOKUP(C928,[18]Лист_1!$A$10:$D$88,4,0)</f>
        <v>17752.099999999999</v>
      </c>
    </row>
    <row r="929" spans="1:8" hidden="1">
      <c r="A929" s="78" t="s">
        <v>819</v>
      </c>
      <c r="B929" s="79">
        <f t="shared" si="35"/>
        <v>10</v>
      </c>
      <c r="C929" s="84" t="s">
        <v>846</v>
      </c>
      <c r="D929" s="78" t="s">
        <v>821</v>
      </c>
      <c r="E929" s="91" t="s">
        <v>942</v>
      </c>
      <c r="F929" s="81">
        <v>1</v>
      </c>
      <c r="G929" s="950">
        <f>VLOOKUP(C929,[18]Лист_1!$A$10:$D$88,3,0)</f>
        <v>110001</v>
      </c>
      <c r="H929" s="950">
        <f>VLOOKUP(C929,[18]Лист_1!$A$10:$D$88,4,0)</f>
        <v>26298.079999999998</v>
      </c>
    </row>
    <row r="930" spans="1:8" hidden="1">
      <c r="A930" s="78" t="s">
        <v>819</v>
      </c>
      <c r="B930" s="79">
        <f t="shared" si="35"/>
        <v>10</v>
      </c>
      <c r="C930" s="78" t="s">
        <v>847</v>
      </c>
      <c r="D930" s="78" t="s">
        <v>821</v>
      </c>
      <c r="E930" s="78" t="s">
        <v>829</v>
      </c>
      <c r="F930" s="81">
        <v>1</v>
      </c>
      <c r="G930" s="950">
        <f>VLOOKUP(C930,[18]Лист_1!$A$10:$D$88,3,0)</f>
        <v>100350</v>
      </c>
      <c r="H930" s="950">
        <f>VLOOKUP(C930,[18]Лист_1!$A$10:$D$88,4,0)</f>
        <v>23991.91</v>
      </c>
    </row>
    <row r="931" spans="1:8" hidden="1">
      <c r="A931" s="78" t="s">
        <v>819</v>
      </c>
      <c r="B931" s="79">
        <f t="shared" si="35"/>
        <v>10</v>
      </c>
      <c r="C931" s="84" t="s">
        <v>919</v>
      </c>
      <c r="D931" s="78" t="s">
        <v>821</v>
      </c>
      <c r="E931" s="78" t="s">
        <v>822</v>
      </c>
      <c r="F931" s="81">
        <v>1</v>
      </c>
      <c r="G931" s="950">
        <f>VLOOKUP(C931,[18]Лист_1!$A$10:$D$88,3,0)</f>
        <v>80340</v>
      </c>
      <c r="H931" s="950">
        <f>VLOOKUP(C931,[18]Лист_1!$A$10:$D$88,4,0)</f>
        <v>19207.91</v>
      </c>
    </row>
    <row r="932" spans="1:8" hidden="1">
      <c r="A932" s="78" t="s">
        <v>819</v>
      </c>
      <c r="B932" s="79">
        <f t="shared" si="35"/>
        <v>10</v>
      </c>
      <c r="C932" s="80" t="s">
        <v>848</v>
      </c>
      <c r="D932" s="78" t="s">
        <v>821</v>
      </c>
      <c r="E932" s="78" t="s">
        <v>826</v>
      </c>
      <c r="F932" s="81">
        <v>1</v>
      </c>
      <c r="G932" s="950">
        <f>VLOOKUP(C932,[18]Лист_1!$A$10:$D$88,3,0)</f>
        <v>80000</v>
      </c>
      <c r="H932" s="950">
        <f>VLOOKUP(C932,[18]Лист_1!$A$10:$D$88,4,0)</f>
        <v>19126.420000000002</v>
      </c>
    </row>
    <row r="933" spans="1:8" hidden="1">
      <c r="A933" s="78" t="s">
        <v>819</v>
      </c>
      <c r="B933" s="79">
        <f t="shared" si="35"/>
        <v>10</v>
      </c>
      <c r="C933" s="92" t="s">
        <v>1130</v>
      </c>
      <c r="D933" s="78" t="s">
        <v>821</v>
      </c>
      <c r="E933" s="91" t="s">
        <v>942</v>
      </c>
      <c r="F933" s="81">
        <v>1</v>
      </c>
      <c r="G933" s="950">
        <f>VLOOKUP(C933,[18]Лист_1!$A$10:$D$88,3,0)</f>
        <v>70336</v>
      </c>
      <c r="H933" s="950">
        <f>VLOOKUP(C933,[18]Лист_1!$A$10:$D$88,4,0)</f>
        <v>16814.91</v>
      </c>
    </row>
    <row r="934" spans="1:8" hidden="1">
      <c r="A934" s="78" t="s">
        <v>819</v>
      </c>
      <c r="B934" s="79">
        <f>B932</f>
        <v>10</v>
      </c>
      <c r="C934" s="78" t="s">
        <v>849</v>
      </c>
      <c r="D934" s="78" t="s">
        <v>821</v>
      </c>
      <c r="E934" s="78" t="s">
        <v>824</v>
      </c>
      <c r="F934" s="81">
        <v>1</v>
      </c>
      <c r="G934" s="950">
        <f>VLOOKUP(C934,[18]Лист_1!$A$10:$D$88,3,0)</f>
        <v>121040.82</v>
      </c>
      <c r="H934" s="950">
        <f>VLOOKUP(C934,[18]Лист_1!$A$10:$D$88,4,0)</f>
        <v>28937.89</v>
      </c>
    </row>
    <row r="935" spans="1:8" hidden="1">
      <c r="A935" s="78" t="s">
        <v>819</v>
      </c>
      <c r="B935" s="79">
        <f>B934</f>
        <v>10</v>
      </c>
      <c r="C935" s="90" t="s">
        <v>1044</v>
      </c>
      <c r="D935" s="78" t="s">
        <v>821</v>
      </c>
      <c r="E935" s="78" t="s">
        <v>826</v>
      </c>
      <c r="F935" s="81">
        <v>1</v>
      </c>
      <c r="G935" s="950">
        <v>85107</v>
      </c>
      <c r="H935" s="950"/>
    </row>
    <row r="936" spans="1:8" hidden="1">
      <c r="A936" s="78" t="s">
        <v>819</v>
      </c>
      <c r="B936" s="79">
        <f>B934</f>
        <v>10</v>
      </c>
      <c r="C936" s="78" t="s">
        <v>851</v>
      </c>
      <c r="D936" s="78" t="s">
        <v>821</v>
      </c>
      <c r="E936" s="78" t="s">
        <v>826</v>
      </c>
      <c r="F936" s="81">
        <v>1</v>
      </c>
      <c r="G936" s="950">
        <f>VLOOKUP(C936,[18]Лист_1!$A$10:$D$88,3,0)</f>
        <v>86679.23</v>
      </c>
      <c r="H936" s="950">
        <f>VLOOKUP(C936,[18]Лист_1!$A$10:$D$88,4,0)</f>
        <v>20723.239999999998</v>
      </c>
    </row>
    <row r="937" spans="1:8" hidden="1">
      <c r="A937" s="78" t="s">
        <v>819</v>
      </c>
      <c r="B937" s="79">
        <f>B935</f>
        <v>10</v>
      </c>
      <c r="C937" s="84" t="s">
        <v>853</v>
      </c>
      <c r="D937" s="78" t="s">
        <v>821</v>
      </c>
      <c r="E937" s="78" t="s">
        <v>836</v>
      </c>
      <c r="F937" s="81">
        <v>1</v>
      </c>
      <c r="G937" s="950">
        <f>VLOOKUP(C937,[18]Лист_1!$A$10:$D$88,3,0)</f>
        <v>120060</v>
      </c>
      <c r="H937" s="950">
        <f>VLOOKUP(C937,[18]Лист_1!$A$10:$D$88,4,0)</f>
        <v>28704</v>
      </c>
    </row>
    <row r="938" spans="1:8" hidden="1">
      <c r="A938" s="78" t="s">
        <v>819</v>
      </c>
      <c r="B938" s="79">
        <f>B937</f>
        <v>10</v>
      </c>
      <c r="C938" s="84" t="s">
        <v>1061</v>
      </c>
      <c r="D938" s="78" t="s">
        <v>821</v>
      </c>
      <c r="E938" s="78" t="s">
        <v>826</v>
      </c>
      <c r="F938" s="81">
        <v>1</v>
      </c>
      <c r="G938" s="950">
        <f>VLOOKUP(C938,[18]Лист_1!$A$10:$D$88,3,0)</f>
        <v>103300</v>
      </c>
      <c r="H938" s="950">
        <f>VLOOKUP(C938,[18]Лист_1!$A$10:$D$88,4,0)</f>
        <v>24697.410000000003</v>
      </c>
    </row>
    <row r="939" spans="1:8" hidden="1">
      <c r="A939" s="78" t="s">
        <v>819</v>
      </c>
      <c r="B939" s="79">
        <f>B938</f>
        <v>10</v>
      </c>
      <c r="C939" s="91" t="s">
        <v>855</v>
      </c>
      <c r="D939" s="78" t="s">
        <v>821</v>
      </c>
      <c r="E939" s="91" t="s">
        <v>822</v>
      </c>
      <c r="F939" s="81">
        <v>1</v>
      </c>
      <c r="G939" s="950">
        <f>VLOOKUP(C939,[18]Лист_1!$A$10:$D$88,3,0)</f>
        <v>92934.52</v>
      </c>
      <c r="H939" s="950">
        <f>VLOOKUP(C939,[18]Лист_1!$A$10:$D$88,4,0)</f>
        <v>22219.07</v>
      </c>
    </row>
    <row r="940" spans="1:8" hidden="1">
      <c r="A940" s="78" t="s">
        <v>819</v>
      </c>
      <c r="B940" s="79">
        <f>B939</f>
        <v>10</v>
      </c>
      <c r="C940" s="78" t="s">
        <v>856</v>
      </c>
      <c r="D940" s="78" t="s">
        <v>821</v>
      </c>
      <c r="E940" s="78" t="s">
        <v>826</v>
      </c>
      <c r="F940" s="81">
        <v>1</v>
      </c>
      <c r="G940" s="950">
        <f>VLOOKUP(C940,[18]Лист_1!$A$10:$D$88,3,0)</f>
        <v>150301</v>
      </c>
      <c r="H940" s="950">
        <f>VLOOKUP(C940,[18]Лист_1!$A$10:$D$88,4,0)</f>
        <v>35933.199999999997</v>
      </c>
    </row>
    <row r="941" spans="1:8" hidden="1">
      <c r="A941" s="78" t="s">
        <v>819</v>
      </c>
      <c r="B941" s="79">
        <f>B940</f>
        <v>10</v>
      </c>
      <c r="C941" s="90" t="s">
        <v>1133</v>
      </c>
      <c r="D941" s="78" t="s">
        <v>821</v>
      </c>
      <c r="E941" s="91" t="s">
        <v>918</v>
      </c>
      <c r="F941" s="81">
        <v>1</v>
      </c>
      <c r="G941" s="950">
        <f>VLOOKUP(C941,[18]Лист_1!$A$10:$D$88,3,0)</f>
        <v>70335</v>
      </c>
      <c r="H941" s="950">
        <f>VLOOKUP(C941,[18]Лист_1!$A$10:$D$88,4,0)</f>
        <v>16815.91</v>
      </c>
    </row>
    <row r="942" spans="1:8" hidden="1">
      <c r="A942" s="78" t="s">
        <v>819</v>
      </c>
      <c r="B942" s="79">
        <f>B940</f>
        <v>10</v>
      </c>
      <c r="C942" s="78" t="s">
        <v>858</v>
      </c>
      <c r="D942" s="78" t="s">
        <v>821</v>
      </c>
      <c r="E942" s="78" t="s">
        <v>826</v>
      </c>
      <c r="F942" s="81">
        <v>1</v>
      </c>
      <c r="G942" s="950">
        <f>VLOOKUP(C942,[18]Лист_1!$A$10:$D$88,3,0)</f>
        <v>80340</v>
      </c>
      <c r="H942" s="950">
        <f>VLOOKUP(C942,[18]Лист_1!$A$10:$D$88,4,0)</f>
        <v>19207.91</v>
      </c>
    </row>
    <row r="943" spans="1:8" hidden="1">
      <c r="A943" s="78" t="s">
        <v>819</v>
      </c>
      <c r="B943" s="79">
        <f>B911</f>
        <v>10</v>
      </c>
      <c r="C943" s="91" t="s">
        <v>1063</v>
      </c>
      <c r="D943" s="78" t="s">
        <v>821</v>
      </c>
      <c r="E943" s="78" t="s">
        <v>824</v>
      </c>
      <c r="F943" s="81">
        <v>1</v>
      </c>
      <c r="G943" s="950">
        <f>VLOOKUP(C943,[18]Лист_1!$A$10:$D$88,3,0)</f>
        <v>34868</v>
      </c>
      <c r="H943" s="950">
        <f>VLOOKUP(C943,[18]Лист_1!$A$10:$D$88,4,0)</f>
        <v>8255.92</v>
      </c>
    </row>
    <row r="944" spans="1:8" hidden="1">
      <c r="A944" s="78" t="s">
        <v>819</v>
      </c>
      <c r="B944" s="79">
        <f>B943</f>
        <v>10</v>
      </c>
      <c r="C944" s="84" t="s">
        <v>1191</v>
      </c>
      <c r="D944" s="78" t="s">
        <v>821</v>
      </c>
      <c r="E944" s="78" t="s">
        <v>822</v>
      </c>
      <c r="F944" s="81">
        <v>1</v>
      </c>
      <c r="G944" s="950">
        <f>VLOOKUP(C944,[18]Лист_1!$A$10:$D$88,3,0)</f>
        <v>17465</v>
      </c>
      <c r="H944" s="950">
        <f>VLOOKUP(C944,[18]Лист_1!$A$10:$D$88,4,0)</f>
        <v>4175.8499999999995</v>
      </c>
    </row>
    <row r="945" spans="1:8" hidden="1">
      <c r="A945" s="78" t="s">
        <v>819</v>
      </c>
      <c r="B945" s="79">
        <f>B912</f>
        <v>10</v>
      </c>
      <c r="C945" s="91" t="s">
        <v>1134</v>
      </c>
      <c r="D945" s="78" t="s">
        <v>821</v>
      </c>
      <c r="E945" s="78" t="s">
        <v>824</v>
      </c>
      <c r="F945" s="81">
        <v>1</v>
      </c>
      <c r="G945" s="950">
        <f>VLOOKUP(C945,[18]Лист_1!$A$10:$D$88,3,0)</f>
        <v>58537.210000000006</v>
      </c>
      <c r="H945" s="950">
        <f>VLOOKUP(C945,[18]Лист_1!$A$10:$D$88,4,0)</f>
        <v>13994.099999999999</v>
      </c>
    </row>
    <row r="946" spans="1:8" hidden="1">
      <c r="A946" s="78" t="s">
        <v>819</v>
      </c>
      <c r="B946" s="79">
        <f>B943</f>
        <v>10</v>
      </c>
      <c r="C946" s="84" t="s">
        <v>863</v>
      </c>
      <c r="D946" s="78" t="s">
        <v>821</v>
      </c>
      <c r="E946" s="78" t="s">
        <v>829</v>
      </c>
      <c r="F946" s="81">
        <v>1</v>
      </c>
      <c r="G946" s="950">
        <f>VLOOKUP(C946,[18]Лист_1!$A$10:$D$88,3,0)</f>
        <v>80300</v>
      </c>
      <c r="H946" s="950">
        <f>VLOOKUP(C946,[18]Лист_1!$A$10:$D$88,4,0)</f>
        <v>19198.32</v>
      </c>
    </row>
    <row r="947" spans="1:8" hidden="1">
      <c r="A947" s="78" t="s">
        <v>819</v>
      </c>
      <c r="B947" s="79">
        <f>B946</f>
        <v>10</v>
      </c>
      <c r="C947" s="84" t="s">
        <v>865</v>
      </c>
      <c r="D947" s="78" t="s">
        <v>821</v>
      </c>
      <c r="E947" s="78" t="s">
        <v>822</v>
      </c>
      <c r="F947" s="81">
        <v>1</v>
      </c>
      <c r="G947" s="950">
        <f>VLOOKUP(C947,[18]Лист_1!$A$10:$D$88,3,0)</f>
        <v>120000</v>
      </c>
      <c r="H947" s="950">
        <f>VLOOKUP(C947,[18]Лист_1!$A$10:$D$88,4,0)</f>
        <v>28689.620000000003</v>
      </c>
    </row>
    <row r="948" spans="1:8" ht="13.2" hidden="1" customHeight="1">
      <c r="A948" s="78" t="s">
        <v>819</v>
      </c>
      <c r="B948" s="79">
        <f>B947</f>
        <v>10</v>
      </c>
      <c r="C948" s="92" t="s">
        <v>1135</v>
      </c>
      <c r="D948" s="78" t="s">
        <v>821</v>
      </c>
      <c r="E948" s="78" t="s">
        <v>822</v>
      </c>
      <c r="F948" s="81">
        <v>1</v>
      </c>
      <c r="G948" s="950">
        <f>VLOOKUP(C948,[18]Лист_1!$A$10:$D$88,3,0)</f>
        <v>128100.95999999999</v>
      </c>
      <c r="H948" s="950">
        <f>VLOOKUP(C948,[18]Лист_1!$A$10:$D$88,4,0)</f>
        <v>30625.87</v>
      </c>
    </row>
    <row r="949" spans="1:8" ht="26.4" hidden="1">
      <c r="A949" s="78" t="s">
        <v>819</v>
      </c>
      <c r="B949" s="79">
        <f>B948</f>
        <v>10</v>
      </c>
      <c r="C949" s="92" t="s">
        <v>1166</v>
      </c>
      <c r="D949" s="78" t="s">
        <v>821</v>
      </c>
      <c r="E949" s="78" t="s">
        <v>822</v>
      </c>
      <c r="F949" s="81">
        <v>1</v>
      </c>
      <c r="G949" s="950">
        <f>VLOOKUP(C949,[18]Лист_1!$A$10:$D$88,3,0)</f>
        <v>90345</v>
      </c>
      <c r="H949" s="950">
        <f>VLOOKUP(C949,[18]Лист_1!$A$10:$D$88,4,0)</f>
        <v>21599.91</v>
      </c>
    </row>
    <row r="950" spans="1:8" hidden="1">
      <c r="A950" s="78" t="s">
        <v>819</v>
      </c>
      <c r="B950" s="79">
        <f>B947</f>
        <v>10</v>
      </c>
      <c r="C950" s="84" t="s">
        <v>1040</v>
      </c>
      <c r="D950" s="78" t="s">
        <v>821</v>
      </c>
      <c r="E950" s="78" t="s">
        <v>822</v>
      </c>
      <c r="F950" s="81">
        <v>1</v>
      </c>
      <c r="G950" s="950">
        <f>VLOOKUP(C950,[18]Лист_1!$A$10:$D$88,3,0)</f>
        <v>120360</v>
      </c>
      <c r="H950" s="950">
        <f>VLOOKUP(C950,[18]Лист_1!$A$10:$D$88,4,0)</f>
        <v>28775.91</v>
      </c>
    </row>
    <row r="951" spans="1:8" hidden="1">
      <c r="A951" s="78" t="s">
        <v>819</v>
      </c>
      <c r="B951" s="79">
        <f>B947</f>
        <v>10</v>
      </c>
      <c r="C951" s="91" t="s">
        <v>866</v>
      </c>
      <c r="D951" s="78" t="s">
        <v>821</v>
      </c>
      <c r="E951" s="78" t="s">
        <v>826</v>
      </c>
      <c r="F951" s="81">
        <v>1</v>
      </c>
      <c r="G951" s="950">
        <f>VLOOKUP(C951,[18]Лист_1!$A$10:$D$88,3,0)</f>
        <v>75300</v>
      </c>
      <c r="H951" s="950">
        <f>VLOOKUP(C951,[18]Лист_1!$A$10:$D$88,4,0)</f>
        <v>18003.059999999998</v>
      </c>
    </row>
    <row r="952" spans="1:8" hidden="1">
      <c r="A952" s="78" t="s">
        <v>819</v>
      </c>
      <c r="B952" s="79">
        <f>B951</f>
        <v>10</v>
      </c>
      <c r="C952" s="80" t="s">
        <v>867</v>
      </c>
      <c r="D952" s="78" t="s">
        <v>821</v>
      </c>
      <c r="E952" s="78" t="s">
        <v>822</v>
      </c>
      <c r="F952" s="81">
        <v>1</v>
      </c>
      <c r="G952" s="950">
        <f>VLOOKUP(C952,[18]Лист_1!$A$10:$D$88,3,0)</f>
        <v>90300</v>
      </c>
      <c r="H952" s="950">
        <f>VLOOKUP(C952,[18]Лист_1!$A$10:$D$88,4,0)</f>
        <v>21588.86</v>
      </c>
    </row>
    <row r="953" spans="1:8" hidden="1">
      <c r="A953" s="78" t="s">
        <v>819</v>
      </c>
      <c r="B953" s="79">
        <f>B952</f>
        <v>10</v>
      </c>
      <c r="C953" s="80" t="s">
        <v>868</v>
      </c>
      <c r="D953" s="78" t="s">
        <v>821</v>
      </c>
      <c r="E953" s="78" t="s">
        <v>826</v>
      </c>
      <c r="F953" s="81">
        <v>1</v>
      </c>
      <c r="G953" s="950">
        <f>VLOOKUP(C953,[18]Лист_1!$A$10:$D$88,3,0)</f>
        <v>76522</v>
      </c>
      <c r="H953" s="950">
        <f>VLOOKUP(C953,[18]Лист_1!$A$10:$D$88,4,0)</f>
        <v>18294.57</v>
      </c>
    </row>
    <row r="954" spans="1:8" hidden="1">
      <c r="A954" s="78" t="s">
        <v>819</v>
      </c>
      <c r="B954" s="79">
        <f>B953</f>
        <v>10</v>
      </c>
      <c r="C954" s="90" t="s">
        <v>1065</v>
      </c>
      <c r="D954" s="78" t="s">
        <v>821</v>
      </c>
      <c r="E954" s="78" t="s">
        <v>822</v>
      </c>
      <c r="F954" s="81">
        <v>1</v>
      </c>
      <c r="G954" s="950">
        <f>VLOOKUP(C954,[18]Лист_1!$A$10:$D$88,3,0)</f>
        <v>61531.14</v>
      </c>
      <c r="H954" s="950">
        <f>VLOOKUP(C954,[18]Лист_1!$A$10:$D$88,4,0)</f>
        <v>14319.92</v>
      </c>
    </row>
    <row r="955" spans="1:8" hidden="1">
      <c r="A955" s="78" t="s">
        <v>819</v>
      </c>
      <c r="B955" s="79">
        <f>B954</f>
        <v>10</v>
      </c>
      <c r="C955" s="91" t="s">
        <v>874</v>
      </c>
      <c r="D955" s="78" t="s">
        <v>821</v>
      </c>
      <c r="E955" s="78" t="s">
        <v>824</v>
      </c>
      <c r="F955" s="81">
        <v>1</v>
      </c>
      <c r="G955" s="950">
        <f>VLOOKUP(C955,[18]Лист_1!$A$10:$D$88,3,0)</f>
        <v>70300</v>
      </c>
      <c r="H955" s="950">
        <f>VLOOKUP(C955,[18]Лист_1!$A$10:$D$88,4,0)</f>
        <v>16807.79</v>
      </c>
    </row>
    <row r="956" spans="1:8" hidden="1">
      <c r="A956" s="78" t="s">
        <v>819</v>
      </c>
      <c r="B956" s="79">
        <f>B955</f>
        <v>10</v>
      </c>
      <c r="C956" s="90" t="s">
        <v>1164</v>
      </c>
      <c r="D956" s="78" t="s">
        <v>821</v>
      </c>
      <c r="E956" s="78" t="s">
        <v>822</v>
      </c>
      <c r="F956" s="81">
        <v>1</v>
      </c>
      <c r="G956" s="950">
        <v>110000</v>
      </c>
      <c r="H956" s="950">
        <v>27500</v>
      </c>
    </row>
    <row r="957" spans="1:8" hidden="1">
      <c r="A957" s="78" t="s">
        <v>819</v>
      </c>
      <c r="B957" s="79">
        <f>B955</f>
        <v>10</v>
      </c>
      <c r="C957" s="84" t="s">
        <v>877</v>
      </c>
      <c r="D957" s="78" t="s">
        <v>821</v>
      </c>
      <c r="E957" s="91" t="s">
        <v>942</v>
      </c>
      <c r="F957" s="81">
        <v>1</v>
      </c>
      <c r="G957" s="950">
        <f>VLOOKUP(C957,[18]Лист_1!$A$10:$D$88,3,0)</f>
        <v>130065</v>
      </c>
      <c r="H957" s="950">
        <f>VLOOKUP(C957,[18]Лист_1!$A$10:$D$88,4,0)</f>
        <v>31096</v>
      </c>
    </row>
    <row r="958" spans="1:8" hidden="1">
      <c r="A958" s="78" t="s">
        <v>819</v>
      </c>
      <c r="B958" s="79">
        <f>B957</f>
        <v>10</v>
      </c>
      <c r="C958" s="91" t="s">
        <v>1143</v>
      </c>
      <c r="D958" s="78" t="s">
        <v>821</v>
      </c>
      <c r="E958" s="78" t="s">
        <v>824</v>
      </c>
      <c r="F958" s="81">
        <v>1</v>
      </c>
      <c r="G958" s="950">
        <f>VLOOKUP(C958,[18]Лист_1!$A$10:$D$88,3,0)</f>
        <v>80340</v>
      </c>
      <c r="H958" s="950">
        <f>VLOOKUP(C958,[18]Лист_1!$A$10:$D$88,4,0)</f>
        <v>19207.91</v>
      </c>
    </row>
    <row r="959" spans="1:8" hidden="1">
      <c r="A959" s="78" t="s">
        <v>819</v>
      </c>
      <c r="B959" s="79">
        <f>B955</f>
        <v>10</v>
      </c>
      <c r="C959" s="84" t="s">
        <v>1041</v>
      </c>
      <c r="D959" s="78" t="s">
        <v>821</v>
      </c>
      <c r="E959" s="78" t="s">
        <v>822</v>
      </c>
      <c r="F959" s="81">
        <v>1</v>
      </c>
      <c r="G959" s="950">
        <f>VLOOKUP(C959,[18]Лист_1!$A$10:$D$88,3,0)</f>
        <v>144654.19</v>
      </c>
      <c r="H959" s="950">
        <f>VLOOKUP(C959,[18]Лист_1!$A$10:$D$88,4,0)</f>
        <v>34583.99</v>
      </c>
    </row>
    <row r="960" spans="1:8" hidden="1">
      <c r="A960" s="78" t="s">
        <v>819</v>
      </c>
      <c r="B960" s="79">
        <f>B957</f>
        <v>10</v>
      </c>
      <c r="C960" s="78" t="s">
        <v>878</v>
      </c>
      <c r="D960" s="78" t="s">
        <v>821</v>
      </c>
      <c r="E960" s="78" t="s">
        <v>836</v>
      </c>
      <c r="F960" s="81">
        <v>1</v>
      </c>
      <c r="G960" s="950">
        <f>VLOOKUP(C960,[18]Лист_1!$A$10:$D$88,3,0)</f>
        <v>89943.360000000001</v>
      </c>
      <c r="H960" s="950">
        <f>VLOOKUP(C960,[18]Лист_1!$A$10:$D$88,4,0)</f>
        <v>21503.91</v>
      </c>
    </row>
    <row r="961" spans="1:8" hidden="1">
      <c r="A961" s="78" t="s">
        <v>819</v>
      </c>
      <c r="B961" s="79">
        <f>B957</f>
        <v>10</v>
      </c>
      <c r="C961" s="92" t="s">
        <v>1137</v>
      </c>
      <c r="D961" s="78" t="s">
        <v>821</v>
      </c>
      <c r="E961" s="78" t="s">
        <v>822</v>
      </c>
      <c r="F961" s="81">
        <v>1</v>
      </c>
      <c r="G961" s="950">
        <v>150000</v>
      </c>
      <c r="H961" s="950">
        <v>43434</v>
      </c>
    </row>
    <row r="962" spans="1:8" hidden="1">
      <c r="A962" s="78" t="s">
        <v>819</v>
      </c>
      <c r="B962" s="79">
        <f>B958</f>
        <v>10</v>
      </c>
      <c r="C962" s="83" t="s">
        <v>880</v>
      </c>
      <c r="D962" s="78" t="s">
        <v>821</v>
      </c>
      <c r="E962" s="78" t="s">
        <v>822</v>
      </c>
      <c r="F962" s="81">
        <v>1</v>
      </c>
      <c r="G962" s="950">
        <f>VLOOKUP(C962,[18]Лист_1!$A$10:$D$88,3,0)</f>
        <v>41271</v>
      </c>
      <c r="H962" s="950">
        <f>VLOOKUP(C962,[18]Лист_1!$A$10:$D$88,4,0)</f>
        <v>9772.2900000000009</v>
      </c>
    </row>
    <row r="963" spans="1:8" hidden="1">
      <c r="A963" s="78" t="s">
        <v>819</v>
      </c>
      <c r="B963" s="79">
        <f>B959</f>
        <v>10</v>
      </c>
      <c r="C963" s="91" t="s">
        <v>881</v>
      </c>
      <c r="D963" s="78" t="s">
        <v>821</v>
      </c>
      <c r="E963" s="91" t="s">
        <v>942</v>
      </c>
      <c r="F963" s="81">
        <v>1</v>
      </c>
      <c r="G963" s="950">
        <v>100000</v>
      </c>
      <c r="H963" s="950"/>
    </row>
    <row r="964" spans="1:8" hidden="1">
      <c r="A964" s="78" t="s">
        <v>819</v>
      </c>
      <c r="B964" s="79">
        <f>B963</f>
        <v>10</v>
      </c>
      <c r="C964" s="78" t="s">
        <v>1042</v>
      </c>
      <c r="D964" s="78" t="s">
        <v>821</v>
      </c>
      <c r="E964" s="78" t="s">
        <v>822</v>
      </c>
      <c r="F964" s="81">
        <v>1</v>
      </c>
      <c r="G964" s="950">
        <f>VLOOKUP(C964,[18]Лист_1!$A$10:$D$88,3,0)</f>
        <v>100350</v>
      </c>
      <c r="H964" s="950">
        <f>VLOOKUP(C964,[18]Лист_1!$A$10:$D$88,4,0)</f>
        <v>23991.91</v>
      </c>
    </row>
    <row r="965" spans="1:8" hidden="1">
      <c r="A965" s="78" t="s">
        <v>819</v>
      </c>
      <c r="B965" s="79">
        <f>B964</f>
        <v>10</v>
      </c>
      <c r="C965" s="90" t="s">
        <v>963</v>
      </c>
      <c r="D965" s="78" t="s">
        <v>821</v>
      </c>
      <c r="E965" s="78" t="s">
        <v>822</v>
      </c>
      <c r="F965" s="81">
        <v>1</v>
      </c>
      <c r="G965" s="950">
        <f>VLOOKUP(C965,[18]Лист_1!$A$10:$D$88,3,0)</f>
        <v>60330</v>
      </c>
      <c r="H965" s="950">
        <f>VLOOKUP(C965,[18]Лист_1!$A$10:$D$88,4,0)</f>
        <v>14423.910000000002</v>
      </c>
    </row>
    <row r="966" spans="1:8" hidden="1">
      <c r="A966" s="78" t="s">
        <v>819</v>
      </c>
      <c r="B966" s="79">
        <f>B965</f>
        <v>10</v>
      </c>
      <c r="C966" s="91" t="s">
        <v>884</v>
      </c>
      <c r="D966" s="78" t="s">
        <v>821</v>
      </c>
      <c r="E966" s="78" t="s">
        <v>824</v>
      </c>
      <c r="F966" s="81">
        <v>1</v>
      </c>
      <c r="G966" s="950">
        <f>VLOOKUP(C966,[18]Лист_1!$A$10:$D$88,3,0)</f>
        <v>153326</v>
      </c>
      <c r="H966" s="950">
        <f>VLOOKUP(C966,[18]Лист_1!$A$10:$D$88,4,0)</f>
        <v>36305.01</v>
      </c>
    </row>
    <row r="967" spans="1:8" hidden="1">
      <c r="A967" s="78" t="s">
        <v>819</v>
      </c>
      <c r="B967" s="79">
        <f>B965</f>
        <v>10</v>
      </c>
      <c r="C967" s="80" t="s">
        <v>1053</v>
      </c>
      <c r="D967" s="78" t="s">
        <v>821</v>
      </c>
      <c r="E967" s="78" t="s">
        <v>836</v>
      </c>
      <c r="F967" s="81">
        <v>1</v>
      </c>
      <c r="G967" s="950">
        <f>VLOOKUP(C967,[18]Лист_1!$A$10:$D$88,3,0)</f>
        <v>65376</v>
      </c>
      <c r="H967" s="950">
        <f>VLOOKUP(C967,[18]Лист_1!$A$10:$D$88,4,0)</f>
        <v>15630.310000000001</v>
      </c>
    </row>
    <row r="968" spans="1:8" hidden="1">
      <c r="A968" s="78" t="s">
        <v>819</v>
      </c>
      <c r="B968" s="79">
        <f>B966</f>
        <v>10</v>
      </c>
      <c r="C968" s="80" t="s">
        <v>886</v>
      </c>
      <c r="D968" s="78" t="s">
        <v>821</v>
      </c>
      <c r="E968" s="78" t="s">
        <v>822</v>
      </c>
      <c r="F968" s="81">
        <v>1</v>
      </c>
      <c r="G968" s="950">
        <f>VLOOKUP(C968,[18]Лист_1!$A$10:$D$88,3,0)</f>
        <v>113150</v>
      </c>
      <c r="H968" s="950">
        <f>VLOOKUP(C968,[18]Лист_1!$A$10:$D$88,4,0)</f>
        <v>27051.440000000002</v>
      </c>
    </row>
    <row r="969" spans="1:8" hidden="1">
      <c r="A969" s="78" t="s">
        <v>819</v>
      </c>
      <c r="B969" s="79">
        <f>B968</f>
        <v>10</v>
      </c>
      <c r="C969" s="91" t="s">
        <v>1167</v>
      </c>
      <c r="D969" s="78" t="s">
        <v>821</v>
      </c>
      <c r="E969" s="78" t="s">
        <v>824</v>
      </c>
      <c r="F969" s="81">
        <v>1</v>
      </c>
      <c r="G969" s="950">
        <f>VLOOKUP(C969,[18]Лист_1!$A$10:$D$88,3,0)</f>
        <v>37301</v>
      </c>
      <c r="H969" s="950">
        <f>VLOOKUP(C969,[18]Лист_1!$A$10:$D$88,4,0)</f>
        <v>8832.5</v>
      </c>
    </row>
    <row r="970" spans="1:8" hidden="1">
      <c r="A970" s="78" t="s">
        <v>819</v>
      </c>
      <c r="B970" s="79">
        <f>B968</f>
        <v>10</v>
      </c>
      <c r="C970" s="80" t="s">
        <v>888</v>
      </c>
      <c r="D970" s="78" t="s">
        <v>821</v>
      </c>
      <c r="E970" s="78" t="s">
        <v>822</v>
      </c>
      <c r="F970" s="81">
        <v>1</v>
      </c>
      <c r="G970" s="950">
        <f>VLOOKUP(C970,[18]Лист_1!$A$10:$D$88,3,0)</f>
        <v>1889.6100000000001</v>
      </c>
      <c r="H970" s="950">
        <f>VLOOKUP(C970,[18]Лист_1!$A$10:$D$88,4,0)</f>
        <v>282</v>
      </c>
    </row>
    <row r="971" spans="1:8" hidden="1">
      <c r="A971" s="78" t="s">
        <v>819</v>
      </c>
      <c r="B971" s="79">
        <f t="shared" ref="B971:B976" si="36">B970</f>
        <v>10</v>
      </c>
      <c r="C971" s="84" t="s">
        <v>850</v>
      </c>
      <c r="D971" s="78" t="s">
        <v>832</v>
      </c>
      <c r="E971" s="78" t="s">
        <v>822</v>
      </c>
      <c r="F971" s="81">
        <v>1</v>
      </c>
      <c r="G971" s="950">
        <f>VLOOKUP(C971,[18]Лист_1!$A$10:$D$88,3,0)</f>
        <v>85300</v>
      </c>
      <c r="H971" s="950">
        <f>VLOOKUP(C971,[18]Лист_1!$A$10:$D$88,4,0)</f>
        <v>20393.59</v>
      </c>
    </row>
    <row r="972" spans="1:8" hidden="1">
      <c r="A972" s="78" t="s">
        <v>819</v>
      </c>
      <c r="B972" s="79">
        <f t="shared" si="36"/>
        <v>10</v>
      </c>
      <c r="C972" s="78" t="s">
        <v>1192</v>
      </c>
      <c r="D972" s="78" t="s">
        <v>821</v>
      </c>
      <c r="E972" s="78" t="s">
        <v>829</v>
      </c>
      <c r="F972" s="81">
        <v>1</v>
      </c>
      <c r="G972" s="950">
        <f>VLOOKUP(C972,[18]Лист_1!$A$10:$D$88,3,0)</f>
        <v>34930</v>
      </c>
      <c r="H972" s="950">
        <f>VLOOKUP(C972,[18]Лист_1!$A$10:$D$88,4,0)</f>
        <v>8351.6999999999989</v>
      </c>
    </row>
    <row r="973" spans="1:8" hidden="1">
      <c r="A973" s="78" t="s">
        <v>819</v>
      </c>
      <c r="B973" s="79">
        <f t="shared" si="36"/>
        <v>10</v>
      </c>
      <c r="C973" s="90" t="s">
        <v>1141</v>
      </c>
      <c r="D973" s="78" t="s">
        <v>821</v>
      </c>
      <c r="E973" s="91" t="s">
        <v>918</v>
      </c>
      <c r="F973" s="81">
        <v>1</v>
      </c>
      <c r="G973" s="950">
        <f>VLOOKUP(C973,[18]Лист_1!$A$10:$D$88,3,0)</f>
        <v>72118.92</v>
      </c>
      <c r="H973" s="950">
        <f>VLOOKUP(C973,[18]Лист_1!$A$10:$D$88,4,0)</f>
        <v>17242.88</v>
      </c>
    </row>
    <row r="974" spans="1:8" hidden="1">
      <c r="A974" s="78" t="s">
        <v>910</v>
      </c>
      <c r="B974" s="79">
        <f t="shared" si="36"/>
        <v>10</v>
      </c>
      <c r="C974" s="91" t="s">
        <v>1097</v>
      </c>
      <c r="D974" s="78" t="s">
        <v>821</v>
      </c>
      <c r="E974" s="78" t="s">
        <v>172</v>
      </c>
      <c r="F974" s="81">
        <v>1</v>
      </c>
      <c r="G974" s="950">
        <f>VLOOKUP(C974,[18]Лист_1!$A$10:$D$88,3,0)</f>
        <v>110301</v>
      </c>
      <c r="H974" s="950">
        <f>VLOOKUP(C974,[18]Лист_1!$A$10:$D$88,4,0)</f>
        <v>26369.99</v>
      </c>
    </row>
    <row r="975" spans="1:8" ht="26.4" hidden="1">
      <c r="A975" s="78" t="s">
        <v>910</v>
      </c>
      <c r="B975" s="79">
        <f t="shared" si="36"/>
        <v>10</v>
      </c>
      <c r="C975" s="92" t="s">
        <v>909</v>
      </c>
      <c r="D975" s="78" t="s">
        <v>832</v>
      </c>
      <c r="E975" s="78" t="s">
        <v>172</v>
      </c>
      <c r="F975" s="81">
        <v>1</v>
      </c>
      <c r="G975" s="950">
        <v>45000</v>
      </c>
      <c r="H975" s="950">
        <v>12064</v>
      </c>
    </row>
    <row r="976" spans="1:8" hidden="1">
      <c r="A976" s="78" t="s">
        <v>905</v>
      </c>
      <c r="B976" s="79">
        <f t="shared" si="36"/>
        <v>10</v>
      </c>
      <c r="C976" s="78" t="s">
        <v>907</v>
      </c>
      <c r="D976" s="78" t="s">
        <v>832</v>
      </c>
      <c r="E976" s="78" t="s">
        <v>173</v>
      </c>
      <c r="F976" s="81">
        <v>1</v>
      </c>
      <c r="G976" s="950">
        <f>VLOOKUP(C976,[18]Лист_1!$A$10:$D$88,3,0)</f>
        <v>151931</v>
      </c>
      <c r="H976" s="950">
        <f>VLOOKUP(C976,[18]Лист_1!$A$10:$D$88,4,0)</f>
        <v>36323.379999999997</v>
      </c>
    </row>
    <row r="977" spans="1:8" ht="26.4" hidden="1">
      <c r="A977" s="78" t="s">
        <v>905</v>
      </c>
      <c r="B977" s="79">
        <f>B976</f>
        <v>10</v>
      </c>
      <c r="C977" s="92" t="s">
        <v>909</v>
      </c>
      <c r="D977" s="78" t="s">
        <v>832</v>
      </c>
      <c r="E977" s="78" t="s">
        <v>173</v>
      </c>
      <c r="F977" s="81">
        <v>1</v>
      </c>
      <c r="G977" s="950">
        <v>266037</v>
      </c>
      <c r="H977" s="950">
        <v>71367</v>
      </c>
    </row>
    <row r="978" spans="1:8" ht="26.4" hidden="1">
      <c r="A978" s="78" t="s">
        <v>905</v>
      </c>
      <c r="B978" s="79">
        <f>B977</f>
        <v>10</v>
      </c>
      <c r="C978" s="92" t="s">
        <v>1138</v>
      </c>
      <c r="D978" s="78" t="s">
        <v>832</v>
      </c>
      <c r="E978" s="78" t="s">
        <v>173</v>
      </c>
      <c r="F978" s="81">
        <v>1</v>
      </c>
      <c r="G978" s="950">
        <f>VLOOKUP(C978,[18]Лист_1!$A$10:$D$88,3,0)</f>
        <v>95080</v>
      </c>
      <c r="H978" s="950">
        <f>VLOOKUP(C978,[18]Лист_1!$A$10:$D$88,4,0)</f>
        <v>22732.47</v>
      </c>
    </row>
    <row r="979" spans="1:8" hidden="1">
      <c r="A979" s="91" t="s">
        <v>819</v>
      </c>
      <c r="B979" s="79">
        <f>B977</f>
        <v>10</v>
      </c>
      <c r="C979" s="80" t="s">
        <v>1190</v>
      </c>
      <c r="D979" s="78" t="s">
        <v>821</v>
      </c>
      <c r="E979" s="963" t="s">
        <v>942</v>
      </c>
      <c r="F979" s="81">
        <v>1</v>
      </c>
      <c r="G979" s="950">
        <f>VLOOKUP(C979,[18]Лист_1!$A$10:$D$88,3,0)</f>
        <v>123657.76000000001</v>
      </c>
      <c r="H979" s="950">
        <f>VLOOKUP(C979,[18]Лист_1!$A$10:$D$88,4,0)</f>
        <v>29564.59</v>
      </c>
    </row>
    <row r="980" spans="1:8" ht="26.4" hidden="1">
      <c r="A980" s="78" t="s">
        <v>905</v>
      </c>
      <c r="B980" s="79">
        <f>B979</f>
        <v>10</v>
      </c>
      <c r="C980" s="92" t="s">
        <v>962</v>
      </c>
      <c r="D980" s="78" t="s">
        <v>832</v>
      </c>
      <c r="E980" s="78" t="s">
        <v>173</v>
      </c>
      <c r="F980" s="81">
        <v>1</v>
      </c>
      <c r="G980" s="950">
        <f>VLOOKUP(C980,[18]Лист_1!$A$10:$D$88,3,0)</f>
        <v>105689.14</v>
      </c>
      <c r="H980" s="950">
        <f>VLOOKUP(C980,[18]Лист_1!$A$10:$D$88,4,0)</f>
        <v>25268.61</v>
      </c>
    </row>
    <row r="981" spans="1:8" hidden="1">
      <c r="A981" s="78" t="s">
        <v>890</v>
      </c>
      <c r="B981" s="79">
        <f>B980</f>
        <v>10</v>
      </c>
      <c r="C981" s="80" t="s">
        <v>891</v>
      </c>
      <c r="D981" s="78" t="s">
        <v>832</v>
      </c>
      <c r="E981" s="78" t="s">
        <v>210</v>
      </c>
      <c r="F981" s="81">
        <v>1</v>
      </c>
      <c r="G981" s="950">
        <f>VLOOKUP(C981,[18]Лист_1!$A$10:$D$88,3,0)</f>
        <v>100050</v>
      </c>
      <c r="H981" s="950">
        <f>VLOOKUP(C981,[18]Лист_1!$A$10:$D$88,4,0)</f>
        <v>23920</v>
      </c>
    </row>
    <row r="982" spans="1:8" hidden="1">
      <c r="A982" s="78" t="s">
        <v>890</v>
      </c>
      <c r="B982" s="79">
        <f>B981</f>
        <v>10</v>
      </c>
      <c r="C982" s="84" t="s">
        <v>892</v>
      </c>
      <c r="D982" s="78" t="s">
        <v>832</v>
      </c>
      <c r="E982" s="78" t="s">
        <v>210</v>
      </c>
      <c r="F982" s="81">
        <v>1</v>
      </c>
      <c r="G982" s="950">
        <f>VLOOKUP(C982,[18]Лист_1!$A$10:$D$88,3,0)</f>
        <v>532790</v>
      </c>
      <c r="H982" s="950">
        <f>VLOOKUP(C982,[18]Лист_1!$A$10:$D$88,4,0)</f>
        <v>178690</v>
      </c>
    </row>
    <row r="983" spans="1:8" hidden="1">
      <c r="A983" s="78" t="s">
        <v>890</v>
      </c>
      <c r="B983" s="79">
        <f>B982</f>
        <v>10</v>
      </c>
      <c r="C983" s="84" t="s">
        <v>1168</v>
      </c>
      <c r="D983" s="78" t="s">
        <v>832</v>
      </c>
      <c r="E983" s="78" t="s">
        <v>210</v>
      </c>
      <c r="F983" s="81">
        <v>1</v>
      </c>
      <c r="G983" s="950">
        <f>VLOOKUP(C983,[18]Лист_1!$A$10:$D$88,3,0)</f>
        <v>357272</v>
      </c>
      <c r="H983" s="950">
        <f>VLOOKUP(C983,[18]Лист_1!$A$10:$D$88,4,0)</f>
        <v>84596.01</v>
      </c>
    </row>
    <row r="984" spans="1:8" hidden="1">
      <c r="A984" s="78" t="s">
        <v>890</v>
      </c>
      <c r="B984" s="79">
        <f>B981</f>
        <v>10</v>
      </c>
      <c r="C984" s="80" t="s">
        <v>1194</v>
      </c>
      <c r="D984" s="78" t="s">
        <v>832</v>
      </c>
      <c r="E984" s="78" t="s">
        <v>210</v>
      </c>
      <c r="F984" s="81">
        <v>1</v>
      </c>
      <c r="G984" s="950">
        <f>VLOOKUP(C984,[18]Лист_1!$A$10:$D$88,3,0)</f>
        <v>139391.87</v>
      </c>
      <c r="H984" s="950">
        <f>VLOOKUP(C984,[18]Лист_1!$A$10:$D$88,4,0)</f>
        <v>33326.230000000003</v>
      </c>
    </row>
    <row r="985" spans="1:8" hidden="1">
      <c r="A985" s="78" t="s">
        <v>890</v>
      </c>
      <c r="B985" s="79">
        <f>B982</f>
        <v>10</v>
      </c>
      <c r="C985" s="80" t="s">
        <v>894</v>
      </c>
      <c r="D985" s="78" t="s">
        <v>832</v>
      </c>
      <c r="E985" s="78" t="s">
        <v>210</v>
      </c>
      <c r="F985" s="81">
        <v>1</v>
      </c>
      <c r="G985" s="950">
        <f>VLOOKUP(C985,[18]Лист_1!$A$10:$D$88,3,0)</f>
        <v>32267</v>
      </c>
      <c r="H985" s="950">
        <f>VLOOKUP(C985,[18]Лист_1!$A$10:$D$88,4,0)</f>
        <v>7639.6900000000005</v>
      </c>
    </row>
    <row r="986" spans="1:8" hidden="1">
      <c r="A986" s="78" t="s">
        <v>340</v>
      </c>
      <c r="B986" s="79">
        <v>11</v>
      </c>
      <c r="C986" s="78" t="s">
        <v>1038</v>
      </c>
      <c r="D986" s="78" t="s">
        <v>832</v>
      </c>
      <c r="E986" s="951" t="s">
        <v>180</v>
      </c>
      <c r="F986" s="81">
        <v>1</v>
      </c>
      <c r="G986" s="950">
        <f>VLOOKUP(C986,[19]Лист_1!$A$10:$F$80,5,0)</f>
        <v>144089.79</v>
      </c>
      <c r="H986" s="950">
        <f>VLOOKUP(C986,[19]Лист_1!$A$10:$F$80,6,0)</f>
        <v>34449.42</v>
      </c>
    </row>
    <row r="987" spans="1:8" hidden="1">
      <c r="A987" s="78" t="s">
        <v>340</v>
      </c>
      <c r="B987" s="79">
        <f>B986</f>
        <v>11</v>
      </c>
      <c r="C987" s="91" t="s">
        <v>1100</v>
      </c>
      <c r="D987" s="78" t="s">
        <v>832</v>
      </c>
      <c r="E987" s="951" t="s">
        <v>180</v>
      </c>
      <c r="F987" s="81">
        <v>1</v>
      </c>
      <c r="G987" s="950">
        <f>VLOOKUP(C987,[19]Лист_1!$A$10:$F$80,5,0)</f>
        <v>66989</v>
      </c>
      <c r="H987" s="950">
        <f>VLOOKUP(C987,[19]Лист_1!$A$10:$F$80,6,0)</f>
        <v>16014.84</v>
      </c>
    </row>
    <row r="988" spans="1:8" hidden="1">
      <c r="A988" s="78" t="s">
        <v>339</v>
      </c>
      <c r="B988" s="79">
        <f>B987</f>
        <v>11</v>
      </c>
      <c r="C988" s="84" t="s">
        <v>901</v>
      </c>
      <c r="D988" s="78" t="s">
        <v>832</v>
      </c>
      <c r="E988" s="951" t="s">
        <v>9</v>
      </c>
      <c r="F988" s="81">
        <v>1</v>
      </c>
      <c r="G988" s="950">
        <f>VLOOKUP(C988,[19]Лист_1!$A$10:$F$80,5,0)</f>
        <v>8766</v>
      </c>
      <c r="H988" s="950">
        <f>VLOOKUP(C988,[19]Лист_1!$A$10:$F$80,6,0)</f>
        <v>2094.85</v>
      </c>
    </row>
    <row r="989" spans="1:8" ht="26.4" hidden="1">
      <c r="A989" s="78" t="s">
        <v>339</v>
      </c>
      <c r="B989" s="79">
        <f>B986</f>
        <v>11</v>
      </c>
      <c r="C989" s="84" t="s">
        <v>1057</v>
      </c>
      <c r="D989" s="78" t="s">
        <v>832</v>
      </c>
      <c r="E989" s="951" t="s">
        <v>9</v>
      </c>
      <c r="F989" s="81">
        <v>1</v>
      </c>
      <c r="G989" s="950">
        <f>VLOOKUP(C989,[19]Лист_1!$A$10:$F$80,5,0)</f>
        <v>100000</v>
      </c>
      <c r="H989" s="950">
        <f>VLOOKUP(C989,[19]Лист_1!$A$10:$F$80,6,0)</f>
        <v>23908.559999999998</v>
      </c>
    </row>
    <row r="990" spans="1:8" hidden="1">
      <c r="A990" s="78" t="s">
        <v>339</v>
      </c>
      <c r="B990" s="79">
        <f>B988</f>
        <v>11</v>
      </c>
      <c r="C990" s="92" t="s">
        <v>902</v>
      </c>
      <c r="D990" s="78" t="s">
        <v>832</v>
      </c>
      <c r="E990" s="951" t="s">
        <v>9</v>
      </c>
      <c r="F990" s="81">
        <v>1</v>
      </c>
      <c r="G990" s="950">
        <v>50000</v>
      </c>
      <c r="H990" s="950"/>
    </row>
    <row r="991" spans="1:8" hidden="1">
      <c r="A991" s="78" t="s">
        <v>339</v>
      </c>
      <c r="B991" s="79">
        <f>B990</f>
        <v>11</v>
      </c>
      <c r="C991" s="91" t="s">
        <v>1099</v>
      </c>
      <c r="D991" s="78" t="s">
        <v>832</v>
      </c>
      <c r="E991" s="951" t="s">
        <v>9</v>
      </c>
      <c r="F991" s="81">
        <v>1</v>
      </c>
      <c r="G991" s="950">
        <f>VLOOKUP(C991,[19]Лист_1!$A$10:$F$80,5,0)</f>
        <v>56756.07</v>
      </c>
      <c r="H991" s="950">
        <f>VLOOKUP(C991,[19]Лист_1!$A$10:$F$80,6,0)</f>
        <v>13569.5</v>
      </c>
    </row>
    <row r="992" spans="1:8" hidden="1">
      <c r="A992" s="78" t="s">
        <v>339</v>
      </c>
      <c r="B992" s="79">
        <f>B991</f>
        <v>11</v>
      </c>
      <c r="C992" s="91" t="s">
        <v>1112</v>
      </c>
      <c r="D992" s="78" t="s">
        <v>832</v>
      </c>
      <c r="E992" s="951" t="s">
        <v>9</v>
      </c>
      <c r="F992" s="81">
        <v>1</v>
      </c>
      <c r="G992" s="950">
        <f>VLOOKUP(C992,[19]Лист_1!$A$10:$F$80,5,0)</f>
        <v>52000</v>
      </c>
      <c r="H992" s="950">
        <f>VLOOKUP(C992,[19]Лист_1!$A$10:$F$80,6,0)</f>
        <v>12432.060000000001</v>
      </c>
    </row>
    <row r="993" spans="1:8" hidden="1">
      <c r="A993" s="78" t="s">
        <v>339</v>
      </c>
      <c r="B993" s="79">
        <f>B992</f>
        <v>11</v>
      </c>
      <c r="C993" s="91" t="s">
        <v>1139</v>
      </c>
      <c r="D993" s="78" t="s">
        <v>832</v>
      </c>
      <c r="E993" s="951" t="s">
        <v>9</v>
      </c>
      <c r="F993" s="81">
        <v>1</v>
      </c>
      <c r="G993" s="950">
        <f>VLOOKUP(C993,[19]Лист_1!$A$10:$F$80,5,0)</f>
        <v>59842.210000000006</v>
      </c>
      <c r="H993" s="950">
        <f>VLOOKUP(C993,[19]Лист_1!$A$10:$F$80,6,0)</f>
        <v>14307.17</v>
      </c>
    </row>
    <row r="994" spans="1:8" hidden="1">
      <c r="A994" s="78" t="s">
        <v>339</v>
      </c>
      <c r="B994" s="79">
        <f>B992</f>
        <v>11</v>
      </c>
      <c r="C994" s="80" t="s">
        <v>903</v>
      </c>
      <c r="D994" s="78" t="s">
        <v>832</v>
      </c>
      <c r="E994" s="951" t="s">
        <v>9</v>
      </c>
      <c r="F994" s="81">
        <v>1</v>
      </c>
      <c r="G994" s="950">
        <f>VLOOKUP(C994,[19]Лист_1!$A$10:$F$80,5,0)</f>
        <v>102150.84</v>
      </c>
      <c r="H994" s="950">
        <f>VLOOKUP(C994,[19]Лист_1!$A$10:$F$80,6,0)</f>
        <v>24422.36</v>
      </c>
    </row>
    <row r="995" spans="1:8" ht="26.4" hidden="1">
      <c r="A995" s="78" t="s">
        <v>819</v>
      </c>
      <c r="B995" s="79">
        <f t="shared" ref="B995:B1002" si="37">B994</f>
        <v>11</v>
      </c>
      <c r="C995" s="80" t="s">
        <v>823</v>
      </c>
      <c r="D995" s="78" t="s">
        <v>821</v>
      </c>
      <c r="E995" s="91" t="s">
        <v>918</v>
      </c>
      <c r="F995" s="81">
        <v>1</v>
      </c>
      <c r="G995" s="950">
        <f>VLOOKUP(C995,[19]Лист_1!$A$10:$F$80,5,0)</f>
        <v>170289</v>
      </c>
      <c r="H995" s="950">
        <f>VLOOKUP(C995,[19]Лист_1!$A$10:$F$80,6,0)</f>
        <v>40713.33</v>
      </c>
    </row>
    <row r="996" spans="1:8" hidden="1">
      <c r="A996" s="78" t="s">
        <v>819</v>
      </c>
      <c r="B996" s="79">
        <f t="shared" si="37"/>
        <v>11</v>
      </c>
      <c r="C996" s="90" t="s">
        <v>1219</v>
      </c>
      <c r="D996" s="78" t="s">
        <v>821</v>
      </c>
      <c r="E996" s="78" t="s">
        <v>822</v>
      </c>
      <c r="F996" s="81">
        <v>1</v>
      </c>
      <c r="G996" s="950">
        <f>VLOOKUP(C996,[19]Лист_1!$A$10:$F$80,5,0)</f>
        <v>63319.58</v>
      </c>
      <c r="H996" s="950">
        <f>VLOOKUP(C996,[19]Лист_1!$A$10:$F$80,6,0)</f>
        <v>15138.96</v>
      </c>
    </row>
    <row r="997" spans="1:8" hidden="1">
      <c r="A997" s="78" t="s">
        <v>819</v>
      </c>
      <c r="B997" s="79">
        <f>B995</f>
        <v>11</v>
      </c>
      <c r="C997" s="84" t="s">
        <v>1039</v>
      </c>
      <c r="D997" s="78" t="s">
        <v>821</v>
      </c>
      <c r="E997" s="78" t="s">
        <v>829</v>
      </c>
      <c r="F997" s="81">
        <v>1</v>
      </c>
      <c r="G997" s="950">
        <f>VLOOKUP(C997,[19]Лист_1!$A$10:$F$80,5,0)</f>
        <v>65324</v>
      </c>
      <c r="H997" s="950">
        <f>VLOOKUP(C997,[19]Лист_1!$A$10:$F$80,6,0)</f>
        <v>15617.63</v>
      </c>
    </row>
    <row r="998" spans="1:8" hidden="1">
      <c r="A998" s="78" t="s">
        <v>819</v>
      </c>
      <c r="B998" s="79">
        <f t="shared" si="37"/>
        <v>11</v>
      </c>
      <c r="C998" s="80" t="s">
        <v>827</v>
      </c>
      <c r="D998" s="78" t="s">
        <v>821</v>
      </c>
      <c r="E998" s="78" t="s">
        <v>826</v>
      </c>
      <c r="F998" s="81">
        <v>1</v>
      </c>
      <c r="G998" s="950">
        <f>VLOOKUP(C998,[19]Лист_1!$A$10:$F$80,5,0)</f>
        <v>75000</v>
      </c>
      <c r="H998" s="950">
        <f>VLOOKUP(C998,[19]Лист_1!$A$10:$F$80,6,0)</f>
        <v>17931.14</v>
      </c>
    </row>
    <row r="999" spans="1:8" ht="26.4" hidden="1">
      <c r="A999" s="78" t="s">
        <v>819</v>
      </c>
      <c r="B999" s="79">
        <f t="shared" si="37"/>
        <v>11</v>
      </c>
      <c r="C999" s="80" t="s">
        <v>828</v>
      </c>
      <c r="D999" s="78" t="s">
        <v>821</v>
      </c>
      <c r="E999" s="78" t="s">
        <v>824</v>
      </c>
      <c r="F999" s="81">
        <v>1</v>
      </c>
      <c r="G999" s="950">
        <f>VLOOKUP(C999,[19]Лист_1!$A$10:$F$80,5,0)</f>
        <v>19217</v>
      </c>
      <c r="H999" s="950">
        <f>VLOOKUP(C999,[19]Лист_1!$A$10:$F$80,6,0)</f>
        <v>4549.6900000000005</v>
      </c>
    </row>
    <row r="1000" spans="1:8" hidden="1">
      <c r="A1000" s="78" t="s">
        <v>819</v>
      </c>
      <c r="B1000" s="79">
        <f t="shared" si="37"/>
        <v>11</v>
      </c>
      <c r="C1000" s="80" t="s">
        <v>1110</v>
      </c>
      <c r="D1000" s="78" t="s">
        <v>821</v>
      </c>
      <c r="E1000" s="91" t="s">
        <v>918</v>
      </c>
      <c r="F1000" s="81">
        <v>1</v>
      </c>
      <c r="G1000" s="950">
        <f>VLOOKUP(C1000,[19]Лист_1!$A$10:$F$80,5,0)</f>
        <v>120308</v>
      </c>
      <c r="H1000" s="950">
        <f>VLOOKUP(C1000,[19]Лист_1!$A$10:$F$80,6,0)</f>
        <v>28763.23</v>
      </c>
    </row>
    <row r="1001" spans="1:8" hidden="1">
      <c r="A1001" s="78" t="s">
        <v>819</v>
      </c>
      <c r="B1001" s="79">
        <f t="shared" si="37"/>
        <v>11</v>
      </c>
      <c r="C1001" s="80" t="s">
        <v>833</v>
      </c>
      <c r="D1001" s="78" t="s">
        <v>821</v>
      </c>
      <c r="E1001" s="78" t="s">
        <v>826</v>
      </c>
      <c r="F1001" s="81">
        <v>1</v>
      </c>
      <c r="G1001" s="950">
        <f>VLOOKUP(C1001,[19]Лист_1!$A$10:$F$80,5,0)</f>
        <v>78481.100000000006</v>
      </c>
      <c r="H1001" s="950">
        <f>VLOOKUP(C1001,[19]Лист_1!$A$10:$F$80,6,0)</f>
        <v>18763.23</v>
      </c>
    </row>
    <row r="1002" spans="1:8" hidden="1">
      <c r="A1002" s="78" t="s">
        <v>819</v>
      </c>
      <c r="B1002" s="79">
        <f t="shared" si="37"/>
        <v>11</v>
      </c>
      <c r="C1002" s="80" t="s">
        <v>831</v>
      </c>
      <c r="D1002" s="78" t="s">
        <v>821</v>
      </c>
      <c r="E1002" s="78" t="s">
        <v>822</v>
      </c>
      <c r="F1002" s="81">
        <v>1</v>
      </c>
      <c r="G1002" s="950">
        <f>VLOOKUP(C1002,[19]Лист_1!$A$10:$F$80,5,0)</f>
        <v>43312.67</v>
      </c>
      <c r="H1002" s="950">
        <f>VLOOKUP(C1002,[19]Лист_1!$A$10:$F$80,6,0)</f>
        <v>10355.200000000001</v>
      </c>
    </row>
    <row r="1003" spans="1:8" hidden="1">
      <c r="A1003" s="78" t="s">
        <v>819</v>
      </c>
      <c r="B1003" s="79">
        <f>B1002</f>
        <v>11</v>
      </c>
      <c r="C1003" s="90" t="s">
        <v>1113</v>
      </c>
      <c r="D1003" s="78" t="s">
        <v>821</v>
      </c>
      <c r="E1003" s="78" t="s">
        <v>822</v>
      </c>
      <c r="F1003" s="81">
        <v>1</v>
      </c>
      <c r="G1003" s="950">
        <f>VLOOKUP(C1003,[19]Лист_1!$A$10:$F$80,5,0)</f>
        <v>85503</v>
      </c>
      <c r="H1003" s="950">
        <f>VLOOKUP(C1003,[19]Лист_1!$A$10:$F$80,6,0)</f>
        <v>20441.760000000002</v>
      </c>
    </row>
    <row r="1004" spans="1:8" hidden="1">
      <c r="A1004" s="78" t="s">
        <v>819</v>
      </c>
      <c r="B1004" s="79">
        <f>B1003</f>
        <v>11</v>
      </c>
      <c r="C1004" s="90" t="s">
        <v>1098</v>
      </c>
      <c r="D1004" s="78" t="s">
        <v>821</v>
      </c>
      <c r="E1004" s="78" t="s">
        <v>824</v>
      </c>
      <c r="F1004" s="81">
        <v>1</v>
      </c>
      <c r="G1004" s="950">
        <f>VLOOKUP(C1004,[19]Лист_1!$A$10:$F$80,5,0)</f>
        <v>4201</v>
      </c>
      <c r="H1004" s="950">
        <f>VLOOKUP(C1004,[19]Лист_1!$A$10:$F$80,6,0)</f>
        <v>993.93000000000006</v>
      </c>
    </row>
    <row r="1005" spans="1:8" hidden="1">
      <c r="A1005" s="91" t="s">
        <v>819</v>
      </c>
      <c r="B1005" s="79">
        <f>B1002</f>
        <v>11</v>
      </c>
      <c r="C1005" s="91" t="s">
        <v>1165</v>
      </c>
      <c r="D1005" s="78" t="s">
        <v>821</v>
      </c>
      <c r="E1005" s="78" t="s">
        <v>824</v>
      </c>
      <c r="F1005" s="81">
        <v>1</v>
      </c>
      <c r="G1005" s="950">
        <f>VLOOKUP(C1005,[19]Лист_1!$A$10:$F$80,5,0)</f>
        <v>60278</v>
      </c>
      <c r="H1005" s="950">
        <f>VLOOKUP(C1005,[19]Лист_1!$A$10:$F$80,6,0)</f>
        <v>14411.23</v>
      </c>
    </row>
    <row r="1006" spans="1:8" hidden="1">
      <c r="A1006" s="78" t="s">
        <v>819</v>
      </c>
      <c r="B1006" s="79">
        <f>B1003</f>
        <v>11</v>
      </c>
      <c r="C1006" s="91" t="s">
        <v>1218</v>
      </c>
      <c r="D1006" s="78" t="s">
        <v>821</v>
      </c>
      <c r="E1006" s="78" t="s">
        <v>836</v>
      </c>
      <c r="F1006" s="81">
        <v>1</v>
      </c>
      <c r="G1006" s="950">
        <f>VLOOKUP(C1006,[19]Лист_1!$A$10:$F$80,5,0)+8800</f>
        <v>32036.42</v>
      </c>
      <c r="H1006" s="950">
        <f>VLOOKUP(C1006,[19]Лист_1!$A$10:$F$80,6,0)</f>
        <v>2849.48</v>
      </c>
    </row>
    <row r="1007" spans="1:8" hidden="1">
      <c r="A1007" s="78" t="s">
        <v>819</v>
      </c>
      <c r="B1007" s="79">
        <f>B1006</f>
        <v>11</v>
      </c>
      <c r="C1007" s="90" t="s">
        <v>1059</v>
      </c>
      <c r="D1007" s="78" t="s">
        <v>821</v>
      </c>
      <c r="E1007" s="78" t="s">
        <v>822</v>
      </c>
      <c r="F1007" s="81">
        <v>1</v>
      </c>
      <c r="G1007" s="950">
        <v>5000</v>
      </c>
      <c r="H1007" s="950"/>
    </row>
    <row r="1008" spans="1:8" hidden="1">
      <c r="A1008" s="78" t="s">
        <v>819</v>
      </c>
      <c r="B1008" s="79">
        <f>B1004</f>
        <v>11</v>
      </c>
      <c r="C1008" s="91" t="s">
        <v>1109</v>
      </c>
      <c r="D1008" s="78" t="s">
        <v>821</v>
      </c>
      <c r="E1008" s="78" t="s">
        <v>824</v>
      </c>
      <c r="F1008" s="81">
        <v>1</v>
      </c>
      <c r="G1008" s="950">
        <v>15509</v>
      </c>
      <c r="H1008" s="950"/>
    </row>
    <row r="1009" spans="1:8" hidden="1">
      <c r="A1009" s="78" t="s">
        <v>819</v>
      </c>
      <c r="B1009" s="79">
        <f>B1008</f>
        <v>11</v>
      </c>
      <c r="C1009" s="80" t="s">
        <v>1193</v>
      </c>
      <c r="D1009" s="78" t="s">
        <v>821</v>
      </c>
      <c r="E1009" s="78" t="s">
        <v>822</v>
      </c>
      <c r="F1009" s="81">
        <v>1</v>
      </c>
      <c r="G1009" s="950">
        <f>VLOOKUP(C1009,[19]Лист_1!$A$10:$F$80,5,0)</f>
        <v>100298</v>
      </c>
      <c r="H1009" s="950">
        <f>VLOOKUP(C1009,[19]Лист_1!$A$10:$F$80,6,0)</f>
        <v>23979.23</v>
      </c>
    </row>
    <row r="1010" spans="1:8" hidden="1">
      <c r="A1010" s="78" t="s">
        <v>819</v>
      </c>
      <c r="B1010" s="79">
        <f>B1009</f>
        <v>11</v>
      </c>
      <c r="C1010" s="84" t="s">
        <v>1060</v>
      </c>
      <c r="D1010" s="78" t="s">
        <v>821</v>
      </c>
      <c r="E1010" s="78" t="s">
        <v>843</v>
      </c>
      <c r="F1010" s="81">
        <v>1</v>
      </c>
      <c r="G1010" s="950">
        <f>VLOOKUP(C1010,[19]Лист_1!$A$10:$F$80,5,0)-5000</f>
        <v>95050</v>
      </c>
      <c r="H1010" s="950">
        <f>VLOOKUP(C1010,[19]Лист_1!$A$10:$F$80,6,0)</f>
        <v>23920</v>
      </c>
    </row>
    <row r="1011" spans="1:8" hidden="1">
      <c r="A1011" s="78" t="s">
        <v>819</v>
      </c>
      <c r="B1011" s="79">
        <f t="shared" ref="B1011:B1016" si="38">B1010</f>
        <v>11</v>
      </c>
      <c r="C1011" s="84" t="s">
        <v>844</v>
      </c>
      <c r="D1011" s="78" t="s">
        <v>821</v>
      </c>
      <c r="E1011" s="78" t="s">
        <v>826</v>
      </c>
      <c r="F1011" s="81">
        <v>1</v>
      </c>
      <c r="G1011" s="950">
        <f>VLOOKUP(C1011,[19]Лист_1!$A$10:$F$80,5,0)</f>
        <v>74252.740000000005</v>
      </c>
      <c r="H1011" s="950">
        <f>VLOOKUP(C1011,[19]Лист_1!$A$10:$F$80,6,0)</f>
        <v>17752.13</v>
      </c>
    </row>
    <row r="1012" spans="1:8" hidden="1">
      <c r="A1012" s="78" t="s">
        <v>819</v>
      </c>
      <c r="B1012" s="79">
        <f t="shared" si="38"/>
        <v>11</v>
      </c>
      <c r="C1012" s="84" t="s">
        <v>846</v>
      </c>
      <c r="D1012" s="78" t="s">
        <v>821</v>
      </c>
      <c r="E1012" s="91" t="s">
        <v>942</v>
      </c>
      <c r="F1012" s="81">
        <v>1</v>
      </c>
      <c r="G1012" s="950">
        <f>VLOOKUP(C1012,[19]Лист_1!$A$10:$F$80,5,0)</f>
        <v>110000</v>
      </c>
      <c r="H1012" s="950">
        <f>VLOOKUP(C1012,[19]Лист_1!$A$10:$F$80,6,0)</f>
        <v>26299.079999999998</v>
      </c>
    </row>
    <row r="1013" spans="1:8" hidden="1">
      <c r="A1013" s="78" t="s">
        <v>819</v>
      </c>
      <c r="B1013" s="79">
        <f t="shared" si="38"/>
        <v>11</v>
      </c>
      <c r="C1013" s="78" t="s">
        <v>847</v>
      </c>
      <c r="D1013" s="78" t="s">
        <v>821</v>
      </c>
      <c r="E1013" s="78" t="s">
        <v>829</v>
      </c>
      <c r="F1013" s="81">
        <v>1</v>
      </c>
      <c r="G1013" s="950">
        <f>VLOOKUP(C1013,[19]Лист_1!$A$10:$F$80,5,0)</f>
        <v>111648.5</v>
      </c>
      <c r="H1013" s="950">
        <f>VLOOKUP(C1013,[19]Лист_1!$A$10:$F$80,6,0)</f>
        <v>26692.850000000002</v>
      </c>
    </row>
    <row r="1014" spans="1:8" hidden="1">
      <c r="A1014" s="78" t="s">
        <v>819</v>
      </c>
      <c r="B1014" s="79">
        <f t="shared" si="38"/>
        <v>11</v>
      </c>
      <c r="C1014" s="84" t="s">
        <v>919</v>
      </c>
      <c r="D1014" s="78" t="s">
        <v>821</v>
      </c>
      <c r="E1014" s="78" t="s">
        <v>822</v>
      </c>
      <c r="F1014" s="81">
        <v>1</v>
      </c>
      <c r="G1014" s="950">
        <f>VLOOKUP(C1014,[19]Лист_1!$A$10:$F$80,5,0)</f>
        <v>80288</v>
      </c>
      <c r="H1014" s="950">
        <f>VLOOKUP(C1014,[19]Лист_1!$A$10:$F$80,6,0)</f>
        <v>19195.23</v>
      </c>
    </row>
    <row r="1015" spans="1:8" hidden="1">
      <c r="A1015" s="78" t="s">
        <v>819</v>
      </c>
      <c r="B1015" s="79">
        <f t="shared" si="38"/>
        <v>11</v>
      </c>
      <c r="C1015" s="80" t="s">
        <v>848</v>
      </c>
      <c r="D1015" s="78" t="s">
        <v>821</v>
      </c>
      <c r="E1015" s="78" t="s">
        <v>826</v>
      </c>
      <c r="F1015" s="81">
        <v>1</v>
      </c>
      <c r="G1015" s="950">
        <f>VLOOKUP(C1015,[19]Лист_1!$A$10:$F$80,5,0)</f>
        <v>90034</v>
      </c>
      <c r="H1015" s="950">
        <f>VLOOKUP(C1015,[19]Лист_1!$A$10:$F$80,6,0)</f>
        <v>21526.06</v>
      </c>
    </row>
    <row r="1016" spans="1:8" hidden="1">
      <c r="A1016" s="78" t="s">
        <v>819</v>
      </c>
      <c r="B1016" s="79">
        <f t="shared" si="38"/>
        <v>11</v>
      </c>
      <c r="C1016" s="92" t="s">
        <v>1130</v>
      </c>
      <c r="D1016" s="78" t="s">
        <v>821</v>
      </c>
      <c r="E1016" s="91" t="s">
        <v>942</v>
      </c>
      <c r="F1016" s="81">
        <v>1</v>
      </c>
      <c r="G1016" s="950">
        <f>VLOOKUP(C1016,[19]Лист_1!$A$10:$F$80,5,0)</f>
        <v>80248</v>
      </c>
      <c r="H1016" s="950">
        <f>VLOOKUP(C1016,[19]Лист_1!$A$10:$F$80,6,0)</f>
        <v>19185.64</v>
      </c>
    </row>
    <row r="1017" spans="1:8" hidden="1">
      <c r="A1017" s="78" t="s">
        <v>819</v>
      </c>
      <c r="B1017" s="79">
        <f>B1015</f>
        <v>11</v>
      </c>
      <c r="C1017" s="78" t="s">
        <v>849</v>
      </c>
      <c r="D1017" s="78" t="s">
        <v>821</v>
      </c>
      <c r="E1017" s="78" t="s">
        <v>824</v>
      </c>
      <c r="F1017" s="81">
        <v>1</v>
      </c>
      <c r="G1017" s="950">
        <f>VLOOKUP(C1017,[19]Лист_1!$A$10:$F$80,5,0)</f>
        <v>113918.47</v>
      </c>
      <c r="H1017" s="950">
        <f>VLOOKUP(C1017,[19]Лист_1!$A$10:$F$80,6,0)</f>
        <v>27236.43</v>
      </c>
    </row>
    <row r="1018" spans="1:8" hidden="1">
      <c r="A1018" s="78" t="s">
        <v>819</v>
      </c>
      <c r="B1018" s="79">
        <f>B1017</f>
        <v>11</v>
      </c>
      <c r="C1018" s="90" t="s">
        <v>1044</v>
      </c>
      <c r="D1018" s="78" t="s">
        <v>821</v>
      </c>
      <c r="E1018" s="78" t="s">
        <v>826</v>
      </c>
      <c r="F1018" s="81">
        <v>1</v>
      </c>
      <c r="G1018" s="950">
        <v>85107</v>
      </c>
      <c r="H1018" s="950"/>
    </row>
    <row r="1019" spans="1:8" hidden="1">
      <c r="A1019" s="78" t="s">
        <v>819</v>
      </c>
      <c r="B1019" s="79">
        <f>B1017</f>
        <v>11</v>
      </c>
      <c r="C1019" s="78" t="s">
        <v>851</v>
      </c>
      <c r="D1019" s="78" t="s">
        <v>821</v>
      </c>
      <c r="E1019" s="78" t="s">
        <v>826</v>
      </c>
      <c r="F1019" s="81">
        <v>1</v>
      </c>
      <c r="G1019" s="950">
        <f>VLOOKUP(C1019,[19]Лист_1!$A$10:$F$80,5,0)</f>
        <v>50683.21</v>
      </c>
      <c r="H1019" s="950">
        <f>VLOOKUP(C1019,[19]Лист_1!$A$10:$F$80,6,0)</f>
        <v>12116.980000000001</v>
      </c>
    </row>
    <row r="1020" spans="1:8" hidden="1">
      <c r="A1020" s="78" t="s">
        <v>819</v>
      </c>
      <c r="B1020" s="79">
        <f>B1018</f>
        <v>11</v>
      </c>
      <c r="C1020" s="84" t="s">
        <v>853</v>
      </c>
      <c r="D1020" s="78" t="s">
        <v>821</v>
      </c>
      <c r="E1020" s="78" t="s">
        <v>836</v>
      </c>
      <c r="F1020" s="81">
        <v>1</v>
      </c>
      <c r="G1020" s="950">
        <f>VLOOKUP(C1020,[19]Лист_1!$A$10:$F$80,5,0)</f>
        <v>120060</v>
      </c>
      <c r="H1020" s="950">
        <f>VLOOKUP(C1020,[19]Лист_1!$A$10:$F$80,6,0)</f>
        <v>28704</v>
      </c>
    </row>
    <row r="1021" spans="1:8" hidden="1">
      <c r="A1021" s="78" t="s">
        <v>819</v>
      </c>
      <c r="B1021" s="79">
        <f>B1020</f>
        <v>11</v>
      </c>
      <c r="C1021" s="84" t="s">
        <v>1061</v>
      </c>
      <c r="D1021" s="78" t="s">
        <v>821</v>
      </c>
      <c r="E1021" s="78" t="s">
        <v>826</v>
      </c>
      <c r="F1021" s="81">
        <v>1</v>
      </c>
      <c r="G1021" s="950">
        <f>VLOOKUP(C1021,[19]Лист_1!$A$10:$F$80,5,0)</f>
        <v>103248</v>
      </c>
      <c r="H1021" s="950">
        <f>VLOOKUP(C1021,[19]Лист_1!$A$10:$F$80,6,0)</f>
        <v>24684.720000000001</v>
      </c>
    </row>
    <row r="1022" spans="1:8" hidden="1">
      <c r="A1022" s="78" t="s">
        <v>819</v>
      </c>
      <c r="B1022" s="79">
        <f>B1021</f>
        <v>11</v>
      </c>
      <c r="C1022" s="91" t="s">
        <v>855</v>
      </c>
      <c r="D1022" s="78" t="s">
        <v>821</v>
      </c>
      <c r="E1022" s="91" t="s">
        <v>822</v>
      </c>
      <c r="F1022" s="81">
        <v>1</v>
      </c>
      <c r="G1022" s="950">
        <f>VLOOKUP(C1022,[19]Лист_1!$A$10:$F$80,5,0)</f>
        <v>138717.51</v>
      </c>
      <c r="H1022" s="950">
        <f>VLOOKUP(C1022,[19]Лист_1!$A$10:$F$80,6,0)</f>
        <v>33164.75</v>
      </c>
    </row>
    <row r="1023" spans="1:8" hidden="1">
      <c r="A1023" s="78" t="s">
        <v>819</v>
      </c>
      <c r="B1023" s="79">
        <f>B1022</f>
        <v>11</v>
      </c>
      <c r="C1023" s="78" t="s">
        <v>856</v>
      </c>
      <c r="D1023" s="78" t="s">
        <v>821</v>
      </c>
      <c r="E1023" s="78" t="s">
        <v>826</v>
      </c>
      <c r="F1023" s="81">
        <v>1</v>
      </c>
      <c r="G1023" s="950">
        <f>VLOOKUP(C1023,[19]Лист_1!$A$10:$F$80,5,0)</f>
        <v>143862.9</v>
      </c>
      <c r="H1023" s="950">
        <f>VLOOKUP(C1023,[19]Лист_1!$A$10:$F$80,6,0)</f>
        <v>34395.07</v>
      </c>
    </row>
    <row r="1024" spans="1:8" hidden="1">
      <c r="A1024" s="78" t="s">
        <v>819</v>
      </c>
      <c r="B1024" s="79">
        <f>B1023</f>
        <v>11</v>
      </c>
      <c r="C1024" s="90" t="s">
        <v>1133</v>
      </c>
      <c r="D1024" s="78" t="s">
        <v>821</v>
      </c>
      <c r="E1024" s="91" t="s">
        <v>918</v>
      </c>
      <c r="F1024" s="81">
        <v>1</v>
      </c>
      <c r="G1024" s="950">
        <f>VLOOKUP(C1024,[19]Лист_1!$A$10:$F$80,5,0)</f>
        <v>75003.58</v>
      </c>
      <c r="H1024" s="950">
        <f>VLOOKUP(C1024,[19]Лист_1!$A$10:$F$80,6,0)</f>
        <v>17931.43</v>
      </c>
    </row>
    <row r="1025" spans="1:8" hidden="1">
      <c r="A1025" s="78" t="s">
        <v>819</v>
      </c>
      <c r="B1025" s="79">
        <f>B1023</f>
        <v>11</v>
      </c>
      <c r="C1025" s="78" t="s">
        <v>858</v>
      </c>
      <c r="D1025" s="78" t="s">
        <v>821</v>
      </c>
      <c r="E1025" s="78" t="s">
        <v>826</v>
      </c>
      <c r="F1025" s="81">
        <v>1</v>
      </c>
      <c r="G1025" s="950">
        <f>VLOOKUP(C1025,[19]Лист_1!$A$10:$F$80,5,0)</f>
        <v>80288</v>
      </c>
      <c r="H1025" s="950">
        <f>VLOOKUP(C1025,[19]Лист_1!$A$10:$F$80,6,0)</f>
        <v>19195.23</v>
      </c>
    </row>
    <row r="1026" spans="1:8" hidden="1">
      <c r="A1026" s="78" t="s">
        <v>819</v>
      </c>
      <c r="B1026" s="79">
        <f>B997</f>
        <v>11</v>
      </c>
      <c r="C1026" s="91" t="s">
        <v>1063</v>
      </c>
      <c r="D1026" s="78" t="s">
        <v>821</v>
      </c>
      <c r="E1026" s="78" t="s">
        <v>824</v>
      </c>
      <c r="F1026" s="81">
        <v>1</v>
      </c>
      <c r="G1026" s="950">
        <f>VLOOKUP(C1026,[19]Лист_1!$A$10:$F$80,5,0)</f>
        <v>27710</v>
      </c>
      <c r="H1026" s="950">
        <f>VLOOKUP(C1026,[19]Лист_1!$A$10:$F$80,6,0)</f>
        <v>6560.6</v>
      </c>
    </row>
    <row r="1027" spans="1:8" hidden="1">
      <c r="A1027" s="78" t="s">
        <v>819</v>
      </c>
      <c r="B1027" s="79">
        <f>B1026</f>
        <v>11</v>
      </c>
      <c r="C1027" s="84" t="s">
        <v>1191</v>
      </c>
      <c r="D1027" s="78" t="s">
        <v>821</v>
      </c>
      <c r="E1027" s="78" t="s">
        <v>822</v>
      </c>
      <c r="F1027" s="81">
        <v>1</v>
      </c>
      <c r="G1027" s="950">
        <f>VLOOKUP(C1027,[19]Лист_1!$A$10:$F$80,5,0)</f>
        <v>85288</v>
      </c>
      <c r="H1027" s="950">
        <f>VLOOKUP(C1027,[19]Лист_1!$A$10:$F$80,6,0)</f>
        <v>20390.490000000002</v>
      </c>
    </row>
    <row r="1028" spans="1:8" hidden="1">
      <c r="A1028" s="78" t="s">
        <v>819</v>
      </c>
      <c r="B1028" s="79">
        <f>B1026</f>
        <v>11</v>
      </c>
      <c r="C1028" s="84" t="s">
        <v>863</v>
      </c>
      <c r="D1028" s="78" t="s">
        <v>821</v>
      </c>
      <c r="E1028" s="78" t="s">
        <v>829</v>
      </c>
      <c r="F1028" s="81">
        <v>1</v>
      </c>
      <c r="G1028" s="950">
        <f>VLOOKUP(C1028,[19]Лист_1!$A$10:$F$80,5,0)</f>
        <v>90756</v>
      </c>
      <c r="H1028" s="950">
        <f>VLOOKUP(C1028,[19]Лист_1!$A$10:$F$80,6,0)</f>
        <v>21698.809999999998</v>
      </c>
    </row>
    <row r="1029" spans="1:8" hidden="1">
      <c r="A1029" s="78" t="s">
        <v>819</v>
      </c>
      <c r="B1029" s="79">
        <f>B1028</f>
        <v>11</v>
      </c>
      <c r="C1029" s="84" t="s">
        <v>865</v>
      </c>
      <c r="D1029" s="78" t="s">
        <v>821</v>
      </c>
      <c r="E1029" s="78" t="s">
        <v>822</v>
      </c>
      <c r="F1029" s="81">
        <v>1</v>
      </c>
      <c r="G1029" s="950">
        <f>VLOOKUP(C1029,[19]Лист_1!$A$10:$F$80,5,0)</f>
        <v>120000</v>
      </c>
      <c r="H1029" s="950">
        <f>VLOOKUP(C1029,[19]Лист_1!$A$10:$F$80,6,0)</f>
        <v>28689.61</v>
      </c>
    </row>
    <row r="1030" spans="1:8" hidden="1">
      <c r="A1030" s="78" t="s">
        <v>819</v>
      </c>
      <c r="B1030" s="79">
        <f>B1029</f>
        <v>11</v>
      </c>
      <c r="C1030" s="92" t="s">
        <v>1135</v>
      </c>
      <c r="D1030" s="78" t="s">
        <v>821</v>
      </c>
      <c r="E1030" s="78" t="s">
        <v>822</v>
      </c>
      <c r="F1030" s="81">
        <v>1</v>
      </c>
      <c r="G1030" s="950">
        <f>VLOOKUP(C1030,[19]Лист_1!$A$10:$F$80,5,0)</f>
        <v>140248</v>
      </c>
      <c r="H1030" s="950">
        <f>VLOOKUP(C1030,[19]Лист_1!$A$10:$F$80,6,0)</f>
        <v>33530.990000000005</v>
      </c>
    </row>
    <row r="1031" spans="1:8" ht="26.4" hidden="1">
      <c r="A1031" s="78" t="s">
        <v>819</v>
      </c>
      <c r="B1031" s="79">
        <f>B1030</f>
        <v>11</v>
      </c>
      <c r="C1031" s="92" t="s">
        <v>1166</v>
      </c>
      <c r="D1031" s="78" t="s">
        <v>821</v>
      </c>
      <c r="E1031" s="78" t="s">
        <v>822</v>
      </c>
      <c r="F1031" s="81">
        <v>1</v>
      </c>
      <c r="G1031" s="950">
        <f>VLOOKUP(C1031,[19]Лист_1!$A$10:$F$80,5,0)</f>
        <v>90293</v>
      </c>
      <c r="H1031" s="950">
        <f>VLOOKUP(C1031,[19]Лист_1!$A$10:$F$80,6,0)</f>
        <v>21587.23</v>
      </c>
    </row>
    <row r="1032" spans="1:8" hidden="1">
      <c r="A1032" s="78" t="s">
        <v>819</v>
      </c>
      <c r="B1032" s="79">
        <f>B1029</f>
        <v>11</v>
      </c>
      <c r="C1032" s="84" t="s">
        <v>1040</v>
      </c>
      <c r="D1032" s="78" t="s">
        <v>821</v>
      </c>
      <c r="E1032" s="78" t="s">
        <v>822</v>
      </c>
      <c r="F1032" s="81">
        <v>1</v>
      </c>
      <c r="G1032" s="950">
        <f>VLOOKUP(C1032,[19]Лист_1!$A$10:$F$80,5,0)</f>
        <v>120308</v>
      </c>
      <c r="H1032" s="950">
        <f>VLOOKUP(C1032,[19]Лист_1!$A$10:$F$80,6,0)</f>
        <v>28763.23</v>
      </c>
    </row>
    <row r="1033" spans="1:8" hidden="1">
      <c r="A1033" s="78" t="s">
        <v>819</v>
      </c>
      <c r="B1033" s="79">
        <f>B1029</f>
        <v>11</v>
      </c>
      <c r="C1033" s="91" t="s">
        <v>866</v>
      </c>
      <c r="D1033" s="78" t="s">
        <v>821</v>
      </c>
      <c r="E1033" s="78" t="s">
        <v>826</v>
      </c>
      <c r="F1033" s="81">
        <v>1</v>
      </c>
      <c r="G1033" s="950">
        <f>VLOOKUP(C1033,[19]Лист_1!$A$10:$F$80,5,0)</f>
        <v>75248</v>
      </c>
      <c r="H1033" s="950">
        <f>VLOOKUP(C1033,[19]Лист_1!$A$10:$F$80,6,0)</f>
        <v>17990.37</v>
      </c>
    </row>
    <row r="1034" spans="1:8" hidden="1">
      <c r="A1034" s="78" t="s">
        <v>819</v>
      </c>
      <c r="B1034" s="79">
        <f>B1033</f>
        <v>11</v>
      </c>
      <c r="C1034" s="80" t="s">
        <v>867</v>
      </c>
      <c r="D1034" s="78" t="s">
        <v>821</v>
      </c>
      <c r="E1034" s="78" t="s">
        <v>822</v>
      </c>
      <c r="F1034" s="81">
        <v>1</v>
      </c>
      <c r="G1034" s="950">
        <f>VLOOKUP(C1034,[19]Лист_1!$A$10:$F$80,5,0)</f>
        <v>90248</v>
      </c>
      <c r="H1034" s="950">
        <f>VLOOKUP(C1034,[19]Лист_1!$A$10:$F$80,6,0)</f>
        <v>21576.18</v>
      </c>
    </row>
    <row r="1035" spans="1:8" hidden="1">
      <c r="A1035" s="78" t="s">
        <v>819</v>
      </c>
      <c r="B1035" s="79">
        <f>B1034</f>
        <v>11</v>
      </c>
      <c r="C1035" s="80" t="s">
        <v>868</v>
      </c>
      <c r="D1035" s="78" t="s">
        <v>821</v>
      </c>
      <c r="E1035" s="78" t="s">
        <v>826</v>
      </c>
      <c r="F1035" s="81">
        <v>1</v>
      </c>
      <c r="G1035" s="950">
        <f>VLOOKUP(C1035,[19]Лист_1!$A$10:$F$80,5,0)</f>
        <v>77873.06</v>
      </c>
      <c r="H1035" s="950">
        <f>VLOOKUP(C1035,[19]Лист_1!$A$10:$F$80,6,0)</f>
        <v>18054.419999999998</v>
      </c>
    </row>
    <row r="1036" spans="1:8" hidden="1">
      <c r="A1036" s="78" t="s">
        <v>819</v>
      </c>
      <c r="B1036" s="79">
        <f>B1035</f>
        <v>11</v>
      </c>
      <c r="C1036" s="90" t="s">
        <v>1065</v>
      </c>
      <c r="D1036" s="78" t="s">
        <v>821</v>
      </c>
      <c r="E1036" s="78" t="s">
        <v>822</v>
      </c>
      <c r="F1036" s="81">
        <v>1</v>
      </c>
      <c r="G1036" s="950">
        <f>VLOOKUP(C1036,[19]Лист_1!$A$10:$F$80,5,0)</f>
        <v>70413.759999999995</v>
      </c>
      <c r="H1036" s="950">
        <f>VLOOKUP(C1036,[19]Лист_1!$A$10:$F$80,6,0)</f>
        <v>16834.989999999998</v>
      </c>
    </row>
    <row r="1037" spans="1:8" hidden="1">
      <c r="A1037" s="78" t="s">
        <v>819</v>
      </c>
      <c r="B1037" s="79">
        <f>B1036</f>
        <v>11</v>
      </c>
      <c r="C1037" s="91" t="s">
        <v>874</v>
      </c>
      <c r="D1037" s="78" t="s">
        <v>821</v>
      </c>
      <c r="E1037" s="78" t="s">
        <v>824</v>
      </c>
      <c r="F1037" s="81">
        <v>1</v>
      </c>
      <c r="G1037" s="950">
        <f>VLOOKUP(C1037,[19]Лист_1!$A$10:$F$80,5,0)</f>
        <v>70248</v>
      </c>
      <c r="H1037" s="950">
        <f>VLOOKUP(C1037,[19]Лист_1!$A$10:$F$80,6,0)</f>
        <v>16795.11</v>
      </c>
    </row>
    <row r="1038" spans="1:8" hidden="1">
      <c r="A1038" s="78" t="s">
        <v>819</v>
      </c>
      <c r="B1038" s="79">
        <f>B1037</f>
        <v>11</v>
      </c>
      <c r="C1038" s="90" t="s">
        <v>1164</v>
      </c>
      <c r="D1038" s="78" t="s">
        <v>821</v>
      </c>
      <c r="E1038" s="78" t="s">
        <v>822</v>
      </c>
      <c r="F1038" s="81">
        <v>1</v>
      </c>
      <c r="G1038" s="950">
        <v>137500</v>
      </c>
      <c r="H1038" s="950"/>
    </row>
    <row r="1039" spans="1:8" hidden="1">
      <c r="A1039" s="78" t="s">
        <v>819</v>
      </c>
      <c r="B1039" s="79">
        <f>B1037</f>
        <v>11</v>
      </c>
      <c r="C1039" s="84" t="s">
        <v>877</v>
      </c>
      <c r="D1039" s="78" t="s">
        <v>821</v>
      </c>
      <c r="E1039" s="91" t="s">
        <v>942</v>
      </c>
      <c r="F1039" s="81">
        <v>1</v>
      </c>
      <c r="G1039" s="950">
        <f>VLOOKUP(C1039,[19]Лист_1!$A$10:$F$80,5,0)</f>
        <v>130065</v>
      </c>
      <c r="H1039" s="950">
        <f>VLOOKUP(C1039,[19]Лист_1!$A$10:$F$80,6,0)</f>
        <v>31096</v>
      </c>
    </row>
    <row r="1040" spans="1:8" hidden="1">
      <c r="A1040" s="78" t="s">
        <v>819</v>
      </c>
      <c r="B1040" s="79">
        <f>B1039</f>
        <v>11</v>
      </c>
      <c r="C1040" s="91" t="s">
        <v>1143</v>
      </c>
      <c r="D1040" s="78" t="s">
        <v>821</v>
      </c>
      <c r="E1040" s="78" t="s">
        <v>824</v>
      </c>
      <c r="F1040" s="81">
        <v>1</v>
      </c>
      <c r="G1040" s="950">
        <f>VLOOKUP(C1040,[19]Лист_1!$A$10:$F$80,5,0)</f>
        <v>80288</v>
      </c>
      <c r="H1040" s="950">
        <f>VLOOKUP(C1040,[19]Лист_1!$A$10:$F$80,6,0)</f>
        <v>19195.23</v>
      </c>
    </row>
    <row r="1041" spans="1:8" hidden="1">
      <c r="A1041" s="78" t="s">
        <v>819</v>
      </c>
      <c r="B1041" s="79">
        <f>B1037</f>
        <v>11</v>
      </c>
      <c r="C1041" s="84" t="s">
        <v>1041</v>
      </c>
      <c r="D1041" s="78" t="s">
        <v>821</v>
      </c>
      <c r="E1041" s="78" t="s">
        <v>822</v>
      </c>
      <c r="F1041" s="81">
        <v>1</v>
      </c>
      <c r="G1041" s="950">
        <f>VLOOKUP(C1041,[19]Лист_1!$A$10:$F$80,5,0)</f>
        <v>144173.15</v>
      </c>
      <c r="H1041" s="950">
        <f>VLOOKUP(C1041,[19]Лист_1!$A$10:$F$80,6,0)</f>
        <v>34455.06</v>
      </c>
    </row>
    <row r="1042" spans="1:8" hidden="1">
      <c r="A1042" s="78" t="s">
        <v>819</v>
      </c>
      <c r="B1042" s="79">
        <f>B1039</f>
        <v>11</v>
      </c>
      <c r="C1042" s="78" t="s">
        <v>878</v>
      </c>
      <c r="D1042" s="78" t="s">
        <v>821</v>
      </c>
      <c r="E1042" s="78" t="s">
        <v>836</v>
      </c>
      <c r="F1042" s="81">
        <v>1</v>
      </c>
      <c r="G1042" s="950">
        <f>VLOOKUP(C1042,[19]Лист_1!$A$10:$F$80,5,0)</f>
        <v>95248</v>
      </c>
      <c r="H1042" s="950">
        <f>VLOOKUP(C1042,[19]Лист_1!$A$10:$F$80,6,0)</f>
        <v>22771.439999999999</v>
      </c>
    </row>
    <row r="1043" spans="1:8" hidden="1">
      <c r="A1043" s="78" t="s">
        <v>819</v>
      </c>
      <c r="B1043" s="79">
        <f>B1039</f>
        <v>11</v>
      </c>
      <c r="C1043" s="92" t="s">
        <v>1137</v>
      </c>
      <c r="D1043" s="78" t="s">
        <v>821</v>
      </c>
      <c r="E1043" s="78" t="s">
        <v>822</v>
      </c>
      <c r="F1043" s="81">
        <v>1</v>
      </c>
      <c r="G1043" s="950">
        <v>150000</v>
      </c>
      <c r="H1043" s="950">
        <v>43434</v>
      </c>
    </row>
    <row r="1044" spans="1:8" hidden="1">
      <c r="A1044" s="78" t="s">
        <v>819</v>
      </c>
      <c r="B1044" s="79">
        <f>B1041</f>
        <v>11</v>
      </c>
      <c r="C1044" s="91" t="s">
        <v>881</v>
      </c>
      <c r="D1044" s="78" t="s">
        <v>821</v>
      </c>
      <c r="E1044" s="91" t="s">
        <v>942</v>
      </c>
      <c r="F1044" s="81">
        <v>1</v>
      </c>
      <c r="G1044" s="950">
        <v>116000</v>
      </c>
      <c r="H1044" s="950"/>
    </row>
    <row r="1045" spans="1:8" hidden="1">
      <c r="A1045" s="78" t="s">
        <v>819</v>
      </c>
      <c r="B1045" s="79">
        <f>B1044</f>
        <v>11</v>
      </c>
      <c r="C1045" s="78" t="s">
        <v>1042</v>
      </c>
      <c r="D1045" s="78" t="s">
        <v>821</v>
      </c>
      <c r="E1045" s="78" t="s">
        <v>822</v>
      </c>
      <c r="F1045" s="81">
        <v>1</v>
      </c>
      <c r="G1045" s="950">
        <f>VLOOKUP(C1045,[19]Лист_1!$A$10:$F$80,5,0)</f>
        <v>105298</v>
      </c>
      <c r="H1045" s="950">
        <f>VLOOKUP(C1045,[19]Лист_1!$A$10:$F$80,6,0)</f>
        <v>25174.49</v>
      </c>
    </row>
    <row r="1046" spans="1:8" hidden="1">
      <c r="A1046" s="78" t="s">
        <v>819</v>
      </c>
      <c r="B1046" s="79">
        <f>B1045</f>
        <v>11</v>
      </c>
      <c r="C1046" s="90" t="s">
        <v>963</v>
      </c>
      <c r="D1046" s="78" t="s">
        <v>821</v>
      </c>
      <c r="E1046" s="78" t="s">
        <v>822</v>
      </c>
      <c r="F1046" s="81">
        <v>1</v>
      </c>
      <c r="G1046" s="950">
        <f>VLOOKUP(C1046,[19]Лист_1!$A$10:$F$80,5,0)</f>
        <v>60278</v>
      </c>
      <c r="H1046" s="950">
        <f>VLOOKUP(C1046,[19]Лист_1!$A$10:$F$80,6,0)</f>
        <v>14411.23</v>
      </c>
    </row>
    <row r="1047" spans="1:8" hidden="1">
      <c r="A1047" s="78" t="s">
        <v>819</v>
      </c>
      <c r="B1047" s="79">
        <f>B1046</f>
        <v>11</v>
      </c>
      <c r="C1047" s="91" t="s">
        <v>884</v>
      </c>
      <c r="D1047" s="78" t="s">
        <v>821</v>
      </c>
      <c r="E1047" s="78" t="s">
        <v>824</v>
      </c>
      <c r="F1047" s="81">
        <v>1</v>
      </c>
      <c r="G1047" s="950">
        <f>VLOOKUP(C1047,[19]Лист_1!$A$10:$F$80,5,0)</f>
        <v>95430</v>
      </c>
      <c r="H1047" s="950">
        <f>VLOOKUP(C1047,[19]Лист_1!$A$10:$F$80,6,0)</f>
        <v>22596.440000000002</v>
      </c>
    </row>
    <row r="1048" spans="1:8" hidden="1">
      <c r="A1048" s="78" t="s">
        <v>819</v>
      </c>
      <c r="B1048" s="79">
        <f>B1046</f>
        <v>11</v>
      </c>
      <c r="C1048" s="80" t="s">
        <v>1053</v>
      </c>
      <c r="D1048" s="78" t="s">
        <v>821</v>
      </c>
      <c r="E1048" s="78" t="s">
        <v>836</v>
      </c>
      <c r="F1048" s="81">
        <v>1</v>
      </c>
      <c r="G1048" s="950">
        <f>VLOOKUP(C1048,[19]Лист_1!$A$10:$F$80,5,0)</f>
        <v>65324</v>
      </c>
      <c r="H1048" s="950">
        <f>VLOOKUP(C1048,[19]Лист_1!$A$10:$F$80,6,0)</f>
        <v>15617.63</v>
      </c>
    </row>
    <row r="1049" spans="1:8" hidden="1">
      <c r="A1049" s="78" t="s">
        <v>819</v>
      </c>
      <c r="B1049" s="79">
        <f>B1047</f>
        <v>11</v>
      </c>
      <c r="C1049" s="80" t="s">
        <v>886</v>
      </c>
      <c r="D1049" s="78" t="s">
        <v>821</v>
      </c>
      <c r="E1049" s="78" t="s">
        <v>822</v>
      </c>
      <c r="F1049" s="81">
        <v>1</v>
      </c>
      <c r="G1049" s="950">
        <f>VLOOKUP(C1049,[19]Лист_1!$A$10:$F$80,5,0)</f>
        <v>100050</v>
      </c>
      <c r="H1049" s="950">
        <f>VLOOKUP(C1049,[19]Лист_1!$A$10:$F$80,6,0)</f>
        <v>23920</v>
      </c>
    </row>
    <row r="1050" spans="1:8" hidden="1">
      <c r="A1050" s="78" t="s">
        <v>819</v>
      </c>
      <c r="B1050" s="79">
        <f>B1048</f>
        <v>11</v>
      </c>
      <c r="C1050" s="90" t="s">
        <v>1220</v>
      </c>
      <c r="D1050" s="78" t="s">
        <v>821</v>
      </c>
      <c r="E1050" s="78" t="s">
        <v>822</v>
      </c>
      <c r="F1050" s="81">
        <v>1</v>
      </c>
      <c r="G1050" s="950">
        <f>VLOOKUP(C1050,[19]Лист_1!$A$10:$F$80,5,0)</f>
        <v>41229.53</v>
      </c>
      <c r="H1050" s="950">
        <f>VLOOKUP(C1050,[19]Лист_1!$A$10:$F$80,6,0)</f>
        <v>9857.4600000000009</v>
      </c>
    </row>
    <row r="1051" spans="1:8" hidden="1">
      <c r="A1051" s="78" t="s">
        <v>819</v>
      </c>
      <c r="B1051" s="79">
        <f>B1049</f>
        <v>11</v>
      </c>
      <c r="C1051" s="91" t="s">
        <v>1167</v>
      </c>
      <c r="D1051" s="78" t="s">
        <v>821</v>
      </c>
      <c r="E1051" s="78" t="s">
        <v>824</v>
      </c>
      <c r="F1051" s="81">
        <v>1</v>
      </c>
      <c r="G1051" s="950">
        <f>VLOOKUP(C1051,[19]Лист_1!$A$10:$F$80,5,0)</f>
        <v>20601</v>
      </c>
      <c r="H1051" s="950">
        <f>VLOOKUP(C1051,[19]Лист_1!$A$10:$F$80,6,0)</f>
        <v>4877.6000000000004</v>
      </c>
    </row>
    <row r="1052" spans="1:8" hidden="1">
      <c r="A1052" s="78" t="s">
        <v>819</v>
      </c>
      <c r="B1052" s="79">
        <f>B1049</f>
        <v>11</v>
      </c>
      <c r="C1052" s="80" t="s">
        <v>888</v>
      </c>
      <c r="D1052" s="78" t="s">
        <v>821</v>
      </c>
      <c r="E1052" s="78" t="s">
        <v>822</v>
      </c>
      <c r="F1052" s="81">
        <v>1</v>
      </c>
      <c r="G1052" s="950"/>
      <c r="H1052" s="950"/>
    </row>
    <row r="1053" spans="1:8" hidden="1">
      <c r="A1053" s="78" t="s">
        <v>819</v>
      </c>
      <c r="B1053" s="79">
        <f t="shared" ref="B1053:B1058" si="39">B1052</f>
        <v>11</v>
      </c>
      <c r="C1053" s="84" t="s">
        <v>850</v>
      </c>
      <c r="D1053" s="78" t="s">
        <v>832</v>
      </c>
      <c r="E1053" s="78" t="s">
        <v>822</v>
      </c>
      <c r="F1053" s="81">
        <v>1</v>
      </c>
      <c r="G1053" s="950">
        <f>VLOOKUP(C1053,[19]Лист_1!$A$10:$F$80,5,0)</f>
        <v>95248</v>
      </c>
      <c r="H1053" s="950">
        <f>VLOOKUP(C1053,[19]Лист_1!$A$10:$F$80,6,0)</f>
        <v>22771.439999999999</v>
      </c>
    </row>
    <row r="1054" spans="1:8" hidden="1">
      <c r="A1054" s="78" t="s">
        <v>819</v>
      </c>
      <c r="B1054" s="79">
        <f t="shared" si="39"/>
        <v>11</v>
      </c>
      <c r="C1054" s="78" t="s">
        <v>1192</v>
      </c>
      <c r="D1054" s="78" t="s">
        <v>821</v>
      </c>
      <c r="E1054" s="78" t="s">
        <v>829</v>
      </c>
      <c r="F1054" s="81">
        <v>1</v>
      </c>
      <c r="G1054" s="950">
        <f>VLOOKUP(C1054,[19]Лист_1!$A$10:$F$80,5,0)</f>
        <v>80288</v>
      </c>
      <c r="H1054" s="950">
        <f>VLOOKUP(C1054,[19]Лист_1!$A$10:$F$80,6,0)</f>
        <v>19195.23</v>
      </c>
    </row>
    <row r="1055" spans="1:8" hidden="1">
      <c r="A1055" s="78" t="s">
        <v>819</v>
      </c>
      <c r="B1055" s="79">
        <f t="shared" si="39"/>
        <v>11</v>
      </c>
      <c r="C1055" s="90" t="s">
        <v>1141</v>
      </c>
      <c r="D1055" s="78" t="s">
        <v>821</v>
      </c>
      <c r="E1055" s="91" t="s">
        <v>918</v>
      </c>
      <c r="F1055" s="81">
        <v>1</v>
      </c>
      <c r="G1055" s="950"/>
      <c r="H1055" s="950"/>
    </row>
    <row r="1056" spans="1:8" hidden="1">
      <c r="A1056" s="78" t="s">
        <v>910</v>
      </c>
      <c r="B1056" s="79">
        <f t="shared" si="39"/>
        <v>11</v>
      </c>
      <c r="C1056" s="91" t="s">
        <v>1097</v>
      </c>
      <c r="D1056" s="78" t="s">
        <v>821</v>
      </c>
      <c r="E1056" s="78" t="s">
        <v>172</v>
      </c>
      <c r="F1056" s="81">
        <v>1</v>
      </c>
      <c r="G1056" s="950">
        <f>VLOOKUP(C1056,[19]Лист_1!$A$10:$F$80,5,0)</f>
        <v>108000.02</v>
      </c>
      <c r="H1056" s="950">
        <f>VLOOKUP(C1056,[19]Лист_1!$A$10:$F$80,6,0)</f>
        <v>25821.85</v>
      </c>
    </row>
    <row r="1057" spans="1:8" ht="26.4" hidden="1">
      <c r="A1057" s="78" t="s">
        <v>910</v>
      </c>
      <c r="B1057" s="79">
        <f t="shared" si="39"/>
        <v>11</v>
      </c>
      <c r="C1057" s="92" t="s">
        <v>909</v>
      </c>
      <c r="D1057" s="78" t="s">
        <v>832</v>
      </c>
      <c r="E1057" s="78" t="s">
        <v>172</v>
      </c>
      <c r="F1057" s="81">
        <v>1</v>
      </c>
      <c r="G1057" s="145">
        <v>75000</v>
      </c>
      <c r="H1057">
        <v>20117.5</v>
      </c>
    </row>
    <row r="1058" spans="1:8" hidden="1">
      <c r="A1058" s="78" t="s">
        <v>905</v>
      </c>
      <c r="B1058" s="79">
        <f t="shared" si="39"/>
        <v>11</v>
      </c>
      <c r="C1058" s="78" t="s">
        <v>907</v>
      </c>
      <c r="D1058" s="78" t="s">
        <v>832</v>
      </c>
      <c r="E1058" s="78" t="s">
        <v>173</v>
      </c>
      <c r="F1058" s="81">
        <v>1</v>
      </c>
      <c r="G1058" s="950">
        <f>VLOOKUP(C1058,[19]Лист_1!$A$10:$F$80,5,0)</f>
        <v>147535</v>
      </c>
      <c r="H1058" s="950">
        <f>VLOOKUP(C1058,[19]Лист_1!$A$10:$F$80,6,0)</f>
        <v>35273.310000000005</v>
      </c>
    </row>
    <row r="1059" spans="1:8" ht="26.4" hidden="1">
      <c r="A1059" s="78" t="s">
        <v>905</v>
      </c>
      <c r="B1059" s="79">
        <f>B1058</f>
        <v>11</v>
      </c>
      <c r="C1059" s="92" t="s">
        <v>909</v>
      </c>
      <c r="D1059" s="78" t="s">
        <v>832</v>
      </c>
      <c r="E1059" s="78" t="s">
        <v>173</v>
      </c>
      <c r="F1059" s="81">
        <v>1</v>
      </c>
      <c r="G1059" s="950">
        <f>VLOOKUP(C1057,[19]Лист_1!$A$10:$F$80,5,0)-G1057</f>
        <v>229138.05</v>
      </c>
      <c r="H1059" s="950">
        <f>VLOOKUP(C1057,[19]Лист_1!$A$10:$F$80,6,0)-H1057</f>
        <v>61462.61</v>
      </c>
    </row>
    <row r="1060" spans="1:8" ht="26.4" hidden="1">
      <c r="A1060" s="78" t="s">
        <v>905</v>
      </c>
      <c r="B1060" s="79">
        <f>B1059</f>
        <v>11</v>
      </c>
      <c r="C1060" s="92" t="s">
        <v>1138</v>
      </c>
      <c r="D1060" s="78" t="s">
        <v>832</v>
      </c>
      <c r="E1060" s="78" t="s">
        <v>173</v>
      </c>
      <c r="F1060" s="81">
        <v>1</v>
      </c>
      <c r="G1060" s="950">
        <f>VLOOKUP(C1060,[19]Лист_1!$A$10:$F$80,5,0)</f>
        <v>95082</v>
      </c>
      <c r="H1060" s="950">
        <f>VLOOKUP(C1060,[19]Лист_1!$A$10:$F$80,6,0)</f>
        <v>22731.54</v>
      </c>
    </row>
    <row r="1061" spans="1:8" hidden="1">
      <c r="A1061" s="91" t="s">
        <v>819</v>
      </c>
      <c r="B1061" s="79">
        <f>B1059</f>
        <v>11</v>
      </c>
      <c r="C1061" s="80" t="s">
        <v>1190</v>
      </c>
      <c r="D1061" s="78" t="s">
        <v>821</v>
      </c>
      <c r="E1061" s="963" t="s">
        <v>942</v>
      </c>
      <c r="F1061" s="81">
        <v>1</v>
      </c>
      <c r="G1061" s="950">
        <f>VLOOKUP(C1061,[19]Лист_1!$A$10:$F$80,5,0)</f>
        <v>113919.47</v>
      </c>
      <c r="H1061" s="950">
        <f>VLOOKUP(C1061,[19]Лист_1!$A$10:$F$80,6,0)</f>
        <v>27235.43</v>
      </c>
    </row>
    <row r="1062" spans="1:8" ht="26.4" hidden="1">
      <c r="A1062" s="78" t="s">
        <v>905</v>
      </c>
      <c r="B1062" s="79">
        <f>B1061</f>
        <v>11</v>
      </c>
      <c r="C1062" s="92" t="s">
        <v>962</v>
      </c>
      <c r="D1062" s="78" t="s">
        <v>832</v>
      </c>
      <c r="E1062" s="78" t="s">
        <v>173</v>
      </c>
      <c r="F1062" s="81">
        <v>1</v>
      </c>
      <c r="G1062" s="950">
        <f>VLOOKUP(C1062,[19]Лист_1!$A$10:$F$80,5,0)</f>
        <v>87410</v>
      </c>
      <c r="H1062" s="950">
        <f>VLOOKUP(C1062,[19]Лист_1!$A$10:$F$80,6,0)</f>
        <v>20897.739999999998</v>
      </c>
    </row>
    <row r="1063" spans="1:8" hidden="1">
      <c r="A1063" s="78" t="s">
        <v>890</v>
      </c>
      <c r="B1063" s="79">
        <f>B1062</f>
        <v>11</v>
      </c>
      <c r="C1063" s="80" t="s">
        <v>891</v>
      </c>
      <c r="D1063" s="78" t="s">
        <v>832</v>
      </c>
      <c r="E1063" s="78" t="s">
        <v>210</v>
      </c>
      <c r="F1063" s="81">
        <v>1</v>
      </c>
      <c r="G1063" s="1835">
        <v>851816</v>
      </c>
      <c r="H1063" s="1844">
        <v>256021</v>
      </c>
    </row>
    <row r="1064" spans="1:8" hidden="1">
      <c r="A1064" s="78" t="s">
        <v>890</v>
      </c>
      <c r="B1064" s="79">
        <f>B1063</f>
        <v>11</v>
      </c>
      <c r="C1064" s="84" t="s">
        <v>892</v>
      </c>
      <c r="D1064" s="78" t="s">
        <v>832</v>
      </c>
      <c r="E1064" s="78" t="s">
        <v>210</v>
      </c>
      <c r="F1064" s="81">
        <v>1</v>
      </c>
      <c r="G1064" s="1836"/>
      <c r="H1064" s="1845"/>
    </row>
    <row r="1065" spans="1:8" hidden="1">
      <c r="A1065" s="78" t="s">
        <v>890</v>
      </c>
      <c r="B1065" s="79">
        <f>B1063</f>
        <v>11</v>
      </c>
      <c r="C1065" s="80" t="s">
        <v>1194</v>
      </c>
      <c r="D1065" s="78" t="s">
        <v>832</v>
      </c>
      <c r="E1065" s="78" t="s">
        <v>210</v>
      </c>
      <c r="F1065" s="81">
        <v>1</v>
      </c>
      <c r="G1065" s="1836"/>
      <c r="H1065" s="1845"/>
    </row>
    <row r="1066" spans="1:8" hidden="1">
      <c r="A1066" s="78" t="s">
        <v>890</v>
      </c>
      <c r="B1066" s="79">
        <f>B1064</f>
        <v>11</v>
      </c>
      <c r="C1066" s="80" t="s">
        <v>894</v>
      </c>
      <c r="D1066" s="78" t="s">
        <v>832</v>
      </c>
      <c r="E1066" s="78" t="s">
        <v>210</v>
      </c>
      <c r="F1066" s="81">
        <v>1</v>
      </c>
      <c r="G1066" s="1837"/>
      <c r="H1066" s="1846"/>
    </row>
    <row r="1067" spans="1:8" hidden="1">
      <c r="A1067" s="78" t="s">
        <v>340</v>
      </c>
      <c r="B1067" s="79">
        <v>12</v>
      </c>
      <c r="C1067" s="78" t="s">
        <v>1038</v>
      </c>
      <c r="D1067" s="78" t="s">
        <v>832</v>
      </c>
      <c r="E1067" s="951" t="s">
        <v>180</v>
      </c>
      <c r="F1067" s="81">
        <v>1</v>
      </c>
      <c r="G1067" s="950">
        <f>VLOOKUP(C1067,[30]Лист_1!$A$10:$D$87,3,0)</f>
        <v>146244.70000000001</v>
      </c>
      <c r="H1067" s="950">
        <f>VLOOKUP(C1067,[30]Лист_1!$A$10:$D$87,4,0)</f>
        <v>34964.620000000003</v>
      </c>
    </row>
    <row r="1068" spans="1:8" hidden="1">
      <c r="A1068" s="78" t="s">
        <v>340</v>
      </c>
      <c r="B1068" s="79">
        <f>B1067</f>
        <v>12</v>
      </c>
      <c r="C1068" s="91" t="s">
        <v>1100</v>
      </c>
      <c r="D1068" s="78" t="s">
        <v>832</v>
      </c>
      <c r="E1068" s="951" t="s">
        <v>180</v>
      </c>
      <c r="F1068" s="81">
        <v>1</v>
      </c>
      <c r="G1068" s="950">
        <f>VLOOKUP(C1068,[30]Лист_1!$A$10:$D$87,3,0)</f>
        <v>65576.33</v>
      </c>
      <c r="H1068" s="950">
        <f>VLOOKUP(C1068,[30]Лист_1!$A$10:$D$87,4,0)</f>
        <v>15678.279999999999</v>
      </c>
    </row>
    <row r="1069" spans="1:8" hidden="1">
      <c r="A1069" s="78" t="s">
        <v>339</v>
      </c>
      <c r="B1069" s="79">
        <f>B1068</f>
        <v>12</v>
      </c>
      <c r="C1069" s="84" t="s">
        <v>901</v>
      </c>
      <c r="D1069" s="78" t="s">
        <v>832</v>
      </c>
      <c r="E1069" s="951" t="s">
        <v>9</v>
      </c>
      <c r="F1069" s="81">
        <v>1</v>
      </c>
      <c r="G1069" s="950">
        <f>VLOOKUP(C1069,[30]Лист_1!$A$10:$D$87,3,0)</f>
        <v>8668.06</v>
      </c>
      <c r="H1069" s="950">
        <f>VLOOKUP(C1069,[30]Лист_1!$A$10:$D$87,4,0)</f>
        <v>2073.1999999999998</v>
      </c>
    </row>
    <row r="1070" spans="1:8" ht="26.4" hidden="1">
      <c r="A1070" s="78" t="s">
        <v>339</v>
      </c>
      <c r="B1070" s="79">
        <f>B1067</f>
        <v>12</v>
      </c>
      <c r="C1070" s="84" t="s">
        <v>1057</v>
      </c>
      <c r="D1070" s="78" t="s">
        <v>832</v>
      </c>
      <c r="E1070" s="951" t="s">
        <v>9</v>
      </c>
      <c r="F1070" s="81">
        <v>1</v>
      </c>
      <c r="G1070" s="950">
        <f>VLOOKUP(C1070,[30]Лист_1!$A$10:$D$87,3,0)</f>
        <v>100000</v>
      </c>
      <c r="H1070" s="950">
        <f>VLOOKUP(C1070,[30]Лист_1!$A$10:$D$87,4,0)</f>
        <v>23908.559999999998</v>
      </c>
    </row>
    <row r="1071" spans="1:8" hidden="1">
      <c r="A1071" s="78" t="s">
        <v>339</v>
      </c>
      <c r="B1071" s="79">
        <f>B1069</f>
        <v>12</v>
      </c>
      <c r="C1071" s="92" t="s">
        <v>902</v>
      </c>
      <c r="D1071" s="78" t="s">
        <v>832</v>
      </c>
      <c r="E1071" s="951" t="s">
        <v>9</v>
      </c>
      <c r="F1071" s="81">
        <v>1</v>
      </c>
      <c r="G1071" s="950">
        <v>50000</v>
      </c>
      <c r="H1071" s="950"/>
    </row>
    <row r="1072" spans="1:8" hidden="1">
      <c r="A1072" s="78" t="s">
        <v>339</v>
      </c>
      <c r="B1072" s="79">
        <f>B1071</f>
        <v>12</v>
      </c>
      <c r="C1072" s="91" t="s">
        <v>1099</v>
      </c>
      <c r="D1072" s="78" t="s">
        <v>832</v>
      </c>
      <c r="E1072" s="951" t="s">
        <v>9</v>
      </c>
      <c r="F1072" s="81">
        <v>1</v>
      </c>
      <c r="G1072" s="950">
        <f>VLOOKUP(C1072,[30]Лист_1!$A$10:$D$87,3,0)</f>
        <v>61258.289999999994</v>
      </c>
      <c r="H1072" s="950">
        <f>VLOOKUP(C1072,[30]Лист_1!$A$10:$D$87,4,0)</f>
        <v>14419.78</v>
      </c>
    </row>
    <row r="1073" spans="1:8" hidden="1">
      <c r="A1073" s="78" t="s">
        <v>339</v>
      </c>
      <c r="B1073" s="79">
        <f>B1072</f>
        <v>12</v>
      </c>
      <c r="C1073" s="91" t="s">
        <v>1112</v>
      </c>
      <c r="D1073" s="78" t="s">
        <v>832</v>
      </c>
      <c r="E1073" s="951" t="s">
        <v>9</v>
      </c>
      <c r="F1073" s="81">
        <v>1</v>
      </c>
      <c r="G1073" s="950">
        <f>VLOOKUP(C1073,[30]Лист_1!$A$10:$D$87,3,0)</f>
        <v>52000</v>
      </c>
      <c r="H1073" s="950">
        <f>VLOOKUP(C1073,[30]Лист_1!$A$10:$D$87,4,0)</f>
        <v>12432.060000000001</v>
      </c>
    </row>
    <row r="1074" spans="1:8" hidden="1">
      <c r="A1074" s="78" t="s">
        <v>339</v>
      </c>
      <c r="B1074" s="79">
        <f>B1073</f>
        <v>12</v>
      </c>
      <c r="C1074" s="91" t="s">
        <v>1245</v>
      </c>
      <c r="D1074" s="78" t="s">
        <v>832</v>
      </c>
      <c r="E1074" s="951" t="s">
        <v>9</v>
      </c>
      <c r="F1074" s="81">
        <v>1</v>
      </c>
      <c r="G1074" s="950">
        <f>VLOOKUP(C1074,[30]Лист_1!$A$10:$D$87,3,0)</f>
        <v>63000</v>
      </c>
      <c r="H1074" s="950">
        <f>VLOOKUP(C1074,[30]Лист_1!$A$10:$D$87,4,0)</f>
        <v>15062.289999999999</v>
      </c>
    </row>
    <row r="1075" spans="1:8" hidden="1">
      <c r="A1075" s="78" t="s">
        <v>339</v>
      </c>
      <c r="B1075" s="79">
        <f>B1073</f>
        <v>12</v>
      </c>
      <c r="C1075" s="80" t="s">
        <v>903</v>
      </c>
      <c r="D1075" s="78" t="s">
        <v>832</v>
      </c>
      <c r="E1075" s="951" t="s">
        <v>9</v>
      </c>
      <c r="F1075" s="81">
        <v>1</v>
      </c>
      <c r="G1075" s="950">
        <f>VLOOKUP(C1075,[30]Лист_1!$A$10:$D$87,3,0)</f>
        <v>102000</v>
      </c>
      <c r="H1075" s="950">
        <f>VLOOKUP(C1075,[30]Лист_1!$A$10:$D$87,4,0)</f>
        <v>24385.8</v>
      </c>
    </row>
    <row r="1076" spans="1:8" ht="26.4" hidden="1">
      <c r="A1076" s="78" t="s">
        <v>819</v>
      </c>
      <c r="B1076" s="79">
        <f t="shared" ref="B1076:B1083" si="40">B1075</f>
        <v>12</v>
      </c>
      <c r="C1076" s="80" t="s">
        <v>823</v>
      </c>
      <c r="D1076" s="78" t="s">
        <v>821</v>
      </c>
      <c r="E1076" s="91" t="s">
        <v>918</v>
      </c>
      <c r="F1076" s="81">
        <v>1</v>
      </c>
      <c r="G1076" s="950">
        <f>VLOOKUP(C1076,[30]Лист_1!$A$10:$D$87,3,0)</f>
        <v>168293.92</v>
      </c>
      <c r="H1076" s="950">
        <f>VLOOKUP(C1076,[30]Лист_1!$A$10:$D$87,4,0)</f>
        <v>40235.39</v>
      </c>
    </row>
    <row r="1077" spans="1:8" hidden="1">
      <c r="A1077" s="78" t="s">
        <v>819</v>
      </c>
      <c r="B1077" s="79">
        <f t="shared" si="40"/>
        <v>12</v>
      </c>
      <c r="C1077" s="90" t="s">
        <v>1219</v>
      </c>
      <c r="D1077" s="78" t="s">
        <v>821</v>
      </c>
      <c r="E1077" s="78" t="s">
        <v>822</v>
      </c>
      <c r="F1077" s="81">
        <v>1</v>
      </c>
      <c r="G1077" s="950">
        <f>VLOOKUP(C1077,[30]Лист_1!$A$10:$D$87,3,0)</f>
        <v>120347</v>
      </c>
      <c r="H1077" s="950">
        <f>VLOOKUP(C1077,[30]Лист_1!$A$10:$D$87,4,0)</f>
        <v>28772.74</v>
      </c>
    </row>
    <row r="1078" spans="1:8" hidden="1">
      <c r="A1078" s="78" t="s">
        <v>819</v>
      </c>
      <c r="B1078" s="79">
        <f>B1076</f>
        <v>12</v>
      </c>
      <c r="C1078" s="84" t="s">
        <v>1039</v>
      </c>
      <c r="D1078" s="78" t="s">
        <v>821</v>
      </c>
      <c r="E1078" s="78" t="s">
        <v>829</v>
      </c>
      <c r="F1078" s="81">
        <v>1</v>
      </c>
      <c r="G1078" s="950">
        <f>VLOOKUP(C1078,[30]Лист_1!$A$10:$D$87,3,0)</f>
        <v>65363</v>
      </c>
      <c r="H1078" s="950">
        <f>VLOOKUP(C1078,[30]Лист_1!$A$10:$D$87,4,0)</f>
        <v>15627.140000000001</v>
      </c>
    </row>
    <row r="1079" spans="1:8" hidden="1">
      <c r="A1079" s="78" t="s">
        <v>819</v>
      </c>
      <c r="B1079" s="79">
        <f t="shared" si="40"/>
        <v>12</v>
      </c>
      <c r="C1079" s="80" t="s">
        <v>827</v>
      </c>
      <c r="D1079" s="78" t="s">
        <v>821</v>
      </c>
      <c r="E1079" s="78" t="s">
        <v>826</v>
      </c>
      <c r="F1079" s="81">
        <v>1</v>
      </c>
      <c r="G1079" s="950">
        <f>VLOOKUP(C1079,[30]Лист_1!$A$10:$D$87,3,0)</f>
        <v>72491.740000000005</v>
      </c>
      <c r="H1079" s="950">
        <f>VLOOKUP(C1079,[30]Лист_1!$A$10:$D$87,4,0)</f>
        <v>17331.260000000002</v>
      </c>
    </row>
    <row r="1080" spans="1:8" ht="26.4" hidden="1">
      <c r="A1080" s="78" t="s">
        <v>819</v>
      </c>
      <c r="B1080" s="79">
        <f t="shared" si="40"/>
        <v>12</v>
      </c>
      <c r="C1080" s="80" t="s">
        <v>828</v>
      </c>
      <c r="D1080" s="78" t="s">
        <v>821</v>
      </c>
      <c r="E1080" s="78" t="s">
        <v>824</v>
      </c>
      <c r="F1080" s="81">
        <v>1</v>
      </c>
      <c r="G1080" s="950">
        <f>VLOOKUP(C1080,[30]Лист_1!$A$10:$D$87,3,0)</f>
        <v>32342</v>
      </c>
      <c r="H1080" s="950">
        <f>VLOOKUP(C1080,[30]Лист_1!$A$10:$D$87,4,0)</f>
        <v>7658.3</v>
      </c>
    </row>
    <row r="1081" spans="1:8" hidden="1">
      <c r="A1081" s="78" t="s">
        <v>819</v>
      </c>
      <c r="B1081" s="79">
        <f t="shared" si="40"/>
        <v>12</v>
      </c>
      <c r="C1081" s="80" t="s">
        <v>1110</v>
      </c>
      <c r="D1081" s="78" t="s">
        <v>821</v>
      </c>
      <c r="E1081" s="91" t="s">
        <v>918</v>
      </c>
      <c r="F1081" s="81">
        <v>1</v>
      </c>
      <c r="G1081" s="950">
        <f>VLOOKUP(C1081,[30]Лист_1!$A$10:$D$87,3,0)</f>
        <v>120347</v>
      </c>
      <c r="H1081" s="950">
        <f>VLOOKUP(C1081,[30]Лист_1!$A$10:$D$87,4,0)</f>
        <v>28772.74</v>
      </c>
    </row>
    <row r="1082" spans="1:8" hidden="1">
      <c r="A1082" s="78" t="s">
        <v>819</v>
      </c>
      <c r="B1082" s="79">
        <f t="shared" si="40"/>
        <v>12</v>
      </c>
      <c r="C1082" s="80" t="s">
        <v>833</v>
      </c>
      <c r="D1082" s="78" t="s">
        <v>821</v>
      </c>
      <c r="E1082" s="78" t="s">
        <v>826</v>
      </c>
      <c r="F1082" s="81">
        <v>1</v>
      </c>
      <c r="G1082" s="950">
        <f>VLOOKUP(C1082,[30]Лист_1!$A$10:$D$87,3,0)</f>
        <v>80287</v>
      </c>
      <c r="H1082" s="950">
        <f>VLOOKUP(C1082,[30]Лист_1!$A$10:$D$87,4,0)</f>
        <v>19195.16</v>
      </c>
    </row>
    <row r="1083" spans="1:8" hidden="1">
      <c r="A1083" s="78" t="s">
        <v>819</v>
      </c>
      <c r="B1083" s="79">
        <f t="shared" si="40"/>
        <v>12</v>
      </c>
      <c r="C1083" s="90" t="s">
        <v>1069</v>
      </c>
      <c r="D1083" s="78" t="s">
        <v>821</v>
      </c>
      <c r="E1083" s="78" t="s">
        <v>824</v>
      </c>
      <c r="F1083" s="81">
        <v>1</v>
      </c>
      <c r="G1083" s="950">
        <f>VLOOKUP(C1083,[30]Лист_1!$A$10:$D$87,3,0)</f>
        <v>10005</v>
      </c>
      <c r="H1083" s="950">
        <f>VLOOKUP(C1083,[30]Лист_1!$A$10:$D$87,4,0)</f>
        <v>2369</v>
      </c>
    </row>
    <row r="1084" spans="1:8" hidden="1">
      <c r="A1084" s="78" t="s">
        <v>819</v>
      </c>
      <c r="B1084" s="79">
        <f>B1082</f>
        <v>12</v>
      </c>
      <c r="C1084" s="90" t="s">
        <v>1113</v>
      </c>
      <c r="D1084" s="78" t="s">
        <v>821</v>
      </c>
      <c r="E1084" s="78" t="s">
        <v>822</v>
      </c>
      <c r="F1084" s="81">
        <v>1</v>
      </c>
      <c r="G1084" s="950">
        <f>VLOOKUP(C1084,[30]Лист_1!$A$10:$D$87,3,0)</f>
        <v>85542</v>
      </c>
      <c r="H1084" s="950">
        <f>VLOOKUP(C1084,[30]Лист_1!$A$10:$D$87,4,0)</f>
        <v>20451.280000000002</v>
      </c>
    </row>
    <row r="1085" spans="1:8" hidden="1">
      <c r="A1085" s="78" t="s">
        <v>819</v>
      </c>
      <c r="B1085" s="79">
        <f>B1084</f>
        <v>12</v>
      </c>
      <c r="C1085" s="90" t="s">
        <v>1098</v>
      </c>
      <c r="D1085" s="78" t="s">
        <v>821</v>
      </c>
      <c r="E1085" s="78" t="s">
        <v>824</v>
      </c>
      <c r="F1085" s="81">
        <v>1</v>
      </c>
      <c r="G1085" s="950">
        <f>VLOOKUP(C1085,[30]Лист_1!$A$10:$D$87,3,0)</f>
        <v>5500</v>
      </c>
      <c r="H1085" s="950">
        <f>VLOOKUP(C1085,[30]Лист_1!$A$10:$D$87,4,0)</f>
        <v>1302.47</v>
      </c>
    </row>
    <row r="1086" spans="1:8" hidden="1">
      <c r="A1086" s="91" t="s">
        <v>819</v>
      </c>
      <c r="B1086" s="79">
        <f>B1085</f>
        <v>12</v>
      </c>
      <c r="C1086" s="91" t="s">
        <v>1165</v>
      </c>
      <c r="D1086" s="78" t="s">
        <v>821</v>
      </c>
      <c r="E1086" s="78" t="s">
        <v>824</v>
      </c>
      <c r="F1086" s="81">
        <v>1</v>
      </c>
      <c r="G1086" s="950">
        <f>VLOOKUP(C1086,[30]Лист_1!$A$10:$D$87,3,0)</f>
        <v>59638.81</v>
      </c>
      <c r="H1086" s="950">
        <f>VLOOKUP(C1086,[30]Лист_1!$A$10:$D$87,4,0)</f>
        <v>14257.890000000001</v>
      </c>
    </row>
    <row r="1087" spans="1:8" hidden="1">
      <c r="A1087" s="78" t="s">
        <v>819</v>
      </c>
      <c r="B1087" s="79">
        <f>B1084</f>
        <v>12</v>
      </c>
      <c r="C1087" s="91" t="s">
        <v>1218</v>
      </c>
      <c r="D1087" s="78" t="s">
        <v>821</v>
      </c>
      <c r="E1087" s="78" t="s">
        <v>836</v>
      </c>
      <c r="F1087" s="81">
        <v>1</v>
      </c>
      <c r="G1087" s="950">
        <f>VLOOKUP(C1087,[30]Лист_1!$A$10:$D$87,3,0)</f>
        <v>62897</v>
      </c>
      <c r="H1087" s="950">
        <f>VLOOKUP(C1087,[30]Лист_1!$A$10:$D$87,4,0)</f>
        <v>15037.01</v>
      </c>
    </row>
    <row r="1088" spans="1:8" hidden="1">
      <c r="A1088" s="78" t="s">
        <v>819</v>
      </c>
      <c r="B1088" s="79">
        <f>B1085</f>
        <v>12</v>
      </c>
      <c r="C1088" s="91" t="s">
        <v>1109</v>
      </c>
      <c r="D1088" s="78" t="s">
        <v>821</v>
      </c>
      <c r="E1088" s="78" t="s">
        <v>824</v>
      </c>
      <c r="F1088" s="81">
        <v>1</v>
      </c>
      <c r="G1088" s="950">
        <v>16750</v>
      </c>
      <c r="H1088" s="950"/>
    </row>
    <row r="1089" spans="1:8" hidden="1">
      <c r="A1089" s="78" t="s">
        <v>819</v>
      </c>
      <c r="B1089" s="79">
        <f>B1088</f>
        <v>12</v>
      </c>
      <c r="C1089" s="80" t="s">
        <v>1193</v>
      </c>
      <c r="D1089" s="78" t="s">
        <v>821</v>
      </c>
      <c r="E1089" s="78" t="s">
        <v>822</v>
      </c>
      <c r="F1089" s="81">
        <v>1</v>
      </c>
      <c r="G1089" s="950">
        <f>VLOOKUP(C1089,[30]Лист_1!$A$10:$D$87,3,0)</f>
        <v>100337</v>
      </c>
      <c r="H1089" s="950">
        <f>VLOOKUP(C1089,[30]Лист_1!$A$10:$D$87,4,0)</f>
        <v>23988.74</v>
      </c>
    </row>
    <row r="1090" spans="1:8" hidden="1">
      <c r="A1090" s="78" t="s">
        <v>819</v>
      </c>
      <c r="B1090" s="79">
        <f>B1089</f>
        <v>12</v>
      </c>
      <c r="C1090" s="84" t="s">
        <v>1060</v>
      </c>
      <c r="D1090" s="78" t="s">
        <v>821</v>
      </c>
      <c r="E1090" s="78" t="s">
        <v>843</v>
      </c>
      <c r="F1090" s="81">
        <v>1</v>
      </c>
      <c r="G1090" s="950">
        <f>VLOOKUP(C1090,[30]Лист_1!$A$10:$D$87,3,0)</f>
        <v>97003.03</v>
      </c>
      <c r="H1090" s="950">
        <f>VLOOKUP(C1090,[30]Лист_1!$A$10:$D$87,4,0)</f>
        <v>23191.85</v>
      </c>
    </row>
    <row r="1091" spans="1:8" hidden="1">
      <c r="A1091" s="78" t="s">
        <v>819</v>
      </c>
      <c r="B1091" s="79">
        <f t="shared" ref="B1091:B1096" si="41">B1090</f>
        <v>12</v>
      </c>
      <c r="C1091" s="84" t="s">
        <v>844</v>
      </c>
      <c r="D1091" s="78" t="s">
        <v>821</v>
      </c>
      <c r="E1091" s="78" t="s">
        <v>826</v>
      </c>
      <c r="F1091" s="81">
        <v>1</v>
      </c>
      <c r="G1091" s="950">
        <f>VLOOKUP(C1091,[30]Лист_1!$A$10:$D$87,3,0)</f>
        <v>79977.679999999993</v>
      </c>
      <c r="H1091" s="950">
        <f>VLOOKUP(C1091,[30]Лист_1!$A$10:$D$87,4,0)</f>
        <v>19121.440000000002</v>
      </c>
    </row>
    <row r="1092" spans="1:8" hidden="1">
      <c r="A1092" s="78" t="s">
        <v>819</v>
      </c>
      <c r="B1092" s="79">
        <f t="shared" si="41"/>
        <v>12</v>
      </c>
      <c r="C1092" s="84" t="s">
        <v>846</v>
      </c>
      <c r="D1092" s="78" t="s">
        <v>821</v>
      </c>
      <c r="E1092" s="91" t="s">
        <v>942</v>
      </c>
      <c r="F1092" s="81">
        <v>1</v>
      </c>
      <c r="G1092" s="950">
        <f>VLOOKUP(C1092,[30]Лист_1!$A$10:$D$87,3,0)</f>
        <v>110000</v>
      </c>
      <c r="H1092" s="950">
        <f>VLOOKUP(C1092,[30]Лист_1!$A$10:$D$87,4,0)</f>
        <v>26299.079999999998</v>
      </c>
    </row>
    <row r="1093" spans="1:8" hidden="1">
      <c r="A1093" s="78" t="s">
        <v>819</v>
      </c>
      <c r="B1093" s="79">
        <f t="shared" si="41"/>
        <v>12</v>
      </c>
      <c r="C1093" s="78" t="s">
        <v>847</v>
      </c>
      <c r="D1093" s="78" t="s">
        <v>821</v>
      </c>
      <c r="E1093" s="78" t="s">
        <v>829</v>
      </c>
      <c r="F1093" s="81">
        <v>1</v>
      </c>
      <c r="G1093" s="950">
        <f>VLOOKUP(C1093,[30]Лист_1!$A$10:$D$87,3,0)</f>
        <v>95044.94</v>
      </c>
      <c r="H1093" s="950">
        <f>VLOOKUP(C1093,[30]Лист_1!$A$10:$D$87,4,0)</f>
        <v>22724.34</v>
      </c>
    </row>
    <row r="1094" spans="1:8" hidden="1">
      <c r="A1094" s="78" t="s">
        <v>819</v>
      </c>
      <c r="B1094" s="79">
        <f t="shared" si="41"/>
        <v>12</v>
      </c>
      <c r="C1094" s="84" t="s">
        <v>919</v>
      </c>
      <c r="D1094" s="78" t="s">
        <v>821</v>
      </c>
      <c r="E1094" s="78" t="s">
        <v>822</v>
      </c>
      <c r="F1094" s="81">
        <v>1</v>
      </c>
      <c r="G1094" s="950">
        <f>VLOOKUP(C1094,[30]Лист_1!$A$10:$D$87,3,0)</f>
        <v>80327</v>
      </c>
      <c r="H1094" s="950">
        <f>VLOOKUP(C1094,[30]Лист_1!$A$10:$D$87,4,0)</f>
        <v>19204.740000000002</v>
      </c>
    </row>
    <row r="1095" spans="1:8" hidden="1">
      <c r="A1095" s="78" t="s">
        <v>819</v>
      </c>
      <c r="B1095" s="79">
        <f t="shared" si="41"/>
        <v>12</v>
      </c>
      <c r="C1095" s="80" t="s">
        <v>848</v>
      </c>
      <c r="D1095" s="78" t="s">
        <v>821</v>
      </c>
      <c r="E1095" s="78" t="s">
        <v>826</v>
      </c>
      <c r="F1095" s="81">
        <v>1</v>
      </c>
      <c r="G1095" s="950">
        <f>VLOOKUP(C1095,[30]Лист_1!$A$10:$D$87,3,0)</f>
        <v>88499.73</v>
      </c>
      <c r="H1095" s="950">
        <f>VLOOKUP(C1095,[30]Лист_1!$A$10:$D$87,4,0)</f>
        <v>21158.460000000003</v>
      </c>
    </row>
    <row r="1096" spans="1:8" hidden="1">
      <c r="A1096" s="78" t="s">
        <v>819</v>
      </c>
      <c r="B1096" s="79">
        <f t="shared" si="41"/>
        <v>12</v>
      </c>
      <c r="C1096" s="92" t="s">
        <v>1130</v>
      </c>
      <c r="D1096" s="78" t="s">
        <v>821</v>
      </c>
      <c r="E1096" s="91" t="s">
        <v>942</v>
      </c>
      <c r="F1096" s="81">
        <v>1</v>
      </c>
      <c r="G1096" s="950">
        <f>VLOOKUP(C1096,[30]Лист_1!$A$10:$D$87,3,0)</f>
        <v>80287</v>
      </c>
      <c r="H1096" s="950">
        <f>VLOOKUP(C1096,[30]Лист_1!$A$10:$D$87,4,0)</f>
        <v>19195.150000000001</v>
      </c>
    </row>
    <row r="1097" spans="1:8" hidden="1">
      <c r="A1097" s="78" t="s">
        <v>819</v>
      </c>
      <c r="B1097" s="79">
        <f>B1095</f>
        <v>12</v>
      </c>
      <c r="C1097" s="78" t="s">
        <v>849</v>
      </c>
      <c r="D1097" s="78" t="s">
        <v>821</v>
      </c>
      <c r="E1097" s="78" t="s">
        <v>824</v>
      </c>
      <c r="F1097" s="81">
        <v>1</v>
      </c>
      <c r="G1097" s="950">
        <f>VLOOKUP(C1097,[30]Лист_1!$A$10:$D$87,3,0)</f>
        <v>122385.42000000001</v>
      </c>
      <c r="H1097" s="950">
        <f>VLOOKUP(C1097,[30]Лист_1!$A$10:$D$87,4,0)</f>
        <v>29259.45</v>
      </c>
    </row>
    <row r="1098" spans="1:8" hidden="1">
      <c r="A1098" s="78" t="s">
        <v>819</v>
      </c>
      <c r="B1098" s="79">
        <f>B1097</f>
        <v>12</v>
      </c>
      <c r="C1098" s="92" t="s">
        <v>1251</v>
      </c>
      <c r="D1098" s="78" t="s">
        <v>821</v>
      </c>
      <c r="E1098" s="78" t="s">
        <v>822</v>
      </c>
      <c r="F1098" s="81">
        <v>1</v>
      </c>
      <c r="G1098" s="950">
        <f>VLOOKUP(C1098,[30]Лист_1!$A$10:$D$87,3,0)</f>
        <v>108404.27</v>
      </c>
      <c r="H1098" s="950">
        <f>VLOOKUP(C1098,[30]Лист_1!$A$10:$D$87,4,0)</f>
        <v>25916.97</v>
      </c>
    </row>
    <row r="1099" spans="1:8" hidden="1">
      <c r="A1099" s="78" t="s">
        <v>819</v>
      </c>
      <c r="B1099" s="79">
        <f>B1097</f>
        <v>12</v>
      </c>
      <c r="C1099" s="90" t="s">
        <v>1044</v>
      </c>
      <c r="D1099" s="78" t="s">
        <v>821</v>
      </c>
      <c r="E1099" s="78" t="s">
        <v>826</v>
      </c>
      <c r="F1099" s="81">
        <v>1</v>
      </c>
      <c r="G1099" s="950">
        <v>85107</v>
      </c>
      <c r="H1099" s="950"/>
    </row>
    <row r="1100" spans="1:8" hidden="1">
      <c r="A1100" s="78" t="s">
        <v>819</v>
      </c>
      <c r="B1100" s="79">
        <f>B1097</f>
        <v>12</v>
      </c>
      <c r="C1100" s="78" t="s">
        <v>851</v>
      </c>
      <c r="D1100" s="78" t="s">
        <v>821</v>
      </c>
      <c r="E1100" s="78" t="s">
        <v>826</v>
      </c>
      <c r="F1100" s="81">
        <v>1</v>
      </c>
      <c r="G1100" s="950">
        <f>VLOOKUP(C1100,[30]Лист_1!$A$10:$D$87,3,0)</f>
        <v>76119.41</v>
      </c>
      <c r="H1100" s="950">
        <f>VLOOKUP(C1100,[30]Лист_1!$A$10:$D$87,4,0)</f>
        <v>17917.78</v>
      </c>
    </row>
    <row r="1101" spans="1:8" hidden="1">
      <c r="A1101" s="78" t="s">
        <v>819</v>
      </c>
      <c r="B1101" s="79">
        <f>B1099</f>
        <v>12</v>
      </c>
      <c r="C1101" s="84" t="s">
        <v>853</v>
      </c>
      <c r="D1101" s="78" t="s">
        <v>821</v>
      </c>
      <c r="E1101" s="78" t="s">
        <v>836</v>
      </c>
      <c r="F1101" s="81">
        <v>1</v>
      </c>
      <c r="G1101" s="950">
        <f>VLOOKUP(C1101,[30]Лист_1!$A$10:$D$87,3,0)</f>
        <v>120060</v>
      </c>
      <c r="H1101" s="950">
        <f>VLOOKUP(C1101,[30]Лист_1!$A$10:$D$87,4,0)</f>
        <v>28704</v>
      </c>
    </row>
    <row r="1102" spans="1:8" hidden="1">
      <c r="A1102" s="78" t="s">
        <v>819</v>
      </c>
      <c r="B1102" s="79">
        <f>B1101</f>
        <v>12</v>
      </c>
      <c r="C1102" s="84" t="s">
        <v>1061</v>
      </c>
      <c r="D1102" s="78" t="s">
        <v>821</v>
      </c>
      <c r="E1102" s="78" t="s">
        <v>826</v>
      </c>
      <c r="F1102" s="81">
        <v>1</v>
      </c>
      <c r="G1102" s="950">
        <f>VLOOKUP(C1102,[30]Лист_1!$A$10:$D$87,3,0)</f>
        <v>103288</v>
      </c>
      <c r="H1102" s="950">
        <f>VLOOKUP(C1102,[30]Лист_1!$A$10:$D$87,4,0)</f>
        <v>24693.239999999998</v>
      </c>
    </row>
    <row r="1103" spans="1:8" hidden="1">
      <c r="A1103" s="78" t="s">
        <v>819</v>
      </c>
      <c r="B1103" s="79">
        <f t="shared" ref="B1103" si="42">B1102</f>
        <v>12</v>
      </c>
      <c r="C1103" s="92" t="s">
        <v>1246</v>
      </c>
      <c r="D1103" s="78" t="s">
        <v>821</v>
      </c>
      <c r="E1103" s="91" t="s">
        <v>942</v>
      </c>
      <c r="F1103" s="81">
        <v>1</v>
      </c>
      <c r="G1103" s="950">
        <f>VLOOKUP(C1103,[30]Лист_1!$A$10:$D$87,3,0)</f>
        <v>13642.82</v>
      </c>
      <c r="H1103" s="950">
        <f>VLOOKUP(C1103,[30]Лист_1!$A$10:$D$87,4,0)</f>
        <v>3262.18</v>
      </c>
    </row>
    <row r="1104" spans="1:8" hidden="1">
      <c r="A1104" s="78" t="s">
        <v>819</v>
      </c>
      <c r="B1104" s="79">
        <f>B1102</f>
        <v>12</v>
      </c>
      <c r="C1104" s="78" t="s">
        <v>856</v>
      </c>
      <c r="D1104" s="78" t="s">
        <v>821</v>
      </c>
      <c r="E1104" s="78" t="s">
        <v>826</v>
      </c>
      <c r="F1104" s="81">
        <v>1</v>
      </c>
      <c r="G1104" s="950">
        <f>VLOOKUP(C1104,[30]Лист_1!$A$10:$D$87,3,0)</f>
        <v>150287</v>
      </c>
      <c r="H1104" s="950">
        <f>VLOOKUP(C1104,[30]Лист_1!$A$10:$D$87,4,0)</f>
        <v>35931.040000000001</v>
      </c>
    </row>
    <row r="1105" spans="1:8" hidden="1">
      <c r="A1105" s="78" t="s">
        <v>819</v>
      </c>
      <c r="B1105" s="79">
        <f>B1104</f>
        <v>12</v>
      </c>
      <c r="C1105" s="90" t="s">
        <v>1133</v>
      </c>
      <c r="D1105" s="78" t="s">
        <v>821</v>
      </c>
      <c r="E1105" s="91" t="s">
        <v>918</v>
      </c>
      <c r="F1105" s="81">
        <v>1</v>
      </c>
      <c r="G1105" s="950">
        <f>VLOOKUP(C1105,[30]Лист_1!$A$10:$D$87,3,0)</f>
        <v>90287</v>
      </c>
      <c r="H1105" s="950">
        <f>VLOOKUP(C1105,[30]Лист_1!$A$10:$D$87,4,0)</f>
        <v>21585.690000000002</v>
      </c>
    </row>
    <row r="1106" spans="1:8" hidden="1">
      <c r="A1106" s="78" t="s">
        <v>819</v>
      </c>
      <c r="B1106" s="79">
        <f>B1104</f>
        <v>12</v>
      </c>
      <c r="C1106" s="78" t="s">
        <v>858</v>
      </c>
      <c r="D1106" s="78" t="s">
        <v>821</v>
      </c>
      <c r="E1106" s="78" t="s">
        <v>826</v>
      </c>
      <c r="F1106" s="81">
        <v>1</v>
      </c>
      <c r="G1106" s="950">
        <f>VLOOKUP(C1106,[30]Лист_1!$A$10:$D$87,3,0)</f>
        <v>80327</v>
      </c>
      <c r="H1106" s="950">
        <f>VLOOKUP(C1106,[30]Лист_1!$A$10:$D$87,4,0)</f>
        <v>19204.740000000002</v>
      </c>
    </row>
    <row r="1107" spans="1:8" hidden="1">
      <c r="A1107" s="78" t="s">
        <v>819</v>
      </c>
      <c r="B1107" s="79">
        <f>B1078</f>
        <v>12</v>
      </c>
      <c r="C1107" s="91" t="s">
        <v>1063</v>
      </c>
      <c r="D1107" s="78" t="s">
        <v>821</v>
      </c>
      <c r="E1107" s="78" t="s">
        <v>824</v>
      </c>
      <c r="F1107" s="81">
        <v>1</v>
      </c>
      <c r="G1107" s="950">
        <f>VLOOKUP(C1107,[30]Лист_1!$A$10:$D$87,3,0)</f>
        <v>15321</v>
      </c>
      <c r="H1107" s="950">
        <f>VLOOKUP(C1107,[30]Лист_1!$A$10:$D$87,4,0)</f>
        <v>3628.44</v>
      </c>
    </row>
    <row r="1108" spans="1:8" hidden="1">
      <c r="A1108" s="78" t="s">
        <v>819</v>
      </c>
      <c r="B1108" s="79">
        <f>B1107</f>
        <v>12</v>
      </c>
      <c r="C1108" s="84" t="s">
        <v>1191</v>
      </c>
      <c r="D1108" s="78" t="s">
        <v>821</v>
      </c>
      <c r="E1108" s="78" t="s">
        <v>822</v>
      </c>
      <c r="F1108" s="81">
        <v>1</v>
      </c>
      <c r="G1108" s="950">
        <f>VLOOKUP(C1108,[30]Лист_1!$A$10:$D$87,3,0)</f>
        <v>85327</v>
      </c>
      <c r="H1108" s="950">
        <f>VLOOKUP(C1108,[30]Лист_1!$A$10:$D$87,4,0)</f>
        <v>20400</v>
      </c>
    </row>
    <row r="1109" spans="1:8" hidden="1">
      <c r="A1109" s="78" t="s">
        <v>819</v>
      </c>
      <c r="B1109" s="79">
        <f>B1107</f>
        <v>12</v>
      </c>
      <c r="C1109" s="84" t="s">
        <v>863</v>
      </c>
      <c r="D1109" s="78" t="s">
        <v>821</v>
      </c>
      <c r="E1109" s="78" t="s">
        <v>829</v>
      </c>
      <c r="F1109" s="81">
        <v>1</v>
      </c>
      <c r="G1109" s="950">
        <f>VLOOKUP(C1109,[30]Лист_1!$A$10:$D$87,3,0)</f>
        <v>80287</v>
      </c>
      <c r="H1109" s="950">
        <f>VLOOKUP(C1109,[30]Лист_1!$A$10:$D$87,4,0)</f>
        <v>19195.150000000001</v>
      </c>
    </row>
    <row r="1110" spans="1:8" hidden="1">
      <c r="A1110" s="78" t="s">
        <v>819</v>
      </c>
      <c r="B1110" s="79">
        <f>B1109</f>
        <v>12</v>
      </c>
      <c r="C1110" s="84" t="s">
        <v>865</v>
      </c>
      <c r="D1110" s="78" t="s">
        <v>821</v>
      </c>
      <c r="E1110" s="78" t="s">
        <v>822</v>
      </c>
      <c r="F1110" s="81">
        <v>1</v>
      </c>
      <c r="G1110" s="950">
        <f>VLOOKUP(C1110,[30]Лист_1!$A$10:$D$87,3,0)</f>
        <v>120000</v>
      </c>
      <c r="H1110" s="950">
        <f>VLOOKUP(C1110,[30]Лист_1!$A$10:$D$87,4,0)</f>
        <v>28689.620000000003</v>
      </c>
    </row>
    <row r="1111" spans="1:8" hidden="1">
      <c r="A1111" s="78" t="s">
        <v>819</v>
      </c>
      <c r="B1111" s="79">
        <f>B1110</f>
        <v>12</v>
      </c>
      <c r="C1111" s="92" t="s">
        <v>1135</v>
      </c>
      <c r="D1111" s="78" t="s">
        <v>821</v>
      </c>
      <c r="E1111" s="78" t="s">
        <v>822</v>
      </c>
      <c r="F1111" s="81">
        <v>1</v>
      </c>
      <c r="G1111" s="950">
        <f>VLOOKUP(C1111,[30]Лист_1!$A$10:$D$87,3,0)</f>
        <v>140288</v>
      </c>
      <c r="H1111" s="950">
        <f>VLOOKUP(C1111,[30]Лист_1!$A$10:$D$87,4,0)</f>
        <v>33539.5</v>
      </c>
    </row>
    <row r="1112" spans="1:8" hidden="1">
      <c r="A1112" s="78" t="s">
        <v>819</v>
      </c>
      <c r="B1112" s="79">
        <f t="shared" ref="B1112" si="43">B1111</f>
        <v>12</v>
      </c>
      <c r="C1112" s="90" t="s">
        <v>1247</v>
      </c>
      <c r="D1112" s="78" t="s">
        <v>821</v>
      </c>
      <c r="E1112" s="91" t="s">
        <v>918</v>
      </c>
      <c r="F1112" s="81">
        <v>1</v>
      </c>
      <c r="G1112" s="950">
        <f>VLOOKUP(C1112,[30]Лист_1!$A$10:$D$87,3,0)</f>
        <v>27364.639999999999</v>
      </c>
      <c r="H1112" s="950">
        <f>VLOOKUP(C1112,[30]Лист_1!$A$10:$D$87,4,0)</f>
        <v>6542.3899999999994</v>
      </c>
    </row>
    <row r="1113" spans="1:8" ht="26.4" hidden="1">
      <c r="A1113" s="78" t="s">
        <v>819</v>
      </c>
      <c r="B1113" s="79">
        <f>B1111</f>
        <v>12</v>
      </c>
      <c r="C1113" s="92" t="s">
        <v>1166</v>
      </c>
      <c r="D1113" s="78" t="s">
        <v>821</v>
      </c>
      <c r="E1113" s="78" t="s">
        <v>822</v>
      </c>
      <c r="F1113" s="81">
        <v>1</v>
      </c>
      <c r="G1113" s="950">
        <f>VLOOKUP(C1113,[30]Лист_1!$A$10:$D$87,3,0)</f>
        <v>90332</v>
      </c>
      <c r="H1113" s="950">
        <f>VLOOKUP(C1113,[30]Лист_1!$A$10:$D$87,4,0)</f>
        <v>21596.74</v>
      </c>
    </row>
    <row r="1114" spans="1:8" hidden="1">
      <c r="A1114" s="78" t="s">
        <v>819</v>
      </c>
      <c r="B1114" s="79">
        <f>B1110</f>
        <v>12</v>
      </c>
      <c r="C1114" s="84" t="s">
        <v>1040</v>
      </c>
      <c r="D1114" s="78" t="s">
        <v>821</v>
      </c>
      <c r="E1114" s="78" t="s">
        <v>822</v>
      </c>
      <c r="F1114" s="81">
        <v>1</v>
      </c>
      <c r="G1114" s="950">
        <f>VLOOKUP(C1114,[30]Лист_1!$A$10:$D$87,3,0)</f>
        <v>117381.20999999999</v>
      </c>
      <c r="H1114" s="950">
        <f>VLOOKUP(C1114,[30]Лист_1!$A$10:$D$87,4,0)</f>
        <v>28063.850000000002</v>
      </c>
    </row>
    <row r="1115" spans="1:8" hidden="1">
      <c r="A1115" s="78" t="s">
        <v>819</v>
      </c>
      <c r="B1115" s="79">
        <f>B1110</f>
        <v>12</v>
      </c>
      <c r="C1115" s="91" t="s">
        <v>866</v>
      </c>
      <c r="D1115" s="78" t="s">
        <v>821</v>
      </c>
      <c r="E1115" s="78" t="s">
        <v>826</v>
      </c>
      <c r="F1115" s="81">
        <v>1</v>
      </c>
      <c r="G1115" s="950">
        <f>VLOOKUP(C1115,[30]Лист_1!$A$10:$D$87,3,0)</f>
        <v>75288</v>
      </c>
      <c r="H1115" s="950">
        <f>VLOOKUP(C1115,[30]Лист_1!$A$10:$D$87,4,0)</f>
        <v>17998.88</v>
      </c>
    </row>
    <row r="1116" spans="1:8" hidden="1">
      <c r="A1116" s="78" t="s">
        <v>819</v>
      </c>
      <c r="B1116" s="79">
        <f>B1114</f>
        <v>12</v>
      </c>
      <c r="C1116" s="90" t="s">
        <v>1248</v>
      </c>
      <c r="D1116" s="78" t="s">
        <v>821</v>
      </c>
      <c r="E1116" s="78" t="s">
        <v>822</v>
      </c>
      <c r="F1116" s="81">
        <v>1</v>
      </c>
      <c r="G1116" s="950">
        <f>VLOOKUP(C1116,[30]Лист_1!$A$10:$D$87,3,0)</f>
        <v>72941</v>
      </c>
      <c r="H1116" s="950">
        <f>VLOOKUP(C1116,[30]Лист_1!$A$10:$D$87,4,0)</f>
        <v>17438.52</v>
      </c>
    </row>
    <row r="1117" spans="1:8" hidden="1">
      <c r="A1117" s="78" t="s">
        <v>819</v>
      </c>
      <c r="B1117" s="79">
        <f>B1115</f>
        <v>12</v>
      </c>
      <c r="C1117" s="80" t="s">
        <v>867</v>
      </c>
      <c r="D1117" s="78" t="s">
        <v>821</v>
      </c>
      <c r="E1117" s="78" t="s">
        <v>822</v>
      </c>
      <c r="F1117" s="81">
        <v>1</v>
      </c>
      <c r="G1117" s="950">
        <f>VLOOKUP(C1117,[30]Лист_1!$A$10:$D$87,3,0)</f>
        <v>90287</v>
      </c>
      <c r="H1117" s="950">
        <f>VLOOKUP(C1117,[30]Лист_1!$A$10:$D$87,4,0)</f>
        <v>21585.68</v>
      </c>
    </row>
    <row r="1118" spans="1:8" hidden="1">
      <c r="A1118" s="78" t="s">
        <v>819</v>
      </c>
      <c r="B1118" s="79">
        <f>B1117</f>
        <v>12</v>
      </c>
      <c r="C1118" s="80" t="s">
        <v>868</v>
      </c>
      <c r="D1118" s="78" t="s">
        <v>821</v>
      </c>
      <c r="E1118" s="78" t="s">
        <v>826</v>
      </c>
      <c r="F1118" s="81">
        <v>1</v>
      </c>
      <c r="G1118" s="950">
        <f>VLOOKUP(C1118,[30]Лист_1!$A$10:$D$87,3,0)</f>
        <v>80000</v>
      </c>
      <c r="H1118" s="950">
        <f>VLOOKUP(C1118,[30]Лист_1!$A$10:$D$87,4,0)</f>
        <v>19126.41</v>
      </c>
    </row>
    <row r="1119" spans="1:8" hidden="1">
      <c r="A1119" s="78" t="s">
        <v>819</v>
      </c>
      <c r="B1119" s="79">
        <f>B1118</f>
        <v>12</v>
      </c>
      <c r="C1119" s="90" t="s">
        <v>1065</v>
      </c>
      <c r="D1119" s="78" t="s">
        <v>821</v>
      </c>
      <c r="E1119" s="78" t="s">
        <v>822</v>
      </c>
      <c r="F1119" s="81">
        <v>1</v>
      </c>
      <c r="G1119" s="950">
        <f>VLOOKUP(C1119,[30]Лист_1!$A$10:$D$87,3,0)</f>
        <v>78423.13</v>
      </c>
      <c r="H1119" s="950">
        <f>VLOOKUP(C1119,[30]Лист_1!$A$10:$D$87,4,0)</f>
        <v>18750.079999999998</v>
      </c>
    </row>
    <row r="1120" spans="1:8" hidden="1">
      <c r="A1120" s="78" t="s">
        <v>819</v>
      </c>
      <c r="B1120" s="79">
        <f>B1119</f>
        <v>12</v>
      </c>
      <c r="C1120" s="91" t="s">
        <v>874</v>
      </c>
      <c r="D1120" s="78" t="s">
        <v>821</v>
      </c>
      <c r="E1120" s="78" t="s">
        <v>824</v>
      </c>
      <c r="F1120" s="81">
        <v>1</v>
      </c>
      <c r="G1120" s="950">
        <f>VLOOKUP(C1120,[30]Лист_1!$A$10:$D$87,3,0)</f>
        <v>70288</v>
      </c>
      <c r="H1120" s="950">
        <f>VLOOKUP(C1120,[30]Лист_1!$A$10:$D$87,4,0)</f>
        <v>16803.620000000003</v>
      </c>
    </row>
    <row r="1121" spans="1:8" hidden="1">
      <c r="A1121" s="78" t="s">
        <v>819</v>
      </c>
      <c r="B1121" s="79">
        <f>B1120</f>
        <v>12</v>
      </c>
      <c r="C1121" s="90" t="s">
        <v>1164</v>
      </c>
      <c r="D1121" s="78" t="s">
        <v>821</v>
      </c>
      <c r="E1121" s="78" t="s">
        <v>822</v>
      </c>
      <c r="F1121" s="81">
        <v>1</v>
      </c>
      <c r="G1121" s="950">
        <v>137500</v>
      </c>
      <c r="H1121" s="950"/>
    </row>
    <row r="1122" spans="1:8" hidden="1">
      <c r="A1122" s="78" t="s">
        <v>819</v>
      </c>
      <c r="B1122" s="79">
        <f>B1120</f>
        <v>12</v>
      </c>
      <c r="C1122" s="84" t="s">
        <v>877</v>
      </c>
      <c r="D1122" s="78" t="s">
        <v>821</v>
      </c>
      <c r="E1122" s="91" t="s">
        <v>942</v>
      </c>
      <c r="F1122" s="81">
        <v>1</v>
      </c>
      <c r="G1122" s="950">
        <f>VLOOKUP(C1122,[30]Лист_1!$A$10:$D$87,3,0)</f>
        <v>128706.32</v>
      </c>
      <c r="H1122" s="950">
        <f>VLOOKUP(C1122,[30]Лист_1!$A$10:$D$87,4,0)</f>
        <v>30771.19</v>
      </c>
    </row>
    <row r="1123" spans="1:8" hidden="1">
      <c r="A1123" s="78" t="s">
        <v>819</v>
      </c>
      <c r="B1123" s="79">
        <f>B1122</f>
        <v>12</v>
      </c>
      <c r="C1123" s="91" t="s">
        <v>1143</v>
      </c>
      <c r="D1123" s="78" t="s">
        <v>821</v>
      </c>
      <c r="E1123" s="78" t="s">
        <v>824</v>
      </c>
      <c r="F1123" s="81">
        <v>1</v>
      </c>
      <c r="G1123" s="950">
        <f>VLOOKUP(C1123,[30]Лист_1!$A$10:$D$87,3,0)</f>
        <v>79439.97</v>
      </c>
      <c r="H1123" s="950">
        <f>VLOOKUP(C1123,[30]Лист_1!$A$10:$D$87,4,0)</f>
        <v>18992.18</v>
      </c>
    </row>
    <row r="1124" spans="1:8" hidden="1">
      <c r="A1124" s="78" t="s">
        <v>819</v>
      </c>
      <c r="B1124" s="79">
        <f>B1120</f>
        <v>12</v>
      </c>
      <c r="C1124" s="84" t="s">
        <v>1041</v>
      </c>
      <c r="D1124" s="78" t="s">
        <v>821</v>
      </c>
      <c r="E1124" s="78" t="s">
        <v>822</v>
      </c>
      <c r="F1124" s="81">
        <v>1</v>
      </c>
      <c r="G1124" s="950">
        <f>VLOOKUP(C1124,[30]Лист_1!$A$10:$D$87,3,0)</f>
        <v>15007</v>
      </c>
      <c r="H1124" s="950">
        <f>VLOOKUP(C1124,[30]Лист_1!$A$10:$D$87,4,0)</f>
        <v>3554</v>
      </c>
    </row>
    <row r="1125" spans="1:8" hidden="1">
      <c r="A1125" s="78" t="s">
        <v>819</v>
      </c>
      <c r="B1125" s="79">
        <f>B1122</f>
        <v>12</v>
      </c>
      <c r="C1125" s="78" t="s">
        <v>878</v>
      </c>
      <c r="D1125" s="78" t="s">
        <v>821</v>
      </c>
      <c r="E1125" s="78" t="s">
        <v>836</v>
      </c>
      <c r="F1125" s="81">
        <v>1</v>
      </c>
      <c r="G1125" s="950">
        <f>VLOOKUP(C1125,[30]Лист_1!$A$10:$D$87,3,0)</f>
        <v>95287</v>
      </c>
      <c r="H1125" s="950">
        <f>VLOOKUP(C1125,[30]Лист_1!$A$10:$D$87,4,0)</f>
        <v>22780.95</v>
      </c>
    </row>
    <row r="1126" spans="1:8" hidden="1">
      <c r="A1126" s="78" t="s">
        <v>819</v>
      </c>
      <c r="B1126" s="79">
        <f>B1121</f>
        <v>12</v>
      </c>
      <c r="C1126" s="92" t="s">
        <v>1249</v>
      </c>
      <c r="D1126" s="78" t="s">
        <v>821</v>
      </c>
      <c r="E1126" s="78" t="s">
        <v>822</v>
      </c>
      <c r="F1126" s="81">
        <v>1</v>
      </c>
      <c r="G1126" s="950">
        <f>VLOOKUP(C1126,[30]Лист_1!$A$10:$D$87,3,0)</f>
        <v>65487.729999999996</v>
      </c>
      <c r="H1126" s="950">
        <f>VLOOKUP(C1126,[30]Лист_1!$A$10:$D$87,4,0)</f>
        <v>15656.27</v>
      </c>
    </row>
    <row r="1127" spans="1:8" hidden="1">
      <c r="A1127" s="78" t="s">
        <v>819</v>
      </c>
      <c r="B1127" s="79">
        <f>B1122</f>
        <v>12</v>
      </c>
      <c r="C1127" s="92" t="s">
        <v>1137</v>
      </c>
      <c r="D1127" s="78" t="s">
        <v>821</v>
      </c>
      <c r="E1127" s="78" t="s">
        <v>822</v>
      </c>
      <c r="F1127" s="81">
        <v>1</v>
      </c>
      <c r="G1127" s="950">
        <v>193434</v>
      </c>
      <c r="H1127" s="950"/>
    </row>
    <row r="1128" spans="1:8" hidden="1">
      <c r="A1128" s="78" t="s">
        <v>819</v>
      </c>
      <c r="B1128" s="79">
        <f>B1124</f>
        <v>12</v>
      </c>
      <c r="C1128" s="91" t="s">
        <v>881</v>
      </c>
      <c r="D1128" s="78" t="s">
        <v>821</v>
      </c>
      <c r="E1128" s="91" t="s">
        <v>942</v>
      </c>
      <c r="F1128" s="81">
        <v>1</v>
      </c>
      <c r="G1128" s="950">
        <v>109000</v>
      </c>
      <c r="H1128" s="950"/>
    </row>
    <row r="1129" spans="1:8" hidden="1">
      <c r="A1129" s="78" t="s">
        <v>819</v>
      </c>
      <c r="B1129" s="79">
        <f>B1128</f>
        <v>12</v>
      </c>
      <c r="C1129" s="78" t="s">
        <v>1042</v>
      </c>
      <c r="D1129" s="78" t="s">
        <v>821</v>
      </c>
      <c r="E1129" s="78" t="s">
        <v>822</v>
      </c>
      <c r="F1129" s="81">
        <v>1</v>
      </c>
      <c r="G1129" s="950">
        <f>VLOOKUP(C1129,[30]Лист_1!$A$10:$D$87,3,0)</f>
        <v>105337</v>
      </c>
      <c r="H1129" s="950">
        <f>VLOOKUP(C1129,[30]Лист_1!$A$10:$D$87,4,0)</f>
        <v>25184</v>
      </c>
    </row>
    <row r="1130" spans="1:8" hidden="1">
      <c r="A1130" s="78" t="s">
        <v>819</v>
      </c>
      <c r="B1130" s="79">
        <f>B1129</f>
        <v>12</v>
      </c>
      <c r="C1130" s="90" t="s">
        <v>963</v>
      </c>
      <c r="D1130" s="78" t="s">
        <v>821</v>
      </c>
      <c r="E1130" s="78" t="s">
        <v>822</v>
      </c>
      <c r="F1130" s="81">
        <v>1</v>
      </c>
      <c r="G1130" s="950">
        <f>VLOOKUP(C1130,[30]Лист_1!$A$10:$D$87,3,0)</f>
        <v>75287</v>
      </c>
      <c r="H1130" s="950">
        <f>VLOOKUP(C1130,[30]Лист_1!$A$10:$D$87,4,0)</f>
        <v>17999.88</v>
      </c>
    </row>
    <row r="1131" spans="1:8" hidden="1">
      <c r="A1131" s="78" t="s">
        <v>819</v>
      </c>
      <c r="B1131" s="79">
        <f>B1130</f>
        <v>12</v>
      </c>
      <c r="C1131" s="91" t="s">
        <v>884</v>
      </c>
      <c r="D1131" s="78" t="s">
        <v>821</v>
      </c>
      <c r="E1131" s="78" t="s">
        <v>824</v>
      </c>
      <c r="F1131" s="81">
        <v>1</v>
      </c>
      <c r="G1131" s="950">
        <f>VLOOKUP(C1131,[30]Лист_1!$A$10:$D$87,3,0)</f>
        <v>84910</v>
      </c>
      <c r="H1131" s="950">
        <f>VLOOKUP(C1131,[30]Лист_1!$A$10:$D$87,4,0)</f>
        <v>20104.38</v>
      </c>
    </row>
    <row r="1132" spans="1:8" hidden="1">
      <c r="A1132" s="78" t="s">
        <v>819</v>
      </c>
      <c r="B1132" s="79">
        <f>B1129</f>
        <v>12</v>
      </c>
      <c r="C1132" s="90" t="s">
        <v>1250</v>
      </c>
      <c r="D1132" s="78" t="s">
        <v>821</v>
      </c>
      <c r="E1132" s="78" t="s">
        <v>822</v>
      </c>
      <c r="F1132" s="81">
        <v>1</v>
      </c>
      <c r="G1132" s="950">
        <f>VLOOKUP(C1132,[30]Лист_1!$A$10:$D$87,3,0)</f>
        <v>90145</v>
      </c>
      <c r="H1132" s="950">
        <f>VLOOKUP(C1132,[30]Лист_1!$A$10:$D$87,4,0)</f>
        <v>21551.969999999998</v>
      </c>
    </row>
    <row r="1133" spans="1:8" hidden="1">
      <c r="A1133" s="78" t="s">
        <v>819</v>
      </c>
      <c r="B1133" s="79">
        <f>B1130</f>
        <v>12</v>
      </c>
      <c r="C1133" s="80" t="s">
        <v>1053</v>
      </c>
      <c r="D1133" s="78" t="s">
        <v>821</v>
      </c>
      <c r="E1133" s="78" t="s">
        <v>836</v>
      </c>
      <c r="F1133" s="81">
        <v>1</v>
      </c>
      <c r="G1133" s="950">
        <f>VLOOKUP(C1133,[30]Лист_1!$A$10:$D$87,3,0)</f>
        <v>64638.33</v>
      </c>
      <c r="H1133" s="950">
        <f>VLOOKUP(C1133,[30]Лист_1!$A$10:$D$87,4,0)</f>
        <v>15454.19</v>
      </c>
    </row>
    <row r="1134" spans="1:8" hidden="1">
      <c r="A1134" s="78" t="s">
        <v>819</v>
      </c>
      <c r="B1134" s="79">
        <f>B1131</f>
        <v>12</v>
      </c>
      <c r="C1134" s="80" t="s">
        <v>886</v>
      </c>
      <c r="D1134" s="78" t="s">
        <v>821</v>
      </c>
      <c r="E1134" s="78" t="s">
        <v>822</v>
      </c>
      <c r="F1134" s="81">
        <v>1</v>
      </c>
      <c r="G1134" s="950">
        <f>VLOOKUP(C1134,[30]Лист_1!$A$10:$D$87,3,0)</f>
        <v>111350</v>
      </c>
      <c r="H1134" s="950">
        <f>VLOOKUP(C1134,[30]Лист_1!$A$10:$D$87,4,0)</f>
        <v>26622.14</v>
      </c>
    </row>
    <row r="1135" spans="1:8" hidden="1">
      <c r="A1135" s="78" t="s">
        <v>819</v>
      </c>
      <c r="B1135" s="79">
        <f>B1133</f>
        <v>12</v>
      </c>
      <c r="C1135" s="90" t="s">
        <v>1220</v>
      </c>
      <c r="D1135" s="78" t="s">
        <v>821</v>
      </c>
      <c r="E1135" s="78" t="s">
        <v>822</v>
      </c>
      <c r="F1135" s="81">
        <v>1</v>
      </c>
      <c r="G1135" s="950">
        <f>VLOOKUP(C1135,[30]Лист_1!$A$10:$D$87,3,0)</f>
        <v>65320</v>
      </c>
      <c r="H1135" s="950">
        <f>VLOOKUP(C1135,[30]Лист_1!$A$10:$D$87,4,0)</f>
        <v>15616.24</v>
      </c>
    </row>
    <row r="1136" spans="1:8" hidden="1">
      <c r="A1136" s="78" t="s">
        <v>819</v>
      </c>
      <c r="B1136" s="79">
        <f>B1134</f>
        <v>12</v>
      </c>
      <c r="C1136" s="91" t="s">
        <v>1167</v>
      </c>
      <c r="D1136" s="78" t="s">
        <v>821</v>
      </c>
      <c r="E1136" s="78" t="s">
        <v>824</v>
      </c>
      <c r="F1136" s="81">
        <v>1</v>
      </c>
      <c r="G1136" s="950">
        <f>VLOOKUP(C1136,[30]Лист_1!$A$10:$D$87,3,0)</f>
        <v>17000</v>
      </c>
      <c r="H1136" s="950">
        <f>VLOOKUP(C1136,[30]Лист_1!$A$10:$D$87,4,0)</f>
        <v>4026.12</v>
      </c>
    </row>
    <row r="1137" spans="1:8" hidden="1">
      <c r="A1137" s="78" t="s">
        <v>819</v>
      </c>
      <c r="B1137" s="79">
        <f>B1134</f>
        <v>12</v>
      </c>
      <c r="C1137" s="80" t="s">
        <v>888</v>
      </c>
      <c r="D1137" s="78" t="s">
        <v>821</v>
      </c>
      <c r="E1137" s="78" t="s">
        <v>822</v>
      </c>
      <c r="F1137" s="81">
        <v>1</v>
      </c>
      <c r="G1137" s="950">
        <f>VLOOKUP(C1137,[30]Лист_1!$A$10:$D$87,3,0)</f>
        <v>20000</v>
      </c>
      <c r="H1137" s="950">
        <f>VLOOKUP(C1137,[30]Лист_1!$A$10:$D$87,4,0)</f>
        <v>4782.1399999999994</v>
      </c>
    </row>
    <row r="1138" spans="1:8" hidden="1">
      <c r="A1138" s="78" t="s">
        <v>819</v>
      </c>
      <c r="B1138" s="79">
        <f t="shared" ref="B1138:B1142" si="44">B1137</f>
        <v>12</v>
      </c>
      <c r="C1138" s="84" t="s">
        <v>850</v>
      </c>
      <c r="D1138" s="78" t="s">
        <v>832</v>
      </c>
      <c r="E1138" s="78" t="s">
        <v>822</v>
      </c>
      <c r="F1138" s="81">
        <v>1</v>
      </c>
      <c r="G1138" s="950">
        <f>VLOOKUP(C1138,[30]Лист_1!$A$10:$D$87,3,0)</f>
        <v>95287</v>
      </c>
      <c r="H1138" s="950">
        <f>VLOOKUP(C1138,[30]Лист_1!$A$10:$D$87,4,0)</f>
        <v>22780.95</v>
      </c>
    </row>
    <row r="1139" spans="1:8" hidden="1">
      <c r="A1139" s="78" t="s">
        <v>819</v>
      </c>
      <c r="B1139" s="79">
        <f t="shared" si="44"/>
        <v>12</v>
      </c>
      <c r="C1139" s="78" t="s">
        <v>1192</v>
      </c>
      <c r="D1139" s="78" t="s">
        <v>821</v>
      </c>
      <c r="E1139" s="78" t="s">
        <v>829</v>
      </c>
      <c r="F1139" s="81">
        <v>1</v>
      </c>
      <c r="G1139" s="950">
        <f>VLOOKUP(C1139,[30]Лист_1!$A$10:$D$87,3,0)</f>
        <v>76676.179999999993</v>
      </c>
      <c r="H1139" s="950">
        <f>VLOOKUP(C1139,[30]Лист_1!$A$10:$D$87,4,0)</f>
        <v>18331.39</v>
      </c>
    </row>
    <row r="1140" spans="1:8" hidden="1">
      <c r="A1140" s="78" t="s">
        <v>910</v>
      </c>
      <c r="B1140" s="79">
        <f t="shared" si="44"/>
        <v>12</v>
      </c>
      <c r="C1140" s="91" t="s">
        <v>1097</v>
      </c>
      <c r="D1140" s="78" t="s">
        <v>821</v>
      </c>
      <c r="E1140" s="78" t="s">
        <v>172</v>
      </c>
      <c r="F1140" s="81">
        <v>1</v>
      </c>
      <c r="G1140" s="950">
        <f>VLOOKUP(C1140,[30]Лист_1!$A$10:$D$87,3,0)</f>
        <v>110309.42</v>
      </c>
      <c r="H1140" s="950">
        <f>VLOOKUP(C1140,[30]Лист_1!$A$10:$D$87,4,0)</f>
        <v>26371.72</v>
      </c>
    </row>
    <row r="1141" spans="1:8" ht="26.4" hidden="1">
      <c r="A1141" s="78" t="s">
        <v>910</v>
      </c>
      <c r="B1141" s="79">
        <f t="shared" si="44"/>
        <v>12</v>
      </c>
      <c r="C1141" s="92" t="s">
        <v>909</v>
      </c>
      <c r="D1141" s="78" t="s">
        <v>832</v>
      </c>
      <c r="E1141" s="78" t="s">
        <v>172</v>
      </c>
      <c r="F1141" s="81">
        <v>1</v>
      </c>
      <c r="G1141" s="950">
        <v>75000</v>
      </c>
      <c r="H1141" s="950">
        <v>17931.04</v>
      </c>
    </row>
    <row r="1142" spans="1:8" hidden="1">
      <c r="A1142" s="78" t="s">
        <v>905</v>
      </c>
      <c r="B1142" s="79">
        <f t="shared" si="44"/>
        <v>12</v>
      </c>
      <c r="C1142" s="78" t="s">
        <v>907</v>
      </c>
      <c r="D1142" s="78" t="s">
        <v>832</v>
      </c>
      <c r="E1142" s="78" t="s">
        <v>173</v>
      </c>
      <c r="F1142" s="81">
        <v>1</v>
      </c>
      <c r="G1142" s="950">
        <f>VLOOKUP(C1142,[30]Лист_1!$A$10:$D$87,3,0)+20000</f>
        <v>158820</v>
      </c>
      <c r="H1142" s="950">
        <f>VLOOKUP(C1142,[30]Лист_1!$A$10:$D$87,4,0)+4782.06</f>
        <v>37970.979999999996</v>
      </c>
    </row>
    <row r="1143" spans="1:8" ht="26.4" hidden="1">
      <c r="A1143" s="78" t="s">
        <v>905</v>
      </c>
      <c r="B1143" s="79">
        <f>B1142</f>
        <v>12</v>
      </c>
      <c r="C1143" s="92" t="s">
        <v>909</v>
      </c>
      <c r="D1143" s="78" t="s">
        <v>832</v>
      </c>
      <c r="E1143" s="78" t="s">
        <v>173</v>
      </c>
      <c r="F1143" s="81">
        <v>1</v>
      </c>
      <c r="G1143" s="950">
        <f>VLOOKUP(C1143,[30]Лист_1!$A$10:$D$87,3,0)-G1141</f>
        <v>236905</v>
      </c>
      <c r="H1143" s="950">
        <f>VLOOKUP(C1143,[30]Лист_1!$A$10:$D$87,4,0)-H1141</f>
        <v>65733.91</v>
      </c>
    </row>
    <row r="1144" spans="1:8" ht="26.4" hidden="1">
      <c r="A1144" s="78" t="s">
        <v>905</v>
      </c>
      <c r="B1144" s="79">
        <f>B1143</f>
        <v>12</v>
      </c>
      <c r="C1144" s="92" t="s">
        <v>1138</v>
      </c>
      <c r="D1144" s="78" t="s">
        <v>832</v>
      </c>
      <c r="E1144" s="78" t="s">
        <v>173</v>
      </c>
      <c r="F1144" s="81">
        <v>1</v>
      </c>
      <c r="G1144" s="950">
        <f>VLOOKUP(C1144,[30]Лист_1!$A$10:$D$87,3,0)</f>
        <v>93081</v>
      </c>
      <c r="H1144" s="950">
        <f>VLOOKUP(C1144,[30]Лист_1!$A$10:$D$87,4,0)</f>
        <v>22254.219999999998</v>
      </c>
    </row>
    <row r="1145" spans="1:8" hidden="1">
      <c r="A1145" s="91" t="s">
        <v>819</v>
      </c>
      <c r="B1145" s="79">
        <f>B1143</f>
        <v>12</v>
      </c>
      <c r="C1145" s="80" t="s">
        <v>1190</v>
      </c>
      <c r="D1145" s="78" t="s">
        <v>821</v>
      </c>
      <c r="E1145" s="963" t="s">
        <v>942</v>
      </c>
      <c r="F1145" s="81">
        <v>1</v>
      </c>
      <c r="G1145" s="950">
        <f>VLOOKUP(C1145,[30]Лист_1!$A$10:$D$87,3,0)</f>
        <v>230605</v>
      </c>
      <c r="H1145" s="950">
        <f>VLOOKUP(C1145,[30]Лист_1!$A$10:$D$87,4,0)</f>
        <v>55132.92</v>
      </c>
    </row>
    <row r="1146" spans="1:8" ht="26.4" hidden="1">
      <c r="A1146" s="78" t="s">
        <v>905</v>
      </c>
      <c r="B1146" s="79">
        <f>B1145</f>
        <v>12</v>
      </c>
      <c r="C1146" s="92" t="s">
        <v>962</v>
      </c>
      <c r="D1146" s="78" t="s">
        <v>832</v>
      </c>
      <c r="E1146" s="78" t="s">
        <v>173</v>
      </c>
      <c r="F1146" s="81">
        <v>1</v>
      </c>
      <c r="G1146" s="950">
        <f>VLOOKUP(C1146,[30]Лист_1!$A$10:$D$87,3,0)</f>
        <v>88585</v>
      </c>
      <c r="H1146" s="950">
        <f>VLOOKUP(C1146,[30]Лист_1!$A$10:$D$87,4,0)</f>
        <v>21179.11</v>
      </c>
    </row>
    <row r="1147" spans="1:8">
      <c r="A1147" s="78" t="s">
        <v>890</v>
      </c>
      <c r="B1147" s="79">
        <f>B1146</f>
        <v>12</v>
      </c>
      <c r="C1147" s="80" t="s">
        <v>891</v>
      </c>
      <c r="D1147" s="78" t="s">
        <v>832</v>
      </c>
      <c r="E1147" s="78" t="s">
        <v>210</v>
      </c>
      <c r="F1147" s="81">
        <v>1</v>
      </c>
      <c r="G1147" s="950">
        <f>VLOOKUP(C1147,[30]Лист_1!$A$10:$D$87,3,0)</f>
        <v>100050</v>
      </c>
      <c r="H1147" s="950">
        <f>VLOOKUP(C1147,[30]Лист_1!$A$10:$D$87,4,0)</f>
        <v>23920</v>
      </c>
    </row>
    <row r="1148" spans="1:8">
      <c r="A1148" s="78" t="s">
        <v>890</v>
      </c>
      <c r="B1148" s="79">
        <f>B1147</f>
        <v>12</v>
      </c>
      <c r="C1148" s="84" t="s">
        <v>892</v>
      </c>
      <c r="D1148" s="78" t="s">
        <v>832</v>
      </c>
      <c r="E1148" s="78" t="s">
        <v>210</v>
      </c>
      <c r="F1148" s="81">
        <v>1</v>
      </c>
      <c r="G1148" s="950">
        <f>VLOOKUP(C1148,[30]Лист_1!$A$10:$D$87,3,0)</f>
        <v>558112</v>
      </c>
      <c r="H1148" s="950">
        <f>VLOOKUP(C1148,[30]Лист_1!$A$10:$D$87,4,0)</f>
        <v>185708</v>
      </c>
    </row>
    <row r="1149" spans="1:8">
      <c r="A1149" s="78" t="s">
        <v>890</v>
      </c>
      <c r="B1149" s="79">
        <f>B1147</f>
        <v>12</v>
      </c>
      <c r="C1149" s="80" t="s">
        <v>1194</v>
      </c>
      <c r="D1149" s="78" t="s">
        <v>832</v>
      </c>
      <c r="E1149" s="78" t="s">
        <v>210</v>
      </c>
      <c r="F1149" s="81">
        <v>1</v>
      </c>
      <c r="G1149" s="950">
        <f>VLOOKUP(C1149,[30]Лист_1!$A$10:$D$87,3,0)</f>
        <v>160288</v>
      </c>
      <c r="H1149" s="950">
        <f>VLOOKUP(C1149,[30]Лист_1!$A$10:$D$87,4,0)</f>
        <v>38321.640000000007</v>
      </c>
    </row>
    <row r="1150" spans="1:8">
      <c r="A1150" s="78" t="s">
        <v>890</v>
      </c>
      <c r="B1150" s="79">
        <f>B1148</f>
        <v>12</v>
      </c>
      <c r="C1150" s="80" t="s">
        <v>894</v>
      </c>
      <c r="D1150" s="78" t="s">
        <v>832</v>
      </c>
      <c r="E1150" s="78" t="s">
        <v>210</v>
      </c>
      <c r="F1150" s="81">
        <v>1</v>
      </c>
      <c r="G1150" s="950">
        <f>VLOOKUP(C1150,[30]Лист_1!$A$10:$D$87,3,0)</f>
        <v>10505</v>
      </c>
      <c r="H1150" s="950">
        <f>VLOOKUP(C1150,[30]Лист_1!$A$10:$D$87,4,0)</f>
        <v>2487.6999999999998</v>
      </c>
    </row>
    <row r="1151" spans="1:8">
      <c r="A1151" s="78"/>
      <c r="B1151" s="78"/>
      <c r="C1151" s="80"/>
      <c r="D1151" s="78"/>
      <c r="E1151" s="81"/>
      <c r="F1151" s="256"/>
      <c r="G1151" s="256"/>
    </row>
    <row r="1152" spans="1:8">
      <c r="A1152" s="78"/>
      <c r="B1152" s="78"/>
      <c r="C1152" s="78"/>
      <c r="D1152" s="78"/>
      <c r="E1152" s="81"/>
      <c r="F1152" s="256"/>
      <c r="G1152" s="256"/>
    </row>
    <row r="1153" spans="1:7">
      <c r="A1153" s="78"/>
      <c r="B1153" s="78"/>
      <c r="C1153" s="78"/>
      <c r="D1153" s="78"/>
      <c r="E1153" s="81"/>
      <c r="F1153" s="256"/>
      <c r="G1153" s="256"/>
    </row>
    <row r="1154" spans="1:7">
      <c r="A1154" s="78"/>
      <c r="B1154" s="78"/>
      <c r="C1154" s="84"/>
      <c r="D1154" s="78"/>
      <c r="E1154" s="81"/>
      <c r="F1154" s="256"/>
      <c r="G1154" s="256"/>
    </row>
    <row r="1155" spans="1:7">
      <c r="A1155" s="78"/>
      <c r="B1155" s="78"/>
      <c r="C1155" s="84"/>
      <c r="D1155" s="78"/>
      <c r="E1155" s="81"/>
      <c r="F1155" s="256"/>
      <c r="G1155" s="256"/>
    </row>
    <row r="1156" spans="1:7">
      <c r="A1156" s="78"/>
      <c r="B1156" s="78"/>
      <c r="C1156" s="92"/>
      <c r="D1156" s="78"/>
      <c r="E1156" s="81"/>
      <c r="F1156" s="256"/>
      <c r="G1156" s="256"/>
    </row>
    <row r="1157" spans="1:7">
      <c r="A1157" s="78"/>
      <c r="B1157" s="78"/>
      <c r="C1157" s="78"/>
      <c r="D1157" s="78"/>
      <c r="E1157" s="81"/>
      <c r="F1157" s="256"/>
      <c r="G1157" s="256"/>
    </row>
    <row r="1158" spans="1:7">
      <c r="A1158" s="78"/>
      <c r="B1158" s="78"/>
      <c r="C1158" s="78"/>
      <c r="D1158" s="78"/>
      <c r="E1158" s="81"/>
      <c r="F1158" s="256"/>
      <c r="G1158" s="256"/>
    </row>
    <row r="1159" spans="1:7">
      <c r="A1159" s="91"/>
      <c r="B1159" s="78"/>
      <c r="C1159" s="90"/>
      <c r="D1159" s="78"/>
      <c r="E1159" s="81"/>
      <c r="F1159" s="256"/>
      <c r="G1159" s="256"/>
    </row>
    <row r="1160" spans="1:7">
      <c r="A1160" s="78"/>
      <c r="B1160" s="78"/>
      <c r="C1160" s="83"/>
      <c r="D1160" s="78"/>
      <c r="E1160" s="81"/>
      <c r="F1160" s="256"/>
      <c r="G1160" s="256"/>
    </row>
    <row r="1161" spans="1:7">
      <c r="A1161" s="78"/>
      <c r="B1161" s="78"/>
      <c r="C1161" s="93"/>
      <c r="D1161" s="78"/>
      <c r="E1161" s="81"/>
      <c r="F1161" s="256"/>
      <c r="G1161" s="146"/>
    </row>
    <row r="1162" spans="1:7">
      <c r="A1162" s="78"/>
      <c r="B1162" s="78"/>
      <c r="C1162" s="101"/>
      <c r="D1162" s="78"/>
      <c r="E1162" s="81"/>
      <c r="F1162" s="256"/>
      <c r="G1162" s="146"/>
    </row>
    <row r="1163" spans="1:7">
      <c r="A1163" s="78"/>
      <c r="B1163" s="78"/>
      <c r="C1163" s="78"/>
      <c r="D1163" s="78"/>
      <c r="E1163" s="81"/>
      <c r="F1163" s="256"/>
      <c r="G1163" s="256"/>
    </row>
  </sheetData>
  <autoFilter ref="A93:AB1150" xr:uid="{5438DA1A-1B9F-47F0-877E-80D1CCF8367F}">
    <filterColumn colId="0">
      <filters>
        <filter val="РУК"/>
      </filters>
    </filterColumn>
    <filterColumn colId="1">
      <filters>
        <filter val="12"/>
      </filters>
    </filterColumn>
    <sortState xmlns:xlrd2="http://schemas.microsoft.com/office/spreadsheetml/2017/richdata2" ref="A94:AB181">
      <sortCondition ref="A93"/>
    </sortState>
  </autoFilter>
  <mergeCells count="99">
    <mergeCell ref="G67:S67"/>
    <mergeCell ref="U54:U57"/>
    <mergeCell ref="A60:A64"/>
    <mergeCell ref="I60:I64"/>
    <mergeCell ref="A66:D66"/>
    <mergeCell ref="E66:H66"/>
    <mergeCell ref="T54:T57"/>
    <mergeCell ref="V54:V57"/>
    <mergeCell ref="A54:A57"/>
    <mergeCell ref="K54:K57"/>
    <mergeCell ref="L54:L57"/>
    <mergeCell ref="T32:T52"/>
    <mergeCell ref="U32:U52"/>
    <mergeCell ref="J38:J40"/>
    <mergeCell ref="B54:B57"/>
    <mergeCell ref="J54:J57"/>
    <mergeCell ref="R54:R57"/>
    <mergeCell ref="S54:S57"/>
    <mergeCell ref="R50:R52"/>
    <mergeCell ref="S50:S52"/>
    <mergeCell ref="S38:S40"/>
    <mergeCell ref="B41:B45"/>
    <mergeCell ref="J41:J45"/>
    <mergeCell ref="A32:A52"/>
    <mergeCell ref="J32:J36"/>
    <mergeCell ref="K32:K52"/>
    <mergeCell ref="S46:S49"/>
    <mergeCell ref="R41:R45"/>
    <mergeCell ref="J50:J52"/>
    <mergeCell ref="S41:S45"/>
    <mergeCell ref="B50:B52"/>
    <mergeCell ref="L32:L52"/>
    <mergeCell ref="S32:S36"/>
    <mergeCell ref="R32:R36"/>
    <mergeCell ref="B38:B40"/>
    <mergeCell ref="R38:R40"/>
    <mergeCell ref="B32:B36"/>
    <mergeCell ref="B46:B49"/>
    <mergeCell ref="J46:J49"/>
    <mergeCell ref="V32:V36"/>
    <mergeCell ref="V38:V40"/>
    <mergeCell ref="V41:V45"/>
    <mergeCell ref="V46:V49"/>
    <mergeCell ref="V50:V52"/>
    <mergeCell ref="R46:R49"/>
    <mergeCell ref="G2:L2"/>
    <mergeCell ref="O2:U2"/>
    <mergeCell ref="J4:J6"/>
    <mergeCell ref="L4:L31"/>
    <mergeCell ref="S4:S6"/>
    <mergeCell ref="U4:U31"/>
    <mergeCell ref="J7:J11"/>
    <mergeCell ref="S7:S11"/>
    <mergeCell ref="J13:J16"/>
    <mergeCell ref="S13:S16"/>
    <mergeCell ref="J17:J19"/>
    <mergeCell ref="S17:S19"/>
    <mergeCell ref="J20:J26"/>
    <mergeCell ref="S20:S26"/>
    <mergeCell ref="T4:T31"/>
    <mergeCell ref="S27:S31"/>
    <mergeCell ref="A4:A31"/>
    <mergeCell ref="B4:B6"/>
    <mergeCell ref="K4:K31"/>
    <mergeCell ref="R4:R6"/>
    <mergeCell ref="B7:B11"/>
    <mergeCell ref="R7:R11"/>
    <mergeCell ref="B13:B16"/>
    <mergeCell ref="B20:B26"/>
    <mergeCell ref="R20:R26"/>
    <mergeCell ref="B27:B31"/>
    <mergeCell ref="R27:R31"/>
    <mergeCell ref="J27:J31"/>
    <mergeCell ref="H4:H6"/>
    <mergeCell ref="R13:R16"/>
    <mergeCell ref="Q4:Q6"/>
    <mergeCell ref="P4:P6"/>
    <mergeCell ref="B17:B19"/>
    <mergeCell ref="R17:R19"/>
    <mergeCell ref="G4:G6"/>
    <mergeCell ref="O4:O6"/>
    <mergeCell ref="N4:N6"/>
    <mergeCell ref="I4:I6"/>
    <mergeCell ref="G178:G181"/>
    <mergeCell ref="G270:G274"/>
    <mergeCell ref="G360:G362"/>
    <mergeCell ref="G539:G541"/>
    <mergeCell ref="G448:G450"/>
    <mergeCell ref="G720:G722"/>
    <mergeCell ref="H720:H722"/>
    <mergeCell ref="G627:G629"/>
    <mergeCell ref="H627:H629"/>
    <mergeCell ref="H448:H450"/>
    <mergeCell ref="H360:H362"/>
    <mergeCell ref="H539:H541"/>
    <mergeCell ref="H270:H274"/>
    <mergeCell ref="G1063:G1066"/>
    <mergeCell ref="H1063:H1066"/>
    <mergeCell ref="H178:H181"/>
  </mergeCells>
  <phoneticPr fontId="29" type="noConversion"/>
  <pageMargins left="0.7" right="0.7" top="0.75" bottom="0.75" header="0.3" footer="0.3"/>
  <pageSetup paperSize="9" scale="21" fitToHeight="0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F1FAD-7030-4703-B526-9CABFB6B707A}">
  <dimension ref="A1:P824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P7" sqref="P7"/>
    </sheetView>
  </sheetViews>
  <sheetFormatPr defaultRowHeight="15"/>
  <cols>
    <col min="1" max="1" width="5.88671875" customWidth="1"/>
    <col min="2" max="2" width="47.33203125" customWidth="1"/>
    <col min="3" max="3" width="17.88671875" style="597" customWidth="1"/>
    <col min="4" max="4" width="16.6640625" style="611" customWidth="1"/>
    <col min="5" max="5" width="18.109375" style="611" customWidth="1"/>
    <col min="6" max="6" width="14.6640625" style="597" customWidth="1"/>
    <col min="7" max="7" width="14.109375" customWidth="1"/>
    <col min="8" max="8" width="14.33203125" style="597" customWidth="1"/>
    <col min="9" max="9" width="18.5546875" customWidth="1"/>
    <col min="10" max="10" width="14.5546875" style="597" customWidth="1"/>
    <col min="11" max="11" width="13.44140625" customWidth="1"/>
    <col min="12" max="12" width="13.6640625" style="597" customWidth="1"/>
    <col min="13" max="13" width="14.5546875" customWidth="1"/>
    <col min="14" max="14" width="13.44140625" style="611" customWidth="1"/>
    <col min="15" max="15" width="13.33203125" style="611" customWidth="1"/>
    <col min="16" max="16" width="15.33203125" style="933" customWidth="1"/>
  </cols>
  <sheetData>
    <row r="1" spans="1:16">
      <c r="A1" s="102"/>
      <c r="B1" s="103"/>
      <c r="C1" s="799"/>
      <c r="D1" s="1794"/>
      <c r="E1" s="1795"/>
      <c r="F1" s="1795"/>
      <c r="G1" s="1795"/>
      <c r="H1" s="1795"/>
      <c r="I1" s="1795"/>
      <c r="J1" s="1795"/>
      <c r="K1" s="1795"/>
      <c r="L1" s="1795"/>
      <c r="M1" s="1795"/>
      <c r="N1" s="1795"/>
      <c r="O1" s="1795"/>
      <c r="P1" s="932"/>
    </row>
    <row r="2" spans="1:16" ht="17.399999999999999">
      <c r="A2" s="95"/>
      <c r="B2" s="1" t="s">
        <v>482</v>
      </c>
      <c r="C2" s="800">
        <f>D7+E7+F7+G7+H7+I7+J7+K7+L7+M7+N7+O7</f>
        <v>194952340.52181536</v>
      </c>
      <c r="D2" s="826"/>
      <c r="E2" s="813"/>
      <c r="F2" s="810"/>
      <c r="G2" s="98"/>
      <c r="H2" s="807"/>
      <c r="I2" s="98"/>
      <c r="J2" s="807"/>
      <c r="K2" s="98"/>
      <c r="L2" s="807"/>
      <c r="M2" s="98"/>
      <c r="N2" s="813"/>
      <c r="O2" s="813"/>
    </row>
    <row r="3" spans="1:16" ht="17.399999999999999">
      <c r="A3" s="95"/>
      <c r="B3" s="1" t="s">
        <v>483</v>
      </c>
      <c r="C3" s="800">
        <f>O24</f>
        <v>53778631.535699978</v>
      </c>
      <c r="D3" s="818"/>
      <c r="E3" s="813"/>
      <c r="F3" s="807"/>
      <c r="G3" s="98"/>
      <c r="H3" s="807"/>
      <c r="I3" s="98"/>
      <c r="J3" s="807"/>
      <c r="K3" s="98"/>
      <c r="L3" s="807"/>
      <c r="M3" s="98"/>
      <c r="N3" s="813"/>
      <c r="O3" s="813"/>
    </row>
    <row r="4" spans="1:16" ht="17.399999999999999">
      <c r="A4" s="95"/>
      <c r="B4" s="1" t="s">
        <v>791</v>
      </c>
      <c r="C4" s="931">
        <f>C3/C2</f>
        <v>0.27585527514957991</v>
      </c>
      <c r="D4" s="813"/>
      <c r="E4" s="813"/>
      <c r="F4" s="807"/>
      <c r="G4" s="98"/>
      <c r="H4" s="807"/>
      <c r="I4" s="98"/>
      <c r="J4" s="807"/>
      <c r="K4" s="98"/>
      <c r="L4" s="807"/>
      <c r="M4" s="98"/>
      <c r="N4" s="813"/>
      <c r="O4" s="813"/>
    </row>
    <row r="5" spans="1:16" ht="17.399999999999999">
      <c r="A5" s="95"/>
      <c r="B5" s="2"/>
      <c r="C5" s="801"/>
      <c r="D5" s="814" t="s">
        <v>63</v>
      </c>
      <c r="E5" s="814" t="s">
        <v>63</v>
      </c>
      <c r="F5" s="808" t="s">
        <v>63</v>
      </c>
      <c r="G5" s="794" t="s">
        <v>63</v>
      </c>
      <c r="H5" s="808" t="s">
        <v>63</v>
      </c>
      <c r="I5" s="794" t="s">
        <v>63</v>
      </c>
      <c r="J5" s="808" t="s">
        <v>63</v>
      </c>
      <c r="K5" s="794" t="s">
        <v>63</v>
      </c>
      <c r="L5" s="808" t="s">
        <v>63</v>
      </c>
      <c r="M5" s="794" t="s">
        <v>63</v>
      </c>
      <c r="N5" s="814" t="s">
        <v>63</v>
      </c>
      <c r="O5" s="814" t="s">
        <v>63</v>
      </c>
      <c r="P5" s="934" t="s">
        <v>337</v>
      </c>
    </row>
    <row r="6" spans="1:16" ht="18" thickBot="1">
      <c r="A6" s="95"/>
      <c r="B6" s="104" t="s">
        <v>0</v>
      </c>
      <c r="C6" s="801"/>
      <c r="D6" s="815">
        <v>1</v>
      </c>
      <c r="E6" s="815">
        <v>2</v>
      </c>
      <c r="F6" s="809">
        <v>3</v>
      </c>
      <c r="G6" s="795">
        <v>4</v>
      </c>
      <c r="H6" s="809">
        <v>5</v>
      </c>
      <c r="I6" s="795">
        <v>6</v>
      </c>
      <c r="J6" s="809">
        <v>7</v>
      </c>
      <c r="K6" s="795">
        <v>8</v>
      </c>
      <c r="L6" s="809">
        <v>9</v>
      </c>
      <c r="M6" s="795">
        <v>10</v>
      </c>
      <c r="N6" s="815">
        <v>11</v>
      </c>
      <c r="O6" s="815">
        <v>12</v>
      </c>
      <c r="P6" s="935" t="s">
        <v>813</v>
      </c>
    </row>
    <row r="7" spans="1:16" ht="18" thickBot="1">
      <c r="A7" s="836"/>
      <c r="B7" s="837" t="s">
        <v>1</v>
      </c>
      <c r="C7" s="838"/>
      <c r="D7" s="839">
        <f>Фин.модель!D9</f>
        <v>12422913.73493143</v>
      </c>
      <c r="E7" s="839">
        <f>Фин.модель!F9</f>
        <v>12630400.42539089</v>
      </c>
      <c r="F7" s="839">
        <f>Фин.модель!H9</f>
        <v>16723252.901935209</v>
      </c>
      <c r="G7" s="839">
        <f>Фин.модель!J9</f>
        <v>15989617.398138817</v>
      </c>
      <c r="H7" s="839">
        <f>Фин.модель!L9</f>
        <v>15585392.972781209</v>
      </c>
      <c r="I7" s="839">
        <f>Фин.модель!N9</f>
        <v>14875071.603710426</v>
      </c>
      <c r="J7" s="839">
        <f>Фин.модель!P9</f>
        <v>15830169.32014871</v>
      </c>
      <c r="K7" s="839">
        <f>Фин.модель!R9</f>
        <v>16353370.38557478</v>
      </c>
      <c r="L7" s="839">
        <f>Фин.модель!T9</f>
        <v>17801453.48729429</v>
      </c>
      <c r="M7" s="839">
        <f>Фин.модель!V9</f>
        <v>18362765.451205842</v>
      </c>
      <c r="N7" s="839">
        <f>Фин.модель!X9</f>
        <v>19010717.363473043</v>
      </c>
      <c r="O7" s="839">
        <f>Фин.модель!Z9</f>
        <v>19367215.477230728</v>
      </c>
      <c r="P7" s="936">
        <f>SUM(D7:O7)</f>
        <v>194952340.52181536</v>
      </c>
    </row>
    <row r="8" spans="1:16" ht="16.2" thickBot="1">
      <c r="A8" s="883"/>
      <c r="B8" s="884" t="s">
        <v>814</v>
      </c>
      <c r="C8" s="885"/>
      <c r="D8" s="886">
        <f>Фин.модель!D10</f>
        <v>38.706140350877192</v>
      </c>
      <c r="E8" s="886">
        <f>Фин.модель!F10</f>
        <v>38.706140350877192</v>
      </c>
      <c r="F8" s="886">
        <f>Фин.модель!H10</f>
        <v>38.706140350877192</v>
      </c>
      <c r="G8" s="886">
        <f>Фин.модель!J10</f>
        <v>54.495614035087719</v>
      </c>
      <c r="H8" s="886">
        <f>Фин.модель!L10</f>
        <v>54.495614035087719</v>
      </c>
      <c r="I8" s="886">
        <f>Фин.модель!N10</f>
        <v>54.495614035087719</v>
      </c>
      <c r="J8" s="886">
        <f>Фин.модель!P10</f>
        <v>76.535087719298247</v>
      </c>
      <c r="K8" s="886">
        <f>Фин.модель!R10</f>
        <v>70.285087719298247</v>
      </c>
      <c r="L8" s="886">
        <f>Фин.модель!T10</f>
        <v>70.285087719298247</v>
      </c>
      <c r="M8" s="886">
        <f>Фин.модель!V10</f>
        <v>86.074561403508767</v>
      </c>
      <c r="N8" s="886">
        <f>Фин.модель!X10</f>
        <v>86.074561403508767</v>
      </c>
      <c r="O8" s="886">
        <f>Фин.модель!Z10</f>
        <v>86.074561403508767</v>
      </c>
      <c r="P8" s="937">
        <f>SUM(D8:O8)</f>
        <v>754.93421052631584</v>
      </c>
    </row>
    <row r="9" spans="1:16" s="897" customFormat="1" ht="15.6" thickBot="1">
      <c r="A9" s="894"/>
      <c r="B9" s="895" t="s">
        <v>808</v>
      </c>
      <c r="C9" s="896"/>
      <c r="D9" s="894">
        <f>Фин.модель!D35</f>
        <v>875000</v>
      </c>
      <c r="E9" s="894">
        <f>Фин.модель!F35</f>
        <v>875000</v>
      </c>
      <c r="F9" s="894">
        <f>Фин.модель!H35</f>
        <v>3035000</v>
      </c>
      <c r="G9" s="894">
        <f>Фин.модель!J35</f>
        <v>3230000</v>
      </c>
      <c r="H9" s="894">
        <f>Фин.модель!L35</f>
        <v>3230000</v>
      </c>
      <c r="I9" s="894">
        <f>Фин.модель!N35</f>
        <v>3230000</v>
      </c>
      <c r="J9" s="894">
        <f>Фин.модель!P35</f>
        <v>15527000</v>
      </c>
      <c r="K9" s="894">
        <f>Фин.модель!R35</f>
        <v>3527000</v>
      </c>
      <c r="L9" s="894">
        <f>Фин.модель!T35</f>
        <v>3527000</v>
      </c>
      <c r="M9" s="894">
        <f>Фин.модель!V35</f>
        <v>3839300</v>
      </c>
      <c r="N9" s="894">
        <f>Фин.модель!X35</f>
        <v>3839300</v>
      </c>
      <c r="O9" s="894">
        <f>Фин.модель!Z35</f>
        <v>3839300</v>
      </c>
      <c r="P9" s="938">
        <f>SUM(D9:O9)</f>
        <v>48573900</v>
      </c>
    </row>
    <row r="10" spans="1:16" s="31" customFormat="1" ht="17.399999999999999">
      <c r="A10" s="887"/>
      <c r="B10" s="67" t="s">
        <v>4</v>
      </c>
      <c r="C10" s="804"/>
      <c r="D10" s="888">
        <f>Фин.модель!D58</f>
        <v>-6250610.1885057464</v>
      </c>
      <c r="E10" s="888">
        <f>Фин.модель!F58</f>
        <v>-6337829.8245800175</v>
      </c>
      <c r="F10" s="888">
        <f>Фин.модель!H58</f>
        <v>-6381703.2252136748</v>
      </c>
      <c r="G10" s="888">
        <f>Фин.модель!J58</f>
        <v>-6381703.0924108457</v>
      </c>
      <c r="H10" s="888">
        <f>Фин.модель!L58</f>
        <v>-6381703.0924108457</v>
      </c>
      <c r="I10" s="888">
        <f>Фин.модель!N58</f>
        <v>-6381703.0924108457</v>
      </c>
      <c r="J10" s="888">
        <f>Фин.модель!P58</f>
        <v>-6381703.0924108457</v>
      </c>
      <c r="K10" s="888">
        <f>Фин.модель!R58</f>
        <v>-6381703.0924108457</v>
      </c>
      <c r="L10" s="888">
        <f>Фин.модель!T58</f>
        <v>-7282151.0302694151</v>
      </c>
      <c r="M10" s="888">
        <f>Фин.модель!V58</f>
        <v>-7450376.1812760523</v>
      </c>
      <c r="N10" s="888">
        <f>Фин.модель!X58</f>
        <v>-7624290.0513502881</v>
      </c>
      <c r="O10" s="888">
        <f>Фин.модель!Z58</f>
        <v>-7804096.9411358666</v>
      </c>
      <c r="P10" s="939">
        <f>SUM(D10:O10)</f>
        <v>-81039572.904385298</v>
      </c>
    </row>
    <row r="11" spans="1:16" s="77" customFormat="1" ht="17.399999999999999">
      <c r="A11" s="898"/>
      <c r="B11" s="899" t="s">
        <v>5</v>
      </c>
      <c r="C11" s="900"/>
      <c r="D11" s="901">
        <f>Фин.модель!D70</f>
        <v>6172303.5464256834</v>
      </c>
      <c r="E11" s="901">
        <f>Фин.модель!F70</f>
        <v>6292570.6008108724</v>
      </c>
      <c r="F11" s="901">
        <f>Фин.модель!H70</f>
        <v>10341549.676721534</v>
      </c>
      <c r="G11" s="901">
        <f>Фин.модель!J70</f>
        <v>9607914.3057279717</v>
      </c>
      <c r="H11" s="901">
        <f>Фин.модель!L70</f>
        <v>9203689.8803703636</v>
      </c>
      <c r="I11" s="901">
        <f>Фин.модель!N70</f>
        <v>8493368.5112995803</v>
      </c>
      <c r="J11" s="901">
        <f>Фин.модель!P70</f>
        <v>9448466.2277378645</v>
      </c>
      <c r="K11" s="901">
        <f>Фин.модель!R70</f>
        <v>9971667.2931639347</v>
      </c>
      <c r="L11" s="901">
        <f>Фин.модель!T70</f>
        <v>10519302.457024876</v>
      </c>
      <c r="M11" s="901">
        <f>Фин.модель!V70</f>
        <v>10912389.269929789</v>
      </c>
      <c r="N11" s="901">
        <f>Фин.модель!X70</f>
        <v>11386427.312122755</v>
      </c>
      <c r="O11" s="901">
        <f>Фин.модель!Z70</f>
        <v>11563118.536094861</v>
      </c>
      <c r="P11" s="940">
        <f>SUM(D11:O11)</f>
        <v>113912767.61743011</v>
      </c>
    </row>
    <row r="12" spans="1:16" s="77" customFormat="1" ht="13.8">
      <c r="A12" s="902"/>
      <c r="B12" s="903" t="s">
        <v>6</v>
      </c>
      <c r="C12" s="904"/>
      <c r="D12" s="905">
        <f t="shared" ref="D12:P12" si="0">D11/D7</f>
        <v>0.49684829808244274</v>
      </c>
      <c r="E12" s="905">
        <f t="shared" si="0"/>
        <v>0.49820832189618625</v>
      </c>
      <c r="F12" s="906">
        <f t="shared" si="0"/>
        <v>0.61839342724553392</v>
      </c>
      <c r="G12" s="907">
        <f t="shared" si="0"/>
        <v>0.60088456568362469</v>
      </c>
      <c r="H12" s="906">
        <f t="shared" si="0"/>
        <v>0.59053306493098756</v>
      </c>
      <c r="I12" s="907">
        <f t="shared" si="0"/>
        <v>0.57098000853864805</v>
      </c>
      <c r="J12" s="906">
        <f t="shared" si="0"/>
        <v>0.59686450831020577</v>
      </c>
      <c r="K12" s="907">
        <f t="shared" si="0"/>
        <v>0.60976221158421806</v>
      </c>
      <c r="L12" s="906">
        <f t="shared" si="0"/>
        <v>0.59092379532564476</v>
      </c>
      <c r="M12" s="907">
        <f t="shared" si="0"/>
        <v>0.59426720332112049</v>
      </c>
      <c r="N12" s="905">
        <f t="shared" si="0"/>
        <v>0.59894779846658996</v>
      </c>
      <c r="O12" s="905">
        <f t="shared" si="0"/>
        <v>0.5970460002207939</v>
      </c>
      <c r="P12" s="941">
        <f t="shared" si="0"/>
        <v>0.58431084906458541</v>
      </c>
    </row>
    <row r="13" spans="1:16" s="77" customFormat="1" ht="16.2" customHeight="1">
      <c r="A13" s="908"/>
      <c r="B13" s="909"/>
      <c r="C13" s="910"/>
      <c r="D13" s="911"/>
      <c r="E13" s="911"/>
      <c r="F13" s="912"/>
      <c r="G13" s="909"/>
      <c r="H13" s="912"/>
      <c r="I13" s="909"/>
      <c r="J13" s="912"/>
      <c r="K13" s="909"/>
      <c r="L13" s="912"/>
      <c r="M13" s="909"/>
      <c r="N13" s="911"/>
      <c r="O13" s="911"/>
      <c r="P13" s="942"/>
    </row>
    <row r="14" spans="1:16" s="31" customFormat="1" ht="17.399999999999999">
      <c r="A14" s="887"/>
      <c r="B14" s="67" t="s">
        <v>7</v>
      </c>
      <c r="C14" s="804"/>
      <c r="D14" s="888">
        <f>Фин.модель!D73</f>
        <v>-4434898.3060155623</v>
      </c>
      <c r="E14" s="888">
        <f>Фин.модель!F73</f>
        <v>-4693431.2811407261</v>
      </c>
      <c r="F14" s="888">
        <f>Фин.модель!H73</f>
        <v>-4763938.2980074231</v>
      </c>
      <c r="G14" s="888">
        <f>Фин.модель!J73</f>
        <v>-4744130.1394049209</v>
      </c>
      <c r="H14" s="888">
        <f>Фин.модель!L73</f>
        <v>-5028216.0799202649</v>
      </c>
      <c r="I14" s="888">
        <f>Фин.модель!N73</f>
        <v>-4714037.4029553533</v>
      </c>
      <c r="J14" s="888">
        <f>Фин.модель!P73</f>
        <v>-4659825.0412991866</v>
      </c>
      <c r="K14" s="888">
        <f>Фин.модель!R73</f>
        <v>-4673951.4700656906</v>
      </c>
      <c r="L14" s="888">
        <f>Фин.модель!T73</f>
        <v>-4713049.7138121184</v>
      </c>
      <c r="M14" s="888">
        <f>Фин.модель!V73</f>
        <v>-4728205.1368377302</v>
      </c>
      <c r="N14" s="888">
        <f>Фин.модель!X73</f>
        <v>-5290699.8384689447</v>
      </c>
      <c r="O14" s="888">
        <f>Фин.модель!Z73</f>
        <v>-5350325.2875404023</v>
      </c>
      <c r="P14" s="939">
        <f>SUM(D14:O14)</f>
        <v>-57794707.995468318</v>
      </c>
    </row>
    <row r="15" spans="1:16" s="77" customFormat="1">
      <c r="A15" s="913"/>
      <c r="B15" s="914" t="s">
        <v>8</v>
      </c>
      <c r="C15" s="915"/>
      <c r="D15" s="916">
        <f>Фин.модель!D74</f>
        <v>-3101044.1642500707</v>
      </c>
      <c r="E15" s="916">
        <f>Фин.модель!F74</f>
        <v>-3261873.9110119082</v>
      </c>
      <c r="F15" s="916">
        <f>Фин.модель!H74</f>
        <v>-3238245.3209180855</v>
      </c>
      <c r="G15" s="916">
        <f>Фин.модель!J74</f>
        <v>-3235310.7789028999</v>
      </c>
      <c r="H15" s="916">
        <f>Фин.модель!L74</f>
        <v>-3528693.8812014693</v>
      </c>
      <c r="I15" s="916">
        <f>Фин.модель!N74</f>
        <v>-3230852.5957251862</v>
      </c>
      <c r="J15" s="916">
        <f>Фин.модель!P74</f>
        <v>-3154672.9865909391</v>
      </c>
      <c r="K15" s="916">
        <f>Фин.модель!R74</f>
        <v>-3156765.7908526435</v>
      </c>
      <c r="L15" s="916">
        <f>Фин.модель!T74</f>
        <v>-3162558.1232595216</v>
      </c>
      <c r="M15" s="916">
        <f>Фин.модель!V74</f>
        <v>-3164803.3711151681</v>
      </c>
      <c r="N15" s="916">
        <f>Фин.модель!X74</f>
        <v>-3712395.1787642366</v>
      </c>
      <c r="O15" s="916">
        <f>Фин.модель!Z74</f>
        <v>-3763821.1712192674</v>
      </c>
      <c r="P15" s="940">
        <f>SUM(D15:O15)</f>
        <v>-39711037.273811392</v>
      </c>
    </row>
    <row r="16" spans="1:16" s="77" customFormat="1" ht="15.6" thickBot="1">
      <c r="A16" s="917"/>
      <c r="B16" s="914" t="s">
        <v>11</v>
      </c>
      <c r="C16" s="915"/>
      <c r="D16" s="916">
        <f>Фин.модель!D95</f>
        <v>-1333854.1417654916</v>
      </c>
      <c r="E16" s="916">
        <f>Фин.модель!F95</f>
        <v>-1431557.3701288179</v>
      </c>
      <c r="F16" s="916">
        <f>Фин.модель!H95</f>
        <v>-1525692.9770893375</v>
      </c>
      <c r="G16" s="916">
        <f>Фин.модель!J95</f>
        <v>-1508819.3605020205</v>
      </c>
      <c r="H16" s="916">
        <f>Фин.модель!L95</f>
        <v>-1499522.1987187953</v>
      </c>
      <c r="I16" s="916">
        <f>Фин.модель!N95</f>
        <v>-1483184.8072301673</v>
      </c>
      <c r="J16" s="916">
        <f>Фин.модель!P95</f>
        <v>-1505152.0547082478</v>
      </c>
      <c r="K16" s="916">
        <f>Фин.модель!R95</f>
        <v>-1517185.6792130475</v>
      </c>
      <c r="L16" s="916">
        <f>Фин.модель!T95</f>
        <v>-1550491.5905525964</v>
      </c>
      <c r="M16" s="916">
        <f>Фин.модель!V95</f>
        <v>-1563401.7657225619</v>
      </c>
      <c r="N16" s="916">
        <f>Фин.модель!X95</f>
        <v>-1578304.6597047076</v>
      </c>
      <c r="O16" s="916">
        <f>Фин.модель!Z95</f>
        <v>-1586504.1163211344</v>
      </c>
      <c r="P16" s="940">
        <f>SUM(D16:O16)</f>
        <v>-18083670.721656926</v>
      </c>
    </row>
    <row r="17" spans="1:16" ht="18" thickBot="1">
      <c r="A17" s="890"/>
      <c r="B17" s="891" t="s">
        <v>812</v>
      </c>
      <c r="C17" s="892"/>
      <c r="D17" s="893">
        <f t="shared" ref="D17:O17" si="1">D10+D14</f>
        <v>-10685508.494521309</v>
      </c>
      <c r="E17" s="893">
        <f t="shared" si="1"/>
        <v>-11031261.105720744</v>
      </c>
      <c r="F17" s="893">
        <f t="shared" si="1"/>
        <v>-11145641.523221098</v>
      </c>
      <c r="G17" s="893">
        <f t="shared" si="1"/>
        <v>-11125833.231815767</v>
      </c>
      <c r="H17" s="893">
        <f t="shared" si="1"/>
        <v>-11409919.17233111</v>
      </c>
      <c r="I17" s="893">
        <f t="shared" si="1"/>
        <v>-11095740.495366199</v>
      </c>
      <c r="J17" s="893">
        <f t="shared" si="1"/>
        <v>-11041528.133710032</v>
      </c>
      <c r="K17" s="893">
        <f t="shared" si="1"/>
        <v>-11055654.562476536</v>
      </c>
      <c r="L17" s="893">
        <f t="shared" si="1"/>
        <v>-11995200.744081534</v>
      </c>
      <c r="M17" s="893">
        <f t="shared" si="1"/>
        <v>-12178581.318113782</v>
      </c>
      <c r="N17" s="893">
        <f t="shared" si="1"/>
        <v>-12914989.889819233</v>
      </c>
      <c r="O17" s="893">
        <f t="shared" si="1"/>
        <v>-13154422.228676269</v>
      </c>
      <c r="P17" s="943">
        <f>SUM(D17:O17)</f>
        <v>-138834280.89985359</v>
      </c>
    </row>
    <row r="18" spans="1:16" s="889" customFormat="1" ht="18" thickBot="1">
      <c r="A18" s="836"/>
      <c r="B18" s="837" t="s">
        <v>13</v>
      </c>
      <c r="C18" s="838"/>
      <c r="D18" s="839">
        <f>D11+D14</f>
        <v>1737405.2404101212</v>
      </c>
      <c r="E18" s="839">
        <f t="shared" ref="E18:O18" si="2">E11+E14</f>
        <v>1599139.3196701463</v>
      </c>
      <c r="F18" s="839">
        <f t="shared" si="2"/>
        <v>5577611.3787141107</v>
      </c>
      <c r="G18" s="839">
        <f t="shared" si="2"/>
        <v>4863784.1663230509</v>
      </c>
      <c r="H18" s="839">
        <f t="shared" si="2"/>
        <v>4175473.8004500987</v>
      </c>
      <c r="I18" s="839">
        <f t="shared" si="2"/>
        <v>3779331.1083442271</v>
      </c>
      <c r="J18" s="839">
        <f t="shared" si="2"/>
        <v>4788641.1864386778</v>
      </c>
      <c r="K18" s="839">
        <f t="shared" si="2"/>
        <v>5297715.8230982441</v>
      </c>
      <c r="L18" s="839">
        <f t="shared" si="2"/>
        <v>5806252.7432127576</v>
      </c>
      <c r="M18" s="839">
        <f t="shared" si="2"/>
        <v>6184184.1330920588</v>
      </c>
      <c r="N18" s="839">
        <f t="shared" si="2"/>
        <v>6095727.4736538101</v>
      </c>
      <c r="O18" s="839">
        <f t="shared" si="2"/>
        <v>6212793.2485544588</v>
      </c>
      <c r="P18" s="944">
        <f>P7+P17</f>
        <v>56118059.621961772</v>
      </c>
    </row>
    <row r="19" spans="1:16">
      <c r="A19" s="2"/>
      <c r="B19" s="2" t="s">
        <v>14</v>
      </c>
      <c r="C19" s="805"/>
      <c r="D19" s="820">
        <f t="shared" ref="D19:O19" si="3">D18/D7</f>
        <v>0.13985489052578623</v>
      </c>
      <c r="E19" s="820">
        <f t="shared" si="3"/>
        <v>0.12661034217532779</v>
      </c>
      <c r="F19" s="812">
        <f t="shared" si="3"/>
        <v>0.33352430961973145</v>
      </c>
      <c r="G19" s="798">
        <f t="shared" si="3"/>
        <v>0.30418389916504146</v>
      </c>
      <c r="H19" s="812">
        <f t="shared" si="3"/>
        <v>0.2679094333869072</v>
      </c>
      <c r="I19" s="798">
        <f t="shared" si="3"/>
        <v>0.25407145653009922</v>
      </c>
      <c r="J19" s="812">
        <f t="shared" si="3"/>
        <v>0.30250094547906536</v>
      </c>
      <c r="K19" s="798">
        <f t="shared" si="3"/>
        <v>0.32395253688935771</v>
      </c>
      <c r="L19" s="812">
        <f t="shared" si="3"/>
        <v>0.32616734062513181</v>
      </c>
      <c r="M19" s="798">
        <f t="shared" si="3"/>
        <v>0.33677847432756686</v>
      </c>
      <c r="N19" s="820">
        <f t="shared" si="3"/>
        <v>0.32064689391290752</v>
      </c>
      <c r="O19" s="820">
        <f t="shared" si="3"/>
        <v>0.32078918396186562</v>
      </c>
    </row>
    <row r="20" spans="1:16">
      <c r="A20" s="3"/>
      <c r="B20" s="3"/>
      <c r="C20" s="803"/>
      <c r="D20" s="817"/>
      <c r="E20" s="817"/>
      <c r="F20" s="806"/>
      <c r="G20" s="3"/>
      <c r="H20" s="806"/>
      <c r="I20" s="3"/>
      <c r="J20" s="806"/>
      <c r="K20" s="3"/>
      <c r="L20" s="806"/>
      <c r="M20" s="3"/>
      <c r="N20" s="817"/>
      <c r="O20" s="817"/>
    </row>
    <row r="21" spans="1:16" s="31" customFormat="1">
      <c r="A21" s="35"/>
      <c r="B21" s="35" t="s">
        <v>15</v>
      </c>
      <c r="C21" s="948">
        <v>1.2E-2</v>
      </c>
      <c r="D21" s="819">
        <f>-D7*$C$21</f>
        <v>-149074.96481917717</v>
      </c>
      <c r="E21" s="819">
        <f t="shared" ref="E21:O21" si="4">-E7*$C$21</f>
        <v>-151564.80510469069</v>
      </c>
      <c r="F21" s="811">
        <f t="shared" si="4"/>
        <v>-200679.03482322249</v>
      </c>
      <c r="G21" s="797">
        <f t="shared" si="4"/>
        <v>-191875.40877766581</v>
      </c>
      <c r="H21" s="811">
        <f t="shared" si="4"/>
        <v>-187024.71567337451</v>
      </c>
      <c r="I21" s="797">
        <f t="shared" si="4"/>
        <v>-178500.85924452511</v>
      </c>
      <c r="J21" s="811">
        <f t="shared" si="4"/>
        <v>-189962.03184178451</v>
      </c>
      <c r="K21" s="797">
        <f t="shared" si="4"/>
        <v>-196240.44462689737</v>
      </c>
      <c r="L21" s="811">
        <f t="shared" si="4"/>
        <v>-213617.44184753147</v>
      </c>
      <c r="M21" s="797">
        <f t="shared" si="4"/>
        <v>-220353.18541447012</v>
      </c>
      <c r="N21" s="819">
        <f t="shared" si="4"/>
        <v>-228128.60836167651</v>
      </c>
      <c r="O21" s="819">
        <f t="shared" si="4"/>
        <v>-232406.58572676874</v>
      </c>
      <c r="P21" s="939">
        <f>SUM(D21:O21)</f>
        <v>-2339428.0862617847</v>
      </c>
    </row>
    <row r="22" spans="1:16" ht="17.399999999999999">
      <c r="A22" s="39"/>
      <c r="B22" s="38" t="s">
        <v>18</v>
      </c>
      <c r="C22" s="802"/>
      <c r="D22" s="816">
        <f>D7+D17+D21</f>
        <v>1588330.2755909441</v>
      </c>
      <c r="E22" s="816">
        <f t="shared" ref="E22:O22" si="5">E7+E17+E21</f>
        <v>1447574.5145654557</v>
      </c>
      <c r="F22" s="816">
        <f t="shared" si="5"/>
        <v>5376932.3438908886</v>
      </c>
      <c r="G22" s="816">
        <f t="shared" si="5"/>
        <v>4671908.7575453855</v>
      </c>
      <c r="H22" s="816">
        <f t="shared" si="5"/>
        <v>3988449.0847767252</v>
      </c>
      <c r="I22" s="816">
        <f t="shared" si="5"/>
        <v>3600830.2490997021</v>
      </c>
      <c r="J22" s="816">
        <f t="shared" si="5"/>
        <v>4598679.1545968931</v>
      </c>
      <c r="K22" s="816">
        <f t="shared" si="5"/>
        <v>5101475.3784713466</v>
      </c>
      <c r="L22" s="816">
        <f t="shared" si="5"/>
        <v>5592635.3013652246</v>
      </c>
      <c r="M22" s="816">
        <f t="shared" si="5"/>
        <v>5963830.9476775909</v>
      </c>
      <c r="N22" s="816">
        <f t="shared" si="5"/>
        <v>5867598.8652921338</v>
      </c>
      <c r="O22" s="816">
        <f t="shared" si="5"/>
        <v>5980386.6628276901</v>
      </c>
      <c r="P22" s="945">
        <f>SUM(D22:O22)</f>
        <v>53778631.535699978</v>
      </c>
    </row>
    <row r="23" spans="1:16" ht="14.4" thickBot="1">
      <c r="A23" s="2"/>
      <c r="B23" s="2" t="s">
        <v>19</v>
      </c>
      <c r="C23" s="805"/>
      <c r="D23" s="820">
        <f t="shared" ref="D23:O23" si="6">D22/D7</f>
        <v>0.12785489052578622</v>
      </c>
      <c r="E23" s="820">
        <f t="shared" si="6"/>
        <v>0.1146103421753278</v>
      </c>
      <c r="F23" s="812">
        <f t="shared" si="6"/>
        <v>0.32152430961973144</v>
      </c>
      <c r="G23" s="798">
        <f t="shared" si="6"/>
        <v>0.29218389916504151</v>
      </c>
      <c r="H23" s="812">
        <f t="shared" si="6"/>
        <v>0.25590943338690725</v>
      </c>
      <c r="I23" s="798">
        <f t="shared" si="6"/>
        <v>0.24207145653009926</v>
      </c>
      <c r="J23" s="812">
        <f t="shared" si="6"/>
        <v>0.29050094547906535</v>
      </c>
      <c r="K23" s="798">
        <f t="shared" si="6"/>
        <v>0.3119525368893577</v>
      </c>
      <c r="L23" s="812">
        <f t="shared" si="6"/>
        <v>0.31416734062513174</v>
      </c>
      <c r="M23" s="798">
        <f t="shared" si="6"/>
        <v>0.32477847432756701</v>
      </c>
      <c r="N23" s="820">
        <f t="shared" si="6"/>
        <v>0.30864689391290756</v>
      </c>
      <c r="O23" s="820">
        <f t="shared" si="6"/>
        <v>0.30878918396186561</v>
      </c>
      <c r="P23" s="946">
        <f>P22/P7</f>
        <v>0.27585527514957991</v>
      </c>
    </row>
    <row r="24" spans="1:16" s="889" customFormat="1" ht="15.6" thickBot="1">
      <c r="A24" s="918"/>
      <c r="B24" s="919" t="s">
        <v>20</v>
      </c>
      <c r="C24" s="920"/>
      <c r="D24" s="921">
        <f>D22</f>
        <v>1588330.2755909441</v>
      </c>
      <c r="E24" s="921">
        <f t="shared" ref="E24:O24" si="7">D24+E22</f>
        <v>3035904.7901563998</v>
      </c>
      <c r="F24" s="922">
        <f t="shared" si="7"/>
        <v>8412837.1340472884</v>
      </c>
      <c r="G24" s="923">
        <f t="shared" si="7"/>
        <v>13084745.891592674</v>
      </c>
      <c r="H24" s="922">
        <f t="shared" si="7"/>
        <v>17073194.9763694</v>
      </c>
      <c r="I24" s="923">
        <f t="shared" si="7"/>
        <v>20674025.225469101</v>
      </c>
      <c r="J24" s="922">
        <f t="shared" si="7"/>
        <v>25272704.380065992</v>
      </c>
      <c r="K24" s="923">
        <f t="shared" si="7"/>
        <v>30374179.758537337</v>
      </c>
      <c r="L24" s="922">
        <f t="shared" si="7"/>
        <v>35966815.059902564</v>
      </c>
      <c r="M24" s="923">
        <f t="shared" si="7"/>
        <v>41930646.007580154</v>
      </c>
      <c r="N24" s="921">
        <f t="shared" si="7"/>
        <v>47798244.872872286</v>
      </c>
      <c r="O24" s="921">
        <f t="shared" si="7"/>
        <v>53778631.535699978</v>
      </c>
      <c r="P24" s="947">
        <f>O24</f>
        <v>53778631.535699978</v>
      </c>
    </row>
    <row r="25" spans="1:16">
      <c r="A25" s="3"/>
      <c r="B25" s="3"/>
      <c r="C25" s="803"/>
      <c r="D25" s="817"/>
      <c r="E25" s="817"/>
      <c r="F25" s="806"/>
      <c r="G25" s="3"/>
      <c r="H25" s="806"/>
      <c r="I25" s="3"/>
      <c r="J25" s="806"/>
      <c r="K25" s="3"/>
      <c r="L25" s="806"/>
      <c r="M25" s="3"/>
      <c r="N25" s="817"/>
      <c r="O25" s="817"/>
    </row>
    <row r="26" spans="1:16">
      <c r="A26" s="3"/>
      <c r="B26" s="3"/>
      <c r="C26" s="803"/>
      <c r="D26" s="817"/>
      <c r="E26" s="817"/>
      <c r="F26" s="806"/>
      <c r="G26" s="3"/>
      <c r="H26" s="806"/>
      <c r="I26" s="3"/>
      <c r="J26" s="806"/>
      <c r="K26" s="3"/>
      <c r="L26" s="806"/>
      <c r="M26" s="3"/>
      <c r="N26" s="817"/>
      <c r="O26" s="817"/>
    </row>
    <row r="27" spans="1:16">
      <c r="A27" s="3"/>
      <c r="B27" s="3"/>
      <c r="C27" s="803"/>
      <c r="D27" s="817"/>
      <c r="E27" s="817"/>
      <c r="F27" s="806"/>
      <c r="G27" s="3"/>
      <c r="H27" s="806"/>
      <c r="I27" s="3"/>
      <c r="J27" s="806"/>
      <c r="K27" s="3"/>
      <c r="L27" s="806"/>
      <c r="M27" s="3"/>
      <c r="N27" s="817"/>
      <c r="O27" s="817"/>
    </row>
    <row r="28" spans="1:16">
      <c r="A28" s="3"/>
      <c r="B28" s="3"/>
      <c r="C28" s="803"/>
      <c r="D28" s="817"/>
      <c r="E28" s="817"/>
      <c r="F28" s="806"/>
      <c r="G28" s="3"/>
      <c r="H28" s="806"/>
      <c r="I28" s="3"/>
      <c r="J28" s="806"/>
      <c r="K28" s="3"/>
      <c r="L28" s="806"/>
      <c r="M28" s="3"/>
      <c r="N28" s="817"/>
      <c r="O28" s="817"/>
    </row>
    <row r="29" spans="1:16">
      <c r="A29" s="3"/>
      <c r="B29" s="3"/>
      <c r="C29" s="803"/>
      <c r="D29" s="817"/>
      <c r="E29" s="817"/>
      <c r="F29" s="806"/>
      <c r="G29" s="3"/>
      <c r="H29" s="806"/>
      <c r="I29" s="3"/>
      <c r="J29" s="806"/>
      <c r="K29" s="3"/>
      <c r="L29" s="806"/>
      <c r="M29" s="3"/>
      <c r="N29" s="817"/>
      <c r="O29" s="817"/>
    </row>
    <row r="30" spans="1:16">
      <c r="A30" s="3"/>
      <c r="B30" s="3"/>
      <c r="C30" s="803"/>
      <c r="D30" s="817"/>
      <c r="E30" s="817"/>
      <c r="F30" s="806"/>
      <c r="G30" s="3"/>
      <c r="H30" s="806"/>
      <c r="I30" s="3"/>
      <c r="J30" s="806"/>
      <c r="K30" s="3"/>
      <c r="L30" s="806"/>
      <c r="M30" s="3"/>
      <c r="N30" s="817"/>
      <c r="O30" s="817"/>
    </row>
    <row r="31" spans="1:16">
      <c r="A31" s="3"/>
      <c r="B31" s="3"/>
      <c r="C31" s="803"/>
      <c r="D31" s="817"/>
      <c r="E31" s="817"/>
      <c r="F31" s="806"/>
      <c r="G31" s="3"/>
      <c r="H31" s="806"/>
      <c r="I31" s="3"/>
      <c r="J31" s="806"/>
      <c r="K31" s="3"/>
      <c r="L31" s="806"/>
      <c r="M31" s="3"/>
      <c r="N31" s="817"/>
      <c r="O31" s="817"/>
    </row>
    <row r="32" spans="1:16">
      <c r="A32" s="3"/>
      <c r="B32" s="3"/>
      <c r="C32" s="803"/>
      <c r="D32" s="817"/>
      <c r="E32" s="817"/>
      <c r="F32" s="806"/>
      <c r="G32" s="3"/>
      <c r="H32" s="806"/>
      <c r="I32" s="3"/>
      <c r="J32" s="806"/>
      <c r="K32" s="3"/>
      <c r="L32" s="806"/>
      <c r="M32" s="3"/>
      <c r="N32" s="817"/>
      <c r="O32" s="817"/>
    </row>
    <row r="33" spans="1:15">
      <c r="A33" s="3"/>
      <c r="B33" s="3"/>
      <c r="C33" s="803"/>
      <c r="D33" s="817"/>
      <c r="E33" s="817"/>
      <c r="F33" s="806"/>
      <c r="G33" s="3"/>
      <c r="H33" s="806"/>
      <c r="I33" s="3"/>
      <c r="J33" s="806"/>
      <c r="K33" s="3"/>
      <c r="L33" s="806"/>
      <c r="M33" s="3"/>
      <c r="N33" s="817"/>
      <c r="O33" s="817"/>
    </row>
    <row r="34" spans="1:15">
      <c r="A34" s="3"/>
      <c r="B34" s="3"/>
      <c r="C34" s="803"/>
      <c r="D34" s="817"/>
      <c r="E34" s="817"/>
      <c r="F34" s="806"/>
      <c r="G34" s="3"/>
      <c r="H34" s="806"/>
      <c r="I34" s="3"/>
      <c r="J34" s="806"/>
      <c r="K34" s="3"/>
      <c r="L34" s="806"/>
      <c r="M34" s="3"/>
      <c r="N34" s="817"/>
      <c r="O34" s="817"/>
    </row>
    <row r="35" spans="1:15">
      <c r="A35" s="3"/>
      <c r="B35" s="3"/>
      <c r="C35" s="803"/>
      <c r="D35" s="817"/>
      <c r="E35" s="817"/>
      <c r="F35" s="806"/>
      <c r="G35" s="3"/>
      <c r="H35" s="806"/>
      <c r="I35" s="3"/>
      <c r="J35" s="806"/>
      <c r="K35" s="3"/>
      <c r="L35" s="806"/>
      <c r="M35" s="3"/>
      <c r="N35" s="817"/>
      <c r="O35" s="817"/>
    </row>
    <row r="36" spans="1:15">
      <c r="A36" s="3"/>
      <c r="B36" s="3"/>
      <c r="C36" s="803"/>
      <c r="D36" s="817"/>
      <c r="E36" s="817"/>
      <c r="F36" s="806"/>
      <c r="G36" s="3"/>
      <c r="H36" s="806"/>
      <c r="I36" s="3"/>
      <c r="J36" s="806"/>
      <c r="K36" s="3"/>
      <c r="L36" s="806"/>
      <c r="M36" s="3"/>
      <c r="N36" s="817"/>
      <c r="O36" s="817"/>
    </row>
    <row r="37" spans="1:15">
      <c r="A37" s="3"/>
      <c r="B37" s="3"/>
      <c r="C37" s="803"/>
      <c r="D37" s="817"/>
      <c r="E37" s="817"/>
      <c r="F37" s="806"/>
      <c r="G37" s="3"/>
      <c r="H37" s="806"/>
      <c r="I37" s="3"/>
      <c r="J37" s="806"/>
      <c r="K37" s="3"/>
      <c r="L37" s="806"/>
      <c r="M37" s="3"/>
      <c r="N37" s="817"/>
      <c r="O37" s="817"/>
    </row>
    <row r="38" spans="1:15">
      <c r="A38" s="3"/>
      <c r="B38" s="3"/>
      <c r="C38" s="803"/>
      <c r="D38" s="817"/>
      <c r="E38" s="817"/>
      <c r="F38" s="806"/>
      <c r="G38" s="3"/>
      <c r="H38" s="806"/>
      <c r="I38" s="3"/>
      <c r="J38" s="806"/>
      <c r="K38" s="3"/>
      <c r="L38" s="806"/>
      <c r="M38" s="3"/>
      <c r="N38" s="817"/>
      <c r="O38" s="817"/>
    </row>
    <row r="39" spans="1:15">
      <c r="A39" s="3"/>
      <c r="B39" s="3"/>
      <c r="C39" s="803"/>
      <c r="D39" s="817"/>
      <c r="E39" s="817"/>
      <c r="F39" s="806"/>
      <c r="G39" s="3"/>
      <c r="H39" s="806"/>
      <c r="I39" s="3"/>
      <c r="J39" s="806"/>
      <c r="K39" s="3"/>
      <c r="L39" s="806"/>
      <c r="M39" s="3"/>
      <c r="N39" s="817"/>
      <c r="O39" s="817"/>
    </row>
    <row r="40" spans="1:15">
      <c r="A40" s="3"/>
      <c r="B40" s="3"/>
      <c r="C40" s="803"/>
      <c r="D40" s="817"/>
      <c r="E40" s="817"/>
      <c r="F40" s="806"/>
      <c r="G40" s="3"/>
      <c r="H40" s="806"/>
      <c r="I40" s="3"/>
      <c r="J40" s="806"/>
      <c r="K40" s="3"/>
      <c r="L40" s="806"/>
      <c r="M40" s="3"/>
      <c r="N40" s="817"/>
      <c r="O40" s="817"/>
    </row>
    <row r="41" spans="1:15">
      <c r="A41" s="3"/>
      <c r="B41" s="3"/>
      <c r="C41" s="803"/>
      <c r="D41" s="817"/>
      <c r="E41" s="817"/>
      <c r="F41" s="806"/>
      <c r="G41" s="3"/>
      <c r="H41" s="806"/>
      <c r="I41" s="3"/>
      <c r="J41" s="806"/>
      <c r="K41" s="3"/>
      <c r="L41" s="806"/>
      <c r="M41" s="3"/>
      <c r="N41" s="817"/>
      <c r="O41" s="817"/>
    </row>
    <row r="42" spans="1:15">
      <c r="A42" s="3"/>
      <c r="B42" s="3"/>
      <c r="C42" s="803"/>
      <c r="D42" s="817"/>
      <c r="E42" s="817"/>
      <c r="F42" s="806"/>
      <c r="G42" s="3"/>
      <c r="H42" s="806"/>
      <c r="I42" s="3"/>
      <c r="J42" s="806"/>
      <c r="K42" s="3"/>
      <c r="L42" s="806"/>
      <c r="M42" s="3"/>
      <c r="N42" s="817"/>
      <c r="O42" s="817"/>
    </row>
    <row r="43" spans="1:15">
      <c r="A43" s="3"/>
      <c r="B43" s="3"/>
      <c r="C43" s="803"/>
      <c r="D43" s="817"/>
      <c r="E43" s="817"/>
      <c r="F43" s="806"/>
      <c r="G43" s="3"/>
      <c r="H43" s="806"/>
      <c r="I43" s="3"/>
      <c r="J43" s="806"/>
      <c r="K43" s="3"/>
      <c r="L43" s="806"/>
      <c r="M43" s="3"/>
      <c r="N43" s="817"/>
      <c r="O43" s="817"/>
    </row>
    <row r="44" spans="1:15">
      <c r="A44" s="3"/>
      <c r="B44" s="3"/>
      <c r="C44" s="803"/>
      <c r="D44" s="817"/>
      <c r="E44" s="817"/>
      <c r="F44" s="806"/>
      <c r="G44" s="3"/>
      <c r="H44" s="806"/>
      <c r="I44" s="3"/>
      <c r="J44" s="806"/>
      <c r="K44" s="3"/>
      <c r="L44" s="806"/>
      <c r="M44" s="3"/>
      <c r="N44" s="817"/>
      <c r="O44" s="817"/>
    </row>
    <row r="45" spans="1:15">
      <c r="A45" s="3"/>
      <c r="B45" s="3"/>
      <c r="C45" s="803"/>
      <c r="D45" s="817"/>
      <c r="E45" s="817"/>
      <c r="F45" s="806"/>
      <c r="G45" s="3"/>
      <c r="H45" s="806"/>
      <c r="I45" s="3"/>
      <c r="J45" s="806"/>
      <c r="K45" s="3"/>
      <c r="L45" s="806"/>
      <c r="M45" s="3"/>
      <c r="N45" s="817"/>
      <c r="O45" s="817"/>
    </row>
    <row r="46" spans="1:15">
      <c r="A46" s="3"/>
      <c r="B46" s="3"/>
      <c r="C46" s="803"/>
      <c r="D46" s="817"/>
      <c r="E46" s="817"/>
      <c r="F46" s="806"/>
      <c r="G46" s="3"/>
      <c r="H46" s="806"/>
      <c r="I46" s="3"/>
      <c r="J46" s="806"/>
      <c r="K46" s="3"/>
      <c r="L46" s="806"/>
      <c r="M46" s="3"/>
      <c r="N46" s="817"/>
      <c r="O46" s="817"/>
    </row>
    <row r="47" spans="1:15">
      <c r="A47" s="3"/>
      <c r="B47" s="3"/>
      <c r="C47" s="803"/>
      <c r="D47" s="817"/>
      <c r="E47" s="817"/>
      <c r="F47" s="806"/>
      <c r="G47" s="3"/>
      <c r="H47" s="806"/>
      <c r="I47" s="3"/>
      <c r="J47" s="806"/>
      <c r="K47" s="3"/>
      <c r="L47" s="806"/>
      <c r="M47" s="3"/>
      <c r="N47" s="817"/>
      <c r="O47" s="817"/>
    </row>
    <row r="48" spans="1:15">
      <c r="A48" s="3"/>
      <c r="B48" s="3"/>
      <c r="C48" s="803"/>
      <c r="D48" s="817"/>
      <c r="E48" s="817"/>
      <c r="F48" s="806"/>
      <c r="G48" s="3"/>
      <c r="H48" s="806"/>
      <c r="I48" s="3"/>
      <c r="J48" s="806"/>
      <c r="K48" s="3"/>
      <c r="L48" s="806"/>
      <c r="M48" s="3"/>
      <c r="N48" s="817"/>
      <c r="O48" s="817"/>
    </row>
    <row r="49" spans="1:15">
      <c r="A49" s="3"/>
      <c r="B49" s="3"/>
      <c r="C49" s="803"/>
      <c r="D49" s="817"/>
      <c r="E49" s="817"/>
      <c r="F49" s="806"/>
      <c r="G49" s="3"/>
      <c r="H49" s="806"/>
      <c r="I49" s="3"/>
      <c r="J49" s="806"/>
      <c r="K49" s="3"/>
      <c r="L49" s="806"/>
      <c r="M49" s="3"/>
      <c r="N49" s="817"/>
      <c r="O49" s="817"/>
    </row>
    <row r="50" spans="1:15">
      <c r="A50" s="3"/>
      <c r="B50" s="3"/>
      <c r="C50" s="803"/>
      <c r="D50" s="817"/>
      <c r="E50" s="817"/>
      <c r="F50" s="806"/>
      <c r="G50" s="3"/>
      <c r="H50" s="806"/>
      <c r="I50" s="3"/>
      <c r="J50" s="806"/>
      <c r="K50" s="3"/>
      <c r="L50" s="806"/>
      <c r="M50" s="3"/>
      <c r="N50" s="817"/>
      <c r="O50" s="817"/>
    </row>
    <row r="51" spans="1:15">
      <c r="A51" s="3"/>
      <c r="B51" s="3"/>
      <c r="C51" s="803"/>
      <c r="D51" s="817"/>
      <c r="E51" s="817"/>
      <c r="F51" s="806"/>
      <c r="G51" s="3"/>
      <c r="H51" s="806"/>
      <c r="I51" s="3"/>
      <c r="J51" s="806"/>
      <c r="K51" s="3"/>
      <c r="L51" s="806"/>
      <c r="M51" s="3"/>
      <c r="N51" s="817"/>
      <c r="O51" s="817"/>
    </row>
    <row r="52" spans="1:15">
      <c r="A52" s="3"/>
      <c r="B52" s="3"/>
      <c r="C52" s="803"/>
      <c r="D52" s="817"/>
      <c r="E52" s="817"/>
      <c r="F52" s="806"/>
      <c r="G52" s="3"/>
      <c r="H52" s="806"/>
      <c r="I52" s="3"/>
      <c r="J52" s="806"/>
      <c r="K52" s="3"/>
      <c r="L52" s="806"/>
      <c r="M52" s="3"/>
      <c r="N52" s="817"/>
      <c r="O52" s="817"/>
    </row>
    <row r="53" spans="1:15">
      <c r="A53" s="3"/>
      <c r="B53" s="3"/>
      <c r="C53" s="803"/>
      <c r="D53" s="817"/>
      <c r="E53" s="817"/>
      <c r="F53" s="806"/>
      <c r="G53" s="3"/>
      <c r="H53" s="806"/>
      <c r="I53" s="3"/>
      <c r="J53" s="806"/>
      <c r="K53" s="3"/>
      <c r="L53" s="806"/>
      <c r="M53" s="3"/>
      <c r="N53" s="817"/>
      <c r="O53" s="817"/>
    </row>
    <row r="54" spans="1:15">
      <c r="A54" s="3"/>
      <c r="B54" s="3"/>
      <c r="C54" s="803"/>
      <c r="D54" s="817"/>
      <c r="E54" s="817"/>
      <c r="F54" s="806"/>
      <c r="G54" s="3"/>
      <c r="H54" s="806"/>
      <c r="I54" s="3"/>
      <c r="J54" s="806"/>
      <c r="K54" s="3"/>
      <c r="L54" s="806"/>
      <c r="M54" s="3"/>
      <c r="N54" s="817"/>
      <c r="O54" s="817"/>
    </row>
    <row r="55" spans="1:15">
      <c r="A55" s="3"/>
      <c r="B55" s="3"/>
      <c r="C55" s="803"/>
      <c r="D55" s="817"/>
      <c r="E55" s="817"/>
      <c r="F55" s="806"/>
      <c r="G55" s="3"/>
      <c r="H55" s="806"/>
      <c r="I55" s="3"/>
      <c r="J55" s="806"/>
      <c r="K55" s="3"/>
      <c r="L55" s="806"/>
      <c r="M55" s="3"/>
      <c r="N55" s="817"/>
      <c r="O55" s="817"/>
    </row>
    <row r="56" spans="1:15">
      <c r="A56" s="3"/>
      <c r="B56" s="3"/>
      <c r="C56" s="803"/>
      <c r="D56" s="817"/>
      <c r="E56" s="817"/>
      <c r="F56" s="806"/>
      <c r="G56" s="3"/>
      <c r="H56" s="806"/>
      <c r="I56" s="3"/>
      <c r="J56" s="806"/>
      <c r="K56" s="3"/>
      <c r="L56" s="806"/>
      <c r="M56" s="3"/>
      <c r="N56" s="817"/>
      <c r="O56" s="817"/>
    </row>
    <row r="57" spans="1:15">
      <c r="A57" s="3"/>
      <c r="B57" s="3"/>
      <c r="C57" s="803"/>
      <c r="D57" s="817"/>
      <c r="E57" s="817"/>
      <c r="F57" s="806"/>
      <c r="G57" s="3"/>
      <c r="H57" s="806"/>
      <c r="I57" s="3"/>
      <c r="J57" s="806"/>
      <c r="K57" s="3"/>
      <c r="L57" s="806"/>
      <c r="M57" s="3"/>
      <c r="N57" s="817"/>
      <c r="O57" s="817"/>
    </row>
    <row r="58" spans="1:15">
      <c r="A58" s="3"/>
      <c r="B58" s="3"/>
      <c r="C58" s="803"/>
      <c r="D58" s="817"/>
      <c r="E58" s="817"/>
      <c r="F58" s="806"/>
      <c r="G58" s="3"/>
      <c r="H58" s="806"/>
      <c r="I58" s="3"/>
      <c r="J58" s="806"/>
      <c r="K58" s="3"/>
      <c r="L58" s="806"/>
      <c r="M58" s="3"/>
      <c r="N58" s="817"/>
      <c r="O58" s="817"/>
    </row>
    <row r="59" spans="1:15">
      <c r="A59" s="3"/>
      <c r="B59" s="3"/>
      <c r="C59" s="803"/>
      <c r="D59" s="817"/>
      <c r="E59" s="817"/>
      <c r="F59" s="806"/>
      <c r="G59" s="3"/>
      <c r="H59" s="806"/>
      <c r="I59" s="3"/>
      <c r="J59" s="806"/>
      <c r="K59" s="3"/>
      <c r="L59" s="806"/>
      <c r="M59" s="3"/>
      <c r="N59" s="817"/>
      <c r="O59" s="817"/>
    </row>
    <row r="60" spans="1:15">
      <c r="A60" s="3"/>
      <c r="B60" s="3"/>
      <c r="C60" s="803"/>
      <c r="D60" s="817"/>
      <c r="E60" s="817"/>
      <c r="F60" s="806"/>
      <c r="G60" s="3"/>
      <c r="H60" s="806"/>
      <c r="I60" s="3"/>
      <c r="J60" s="806"/>
      <c r="K60" s="3"/>
      <c r="L60" s="806"/>
      <c r="M60" s="3"/>
      <c r="N60" s="817"/>
      <c r="O60" s="817"/>
    </row>
    <row r="61" spans="1:15">
      <c r="A61" s="3"/>
      <c r="B61" s="3"/>
      <c r="C61" s="803"/>
      <c r="D61" s="817"/>
      <c r="E61" s="817"/>
      <c r="F61" s="806"/>
      <c r="G61" s="3"/>
      <c r="H61" s="806"/>
      <c r="I61" s="3"/>
      <c r="J61" s="806"/>
      <c r="K61" s="3"/>
      <c r="L61" s="806"/>
      <c r="M61" s="3"/>
      <c r="N61" s="817"/>
      <c r="O61" s="817"/>
    </row>
    <row r="62" spans="1:15">
      <c r="A62" s="3"/>
      <c r="B62" s="3"/>
      <c r="C62" s="803"/>
      <c r="D62" s="817"/>
      <c r="E62" s="817"/>
      <c r="F62" s="806"/>
      <c r="G62" s="3"/>
      <c r="H62" s="806"/>
      <c r="I62" s="3"/>
      <c r="J62" s="806"/>
      <c r="K62" s="3"/>
      <c r="L62" s="806"/>
      <c r="M62" s="3"/>
      <c r="N62" s="817"/>
      <c r="O62" s="817"/>
    </row>
    <row r="63" spans="1:15">
      <c r="A63" s="3"/>
      <c r="B63" s="3"/>
      <c r="C63" s="803"/>
      <c r="D63" s="817"/>
      <c r="E63" s="817"/>
      <c r="F63" s="806"/>
      <c r="G63" s="3"/>
      <c r="H63" s="806"/>
      <c r="I63" s="3"/>
      <c r="J63" s="806"/>
      <c r="K63" s="3"/>
      <c r="L63" s="806"/>
      <c r="M63" s="3"/>
      <c r="N63" s="817"/>
      <c r="O63" s="817"/>
    </row>
    <row r="64" spans="1:15">
      <c r="A64" s="3"/>
      <c r="B64" s="3"/>
      <c r="C64" s="803"/>
      <c r="D64" s="817"/>
      <c r="E64" s="817"/>
      <c r="F64" s="806"/>
      <c r="G64" s="3"/>
      <c r="H64" s="806"/>
      <c r="I64" s="3"/>
      <c r="J64" s="806"/>
      <c r="K64" s="3"/>
      <c r="L64" s="806"/>
      <c r="M64" s="3"/>
      <c r="N64" s="817"/>
      <c r="O64" s="817"/>
    </row>
    <row r="65" spans="1:15">
      <c r="A65" s="3"/>
      <c r="B65" s="3"/>
      <c r="C65" s="803"/>
      <c r="D65" s="817"/>
      <c r="E65" s="817"/>
      <c r="F65" s="806"/>
      <c r="G65" s="3"/>
      <c r="H65" s="806"/>
      <c r="I65" s="3"/>
      <c r="J65" s="806"/>
      <c r="K65" s="3"/>
      <c r="L65" s="806"/>
      <c r="M65" s="3"/>
      <c r="N65" s="817"/>
      <c r="O65" s="817"/>
    </row>
    <row r="66" spans="1:15">
      <c r="A66" s="3"/>
      <c r="B66" s="3"/>
      <c r="C66" s="803"/>
      <c r="D66" s="817"/>
      <c r="E66" s="817"/>
      <c r="F66" s="806"/>
      <c r="G66" s="3"/>
      <c r="H66" s="806"/>
      <c r="I66" s="3"/>
      <c r="J66" s="806"/>
      <c r="K66" s="3"/>
      <c r="L66" s="806"/>
      <c r="M66" s="3"/>
      <c r="N66" s="817"/>
      <c r="O66" s="817"/>
    </row>
    <row r="67" spans="1:15">
      <c r="A67" s="3"/>
      <c r="B67" s="3"/>
      <c r="C67" s="803"/>
      <c r="D67" s="817"/>
      <c r="E67" s="817"/>
      <c r="F67" s="806"/>
      <c r="G67" s="3"/>
      <c r="H67" s="806"/>
      <c r="I67" s="3"/>
      <c r="J67" s="806"/>
      <c r="K67" s="3"/>
      <c r="L67" s="806"/>
      <c r="M67" s="3"/>
      <c r="N67" s="817"/>
      <c r="O67" s="817"/>
    </row>
    <row r="68" spans="1:15">
      <c r="A68" s="3"/>
      <c r="B68" s="3"/>
      <c r="C68" s="803"/>
      <c r="D68" s="817"/>
      <c r="E68" s="817"/>
      <c r="F68" s="806"/>
      <c r="G68" s="3"/>
      <c r="H68" s="806"/>
      <c r="I68" s="3"/>
      <c r="J68" s="806"/>
      <c r="K68" s="3"/>
      <c r="L68" s="806"/>
      <c r="M68" s="3"/>
      <c r="N68" s="817"/>
      <c r="O68" s="817"/>
    </row>
    <row r="69" spans="1:15">
      <c r="A69" s="3"/>
      <c r="B69" s="3"/>
      <c r="C69" s="803"/>
      <c r="D69" s="817"/>
      <c r="E69" s="817"/>
      <c r="F69" s="806"/>
      <c r="G69" s="3"/>
      <c r="H69" s="806"/>
      <c r="I69" s="3"/>
      <c r="J69" s="806"/>
      <c r="K69" s="3"/>
      <c r="L69" s="806"/>
      <c r="M69" s="3"/>
      <c r="N69" s="817"/>
      <c r="O69" s="817"/>
    </row>
    <row r="70" spans="1:15">
      <c r="A70" s="3"/>
      <c r="B70" s="3"/>
      <c r="C70" s="803"/>
      <c r="D70" s="817"/>
      <c r="E70" s="817"/>
      <c r="F70" s="806"/>
      <c r="G70" s="3"/>
      <c r="H70" s="806"/>
      <c r="I70" s="3"/>
      <c r="J70" s="806"/>
      <c r="K70" s="3"/>
      <c r="L70" s="806"/>
      <c r="M70" s="3"/>
      <c r="N70" s="817"/>
      <c r="O70" s="817"/>
    </row>
    <row r="71" spans="1:15">
      <c r="A71" s="3"/>
      <c r="B71" s="3"/>
      <c r="C71" s="803"/>
      <c r="D71" s="817"/>
      <c r="E71" s="817"/>
      <c r="F71" s="806"/>
      <c r="G71" s="3"/>
      <c r="H71" s="806"/>
      <c r="I71" s="3"/>
      <c r="J71" s="806"/>
      <c r="K71" s="3"/>
      <c r="L71" s="806"/>
      <c r="M71" s="3"/>
      <c r="N71" s="817"/>
      <c r="O71" s="817"/>
    </row>
    <row r="72" spans="1:15">
      <c r="A72" s="3"/>
      <c r="B72" s="3"/>
      <c r="C72" s="803"/>
      <c r="D72" s="817"/>
      <c r="E72" s="817"/>
      <c r="F72" s="806"/>
      <c r="G72" s="3"/>
      <c r="H72" s="806"/>
      <c r="I72" s="3"/>
      <c r="J72" s="806"/>
      <c r="K72" s="3"/>
      <c r="L72" s="806"/>
      <c r="M72" s="3"/>
      <c r="N72" s="817"/>
      <c r="O72" s="817"/>
    </row>
    <row r="73" spans="1:15">
      <c r="A73" s="3"/>
      <c r="B73" s="3"/>
      <c r="C73" s="803"/>
      <c r="D73" s="817"/>
      <c r="E73" s="817"/>
      <c r="F73" s="806"/>
      <c r="G73" s="3"/>
      <c r="H73" s="806"/>
      <c r="I73" s="3"/>
      <c r="J73" s="806"/>
      <c r="K73" s="3"/>
      <c r="L73" s="806"/>
      <c r="M73" s="3"/>
      <c r="N73" s="817"/>
      <c r="O73" s="817"/>
    </row>
    <row r="74" spans="1:15">
      <c r="A74" s="3"/>
      <c r="B74" s="3"/>
      <c r="C74" s="803"/>
      <c r="D74" s="817"/>
      <c r="E74" s="817"/>
      <c r="F74" s="806"/>
      <c r="G74" s="3"/>
      <c r="H74" s="806"/>
      <c r="I74" s="3"/>
      <c r="J74" s="806"/>
      <c r="K74" s="3"/>
      <c r="L74" s="806"/>
      <c r="M74" s="3"/>
      <c r="N74" s="817"/>
      <c r="O74" s="817"/>
    </row>
    <row r="75" spans="1:15">
      <c r="A75" s="3"/>
      <c r="B75" s="3"/>
      <c r="C75" s="803"/>
      <c r="D75" s="817"/>
      <c r="E75" s="817"/>
      <c r="F75" s="806"/>
      <c r="G75" s="3"/>
      <c r="H75" s="806"/>
      <c r="I75" s="3"/>
      <c r="J75" s="806"/>
      <c r="K75" s="3"/>
      <c r="L75" s="806"/>
      <c r="M75" s="3"/>
      <c r="N75" s="817"/>
      <c r="O75" s="817"/>
    </row>
    <row r="76" spans="1:15">
      <c r="A76" s="3"/>
      <c r="B76" s="3"/>
      <c r="C76" s="803"/>
      <c r="D76" s="817"/>
      <c r="E76" s="817"/>
      <c r="F76" s="806"/>
      <c r="G76" s="3"/>
      <c r="H76" s="806"/>
      <c r="I76" s="3"/>
      <c r="J76" s="806"/>
      <c r="K76" s="3"/>
      <c r="L76" s="806"/>
      <c r="M76" s="3"/>
      <c r="N76" s="817"/>
      <c r="O76" s="817"/>
    </row>
    <row r="77" spans="1:15">
      <c r="A77" s="3"/>
      <c r="B77" s="3"/>
      <c r="C77" s="803"/>
      <c r="D77" s="817"/>
      <c r="E77" s="817"/>
      <c r="F77" s="806"/>
      <c r="G77" s="3"/>
      <c r="H77" s="806"/>
      <c r="I77" s="3"/>
      <c r="J77" s="806"/>
      <c r="K77" s="3"/>
      <c r="L77" s="806"/>
      <c r="M77" s="3"/>
      <c r="N77" s="817"/>
      <c r="O77" s="817"/>
    </row>
    <row r="78" spans="1:15">
      <c r="A78" s="3"/>
      <c r="B78" s="3"/>
      <c r="C78" s="803"/>
      <c r="D78" s="817"/>
      <c r="E78" s="817"/>
      <c r="F78" s="806"/>
      <c r="G78" s="3"/>
      <c r="H78" s="806"/>
      <c r="I78" s="3"/>
      <c r="J78" s="806"/>
      <c r="K78" s="3"/>
      <c r="L78" s="806"/>
      <c r="M78" s="3"/>
      <c r="N78" s="817"/>
      <c r="O78" s="817"/>
    </row>
    <row r="79" spans="1:15">
      <c r="A79" s="3"/>
      <c r="B79" s="3"/>
      <c r="C79" s="803"/>
      <c r="D79" s="817"/>
      <c r="E79" s="817"/>
      <c r="F79" s="806"/>
      <c r="G79" s="3"/>
      <c r="H79" s="806"/>
      <c r="I79" s="3"/>
      <c r="J79" s="806"/>
      <c r="K79" s="3"/>
      <c r="L79" s="806"/>
      <c r="M79" s="3"/>
      <c r="N79" s="817"/>
      <c r="O79" s="817"/>
    </row>
    <row r="80" spans="1:15">
      <c r="A80" s="3"/>
      <c r="B80" s="3"/>
      <c r="C80" s="803"/>
      <c r="D80" s="817"/>
      <c r="E80" s="817"/>
      <c r="F80" s="806"/>
      <c r="G80" s="3"/>
      <c r="H80" s="806"/>
      <c r="I80" s="3"/>
      <c r="J80" s="806"/>
      <c r="K80" s="3"/>
      <c r="L80" s="806"/>
      <c r="M80" s="3"/>
      <c r="N80" s="817"/>
      <c r="O80" s="817"/>
    </row>
    <row r="81" spans="1:15">
      <c r="A81" s="3"/>
      <c r="B81" s="3"/>
      <c r="C81" s="803"/>
      <c r="D81" s="817"/>
      <c r="E81" s="817"/>
      <c r="F81" s="806"/>
      <c r="G81" s="3"/>
      <c r="H81" s="806"/>
      <c r="I81" s="3"/>
      <c r="J81" s="806"/>
      <c r="K81" s="3"/>
      <c r="L81" s="806"/>
      <c r="M81" s="3"/>
      <c r="N81" s="817"/>
      <c r="O81" s="817"/>
    </row>
    <row r="82" spans="1:15">
      <c r="A82" s="3"/>
      <c r="B82" s="3"/>
      <c r="C82" s="803"/>
      <c r="D82" s="817"/>
      <c r="E82" s="817"/>
      <c r="F82" s="806"/>
      <c r="G82" s="3"/>
      <c r="H82" s="806"/>
      <c r="I82" s="3"/>
      <c r="J82" s="806"/>
      <c r="K82" s="3"/>
      <c r="L82" s="806"/>
      <c r="M82" s="3"/>
      <c r="N82" s="817"/>
      <c r="O82" s="817"/>
    </row>
    <row r="83" spans="1:15">
      <c r="A83" s="3"/>
      <c r="B83" s="3"/>
      <c r="C83" s="803"/>
      <c r="D83" s="817"/>
      <c r="E83" s="817"/>
      <c r="F83" s="806"/>
      <c r="G83" s="3"/>
      <c r="H83" s="806"/>
      <c r="I83" s="3"/>
      <c r="J83" s="806"/>
      <c r="K83" s="3"/>
      <c r="L83" s="806"/>
      <c r="M83" s="3"/>
      <c r="N83" s="817"/>
      <c r="O83" s="817"/>
    </row>
    <row r="84" spans="1:15">
      <c r="A84" s="3"/>
      <c r="B84" s="3"/>
      <c r="C84" s="803"/>
      <c r="D84" s="817"/>
      <c r="E84" s="817"/>
      <c r="F84" s="806"/>
      <c r="G84" s="3"/>
      <c r="H84" s="806"/>
      <c r="I84" s="3"/>
      <c r="J84" s="806"/>
      <c r="K84" s="3"/>
      <c r="L84" s="806"/>
      <c r="M84" s="3"/>
      <c r="N84" s="817"/>
      <c r="O84" s="817"/>
    </row>
    <row r="85" spans="1:15">
      <c r="A85" s="3"/>
      <c r="B85" s="3"/>
      <c r="C85" s="803"/>
      <c r="D85" s="817"/>
      <c r="E85" s="817"/>
      <c r="F85" s="806"/>
      <c r="G85" s="3"/>
      <c r="H85" s="806"/>
      <c r="I85" s="3"/>
      <c r="J85" s="806"/>
      <c r="K85" s="3"/>
      <c r="L85" s="806"/>
      <c r="M85" s="3"/>
      <c r="N85" s="817"/>
      <c r="O85" s="817"/>
    </row>
    <row r="86" spans="1:15">
      <c r="A86" s="3"/>
      <c r="B86" s="3"/>
      <c r="C86" s="803"/>
      <c r="D86" s="817"/>
      <c r="E86" s="817"/>
      <c r="F86" s="806"/>
      <c r="G86" s="3"/>
      <c r="H86" s="806"/>
      <c r="I86" s="3"/>
      <c r="J86" s="806"/>
      <c r="K86" s="3"/>
      <c r="L86" s="806"/>
      <c r="M86" s="3"/>
      <c r="N86" s="817"/>
      <c r="O86" s="817"/>
    </row>
    <row r="87" spans="1:15">
      <c r="A87" s="3"/>
      <c r="B87" s="3"/>
      <c r="C87" s="803"/>
      <c r="D87" s="817"/>
      <c r="E87" s="817"/>
      <c r="F87" s="806"/>
      <c r="G87" s="3"/>
      <c r="H87" s="806"/>
      <c r="I87" s="3"/>
      <c r="J87" s="806"/>
      <c r="K87" s="3"/>
      <c r="L87" s="806"/>
      <c r="M87" s="3"/>
      <c r="N87" s="817"/>
      <c r="O87" s="817"/>
    </row>
    <row r="88" spans="1:15">
      <c r="A88" s="3"/>
      <c r="B88" s="3"/>
      <c r="C88" s="803"/>
      <c r="D88" s="817"/>
      <c r="E88" s="817"/>
      <c r="F88" s="806"/>
      <c r="G88" s="3"/>
      <c r="H88" s="806"/>
      <c r="I88" s="3"/>
      <c r="J88" s="806"/>
      <c r="K88" s="3"/>
      <c r="L88" s="806"/>
      <c r="M88" s="3"/>
      <c r="N88" s="817"/>
      <c r="O88" s="817"/>
    </row>
    <row r="89" spans="1:15">
      <c r="A89" s="3"/>
      <c r="B89" s="3"/>
      <c r="C89" s="803"/>
      <c r="D89" s="817"/>
      <c r="E89" s="817"/>
      <c r="F89" s="806"/>
      <c r="G89" s="3"/>
      <c r="H89" s="806"/>
      <c r="I89" s="3"/>
      <c r="J89" s="806"/>
      <c r="K89" s="3"/>
      <c r="L89" s="806"/>
      <c r="M89" s="3"/>
      <c r="N89" s="817"/>
      <c r="O89" s="817"/>
    </row>
    <row r="90" spans="1:15">
      <c r="A90" s="3"/>
      <c r="B90" s="3"/>
      <c r="C90" s="803"/>
      <c r="D90" s="817"/>
      <c r="E90" s="817"/>
      <c r="F90" s="806"/>
      <c r="G90" s="3"/>
      <c r="H90" s="806"/>
      <c r="I90" s="3"/>
      <c r="J90" s="806"/>
      <c r="K90" s="3"/>
      <c r="L90" s="806"/>
      <c r="M90" s="3"/>
      <c r="N90" s="817"/>
      <c r="O90" s="817"/>
    </row>
    <row r="91" spans="1:15">
      <c r="A91" s="3"/>
      <c r="B91" s="3"/>
      <c r="C91" s="803"/>
      <c r="D91" s="817"/>
      <c r="E91" s="817"/>
      <c r="F91" s="806"/>
      <c r="G91" s="3"/>
      <c r="H91" s="806"/>
      <c r="I91" s="3"/>
      <c r="J91" s="806"/>
      <c r="K91" s="3"/>
      <c r="L91" s="806"/>
      <c r="M91" s="3"/>
      <c r="N91" s="817"/>
      <c r="O91" s="817"/>
    </row>
    <row r="92" spans="1:15">
      <c r="A92" s="3"/>
      <c r="B92" s="3"/>
      <c r="C92" s="803"/>
      <c r="D92" s="817"/>
      <c r="E92" s="817"/>
      <c r="F92" s="806"/>
      <c r="G92" s="3"/>
      <c r="H92" s="806"/>
      <c r="I92" s="3"/>
      <c r="J92" s="806"/>
      <c r="K92" s="3"/>
      <c r="L92" s="806"/>
      <c r="M92" s="3"/>
      <c r="N92" s="817"/>
      <c r="O92" s="817"/>
    </row>
    <row r="93" spans="1:15">
      <c r="A93" s="3"/>
      <c r="B93" s="3"/>
      <c r="C93" s="803"/>
      <c r="D93" s="817"/>
      <c r="E93" s="817"/>
      <c r="F93" s="806"/>
      <c r="G93" s="3"/>
      <c r="H93" s="806"/>
      <c r="I93" s="3"/>
      <c r="J93" s="806"/>
      <c r="K93" s="3"/>
      <c r="L93" s="806"/>
      <c r="M93" s="3"/>
      <c r="N93" s="817"/>
      <c r="O93" s="817"/>
    </row>
    <row r="94" spans="1:15">
      <c r="A94" s="3"/>
      <c r="B94" s="3"/>
      <c r="C94" s="803"/>
      <c r="D94" s="817"/>
      <c r="E94" s="817"/>
      <c r="F94" s="806"/>
      <c r="G94" s="3"/>
      <c r="H94" s="806"/>
      <c r="I94" s="3"/>
      <c r="J94" s="806"/>
      <c r="K94" s="3"/>
      <c r="L94" s="806"/>
      <c r="M94" s="3"/>
      <c r="N94" s="817"/>
      <c r="O94" s="817"/>
    </row>
    <row r="95" spans="1:15">
      <c r="A95" s="3"/>
      <c r="B95" s="3"/>
      <c r="C95" s="803"/>
      <c r="D95" s="817"/>
      <c r="E95" s="817"/>
      <c r="F95" s="806"/>
      <c r="G95" s="3"/>
      <c r="H95" s="806"/>
      <c r="I95" s="3"/>
      <c r="J95" s="806"/>
      <c r="K95" s="3"/>
      <c r="L95" s="806"/>
      <c r="M95" s="3"/>
      <c r="N95" s="817"/>
      <c r="O95" s="817"/>
    </row>
    <row r="96" spans="1:15">
      <c r="A96" s="3"/>
      <c r="B96" s="3"/>
      <c r="C96" s="803"/>
      <c r="D96" s="817"/>
      <c r="E96" s="817"/>
      <c r="F96" s="806"/>
      <c r="G96" s="3"/>
      <c r="H96" s="806"/>
      <c r="I96" s="3"/>
      <c r="J96" s="806"/>
      <c r="K96" s="3"/>
      <c r="L96" s="806"/>
      <c r="M96" s="3"/>
      <c r="N96" s="817"/>
      <c r="O96" s="817"/>
    </row>
    <row r="97" spans="1:15">
      <c r="A97" s="3"/>
      <c r="B97" s="3"/>
      <c r="C97" s="803"/>
      <c r="D97" s="817"/>
      <c r="E97" s="817"/>
      <c r="F97" s="806"/>
      <c r="G97" s="3"/>
      <c r="H97" s="806"/>
      <c r="I97" s="3"/>
      <c r="J97" s="806"/>
      <c r="K97" s="3"/>
      <c r="L97" s="806"/>
      <c r="M97" s="3"/>
      <c r="N97" s="817"/>
      <c r="O97" s="817"/>
    </row>
    <row r="98" spans="1:15">
      <c r="A98" s="3"/>
      <c r="B98" s="3"/>
      <c r="C98" s="803"/>
      <c r="D98" s="817"/>
      <c r="E98" s="817"/>
      <c r="F98" s="806"/>
      <c r="G98" s="3"/>
      <c r="H98" s="806"/>
      <c r="I98" s="3"/>
      <c r="J98" s="806"/>
      <c r="K98" s="3"/>
      <c r="L98" s="806"/>
      <c r="M98" s="3"/>
      <c r="N98" s="817"/>
      <c r="O98" s="817"/>
    </row>
    <row r="99" spans="1:15">
      <c r="A99" s="3"/>
      <c r="B99" s="3"/>
      <c r="C99" s="803"/>
      <c r="D99" s="817"/>
      <c r="E99" s="817"/>
      <c r="F99" s="806"/>
      <c r="G99" s="3"/>
      <c r="H99" s="806"/>
      <c r="I99" s="3"/>
      <c r="J99" s="806"/>
      <c r="K99" s="3"/>
      <c r="L99" s="806"/>
      <c r="M99" s="3"/>
      <c r="N99" s="817"/>
      <c r="O99" s="817"/>
    </row>
    <row r="100" spans="1:15">
      <c r="A100" s="3"/>
      <c r="B100" s="3"/>
      <c r="C100" s="803"/>
      <c r="D100" s="817"/>
      <c r="E100" s="817"/>
      <c r="F100" s="806"/>
      <c r="G100" s="3"/>
      <c r="H100" s="806"/>
      <c r="I100" s="3"/>
      <c r="J100" s="806"/>
      <c r="K100" s="3"/>
      <c r="L100" s="806"/>
      <c r="M100" s="3"/>
      <c r="N100" s="817"/>
      <c r="O100" s="817"/>
    </row>
    <row r="101" spans="1:15">
      <c r="A101" s="3"/>
      <c r="B101" s="3"/>
      <c r="C101" s="803"/>
      <c r="D101" s="817"/>
      <c r="E101" s="817"/>
      <c r="F101" s="806"/>
      <c r="G101" s="3"/>
      <c r="H101" s="806"/>
      <c r="I101" s="3"/>
      <c r="J101" s="806"/>
      <c r="K101" s="3"/>
      <c r="L101" s="806"/>
      <c r="M101" s="3"/>
      <c r="N101" s="817"/>
      <c r="O101" s="817"/>
    </row>
    <row r="102" spans="1:15">
      <c r="A102" s="3"/>
      <c r="B102" s="3"/>
      <c r="C102" s="803"/>
      <c r="D102" s="817"/>
      <c r="E102" s="817"/>
      <c r="F102" s="806"/>
      <c r="G102" s="3"/>
      <c r="H102" s="806"/>
      <c r="I102" s="3"/>
      <c r="J102" s="806"/>
      <c r="K102" s="3"/>
      <c r="L102" s="806"/>
      <c r="M102" s="3"/>
      <c r="N102" s="817"/>
      <c r="O102" s="817"/>
    </row>
    <row r="103" spans="1:15">
      <c r="A103" s="3"/>
      <c r="B103" s="3"/>
      <c r="C103" s="803"/>
      <c r="D103" s="817"/>
      <c r="E103" s="817"/>
      <c r="F103" s="806"/>
      <c r="G103" s="3"/>
      <c r="H103" s="806"/>
      <c r="I103" s="3"/>
      <c r="J103" s="806"/>
      <c r="K103" s="3"/>
      <c r="L103" s="806"/>
      <c r="M103" s="3"/>
      <c r="N103" s="817"/>
      <c r="O103" s="817"/>
    </row>
    <row r="104" spans="1:15">
      <c r="A104" s="3"/>
      <c r="B104" s="3"/>
      <c r="C104" s="803"/>
      <c r="D104" s="817"/>
      <c r="E104" s="817"/>
      <c r="F104" s="806"/>
      <c r="G104" s="3"/>
      <c r="H104" s="806"/>
      <c r="I104" s="3"/>
      <c r="J104" s="806"/>
      <c r="K104" s="3"/>
      <c r="L104" s="806"/>
      <c r="M104" s="3"/>
      <c r="N104" s="817"/>
      <c r="O104" s="817"/>
    </row>
    <row r="105" spans="1:15">
      <c r="A105" s="3"/>
      <c r="B105" s="3"/>
      <c r="C105" s="803"/>
      <c r="D105" s="817"/>
      <c r="E105" s="817"/>
      <c r="F105" s="806"/>
      <c r="G105" s="3"/>
      <c r="H105" s="806"/>
      <c r="I105" s="3"/>
      <c r="J105" s="806"/>
      <c r="K105" s="3"/>
      <c r="L105" s="806"/>
      <c r="M105" s="3"/>
      <c r="N105" s="817"/>
      <c r="O105" s="817"/>
    </row>
    <row r="106" spans="1:15">
      <c r="A106" s="3"/>
      <c r="B106" s="3"/>
      <c r="C106" s="803"/>
      <c r="D106" s="817"/>
      <c r="E106" s="817"/>
      <c r="F106" s="806"/>
      <c r="G106" s="3"/>
      <c r="H106" s="806"/>
      <c r="I106" s="3"/>
      <c r="J106" s="806"/>
      <c r="K106" s="3"/>
      <c r="L106" s="806"/>
      <c r="M106" s="3"/>
      <c r="N106" s="817"/>
      <c r="O106" s="817"/>
    </row>
    <row r="107" spans="1:15">
      <c r="A107" s="3"/>
      <c r="B107" s="3"/>
      <c r="C107" s="803"/>
      <c r="D107" s="817"/>
      <c r="E107" s="817"/>
      <c r="F107" s="806"/>
      <c r="G107" s="3"/>
      <c r="H107" s="806"/>
      <c r="I107" s="3"/>
      <c r="J107" s="806"/>
      <c r="K107" s="3"/>
      <c r="L107" s="806"/>
      <c r="M107" s="3"/>
      <c r="N107" s="817"/>
      <c r="O107" s="817"/>
    </row>
    <row r="108" spans="1:15">
      <c r="A108" s="3"/>
      <c r="B108" s="3"/>
      <c r="C108" s="803"/>
      <c r="D108" s="817"/>
      <c r="E108" s="817"/>
      <c r="F108" s="806"/>
      <c r="G108" s="3"/>
      <c r="H108" s="806"/>
      <c r="I108" s="3"/>
      <c r="J108" s="806"/>
      <c r="K108" s="3"/>
      <c r="L108" s="806"/>
      <c r="M108" s="3"/>
      <c r="N108" s="817"/>
      <c r="O108" s="817"/>
    </row>
    <row r="109" spans="1:15">
      <c r="A109" s="3"/>
      <c r="B109" s="3"/>
      <c r="C109" s="803"/>
      <c r="D109" s="817"/>
      <c r="E109" s="817"/>
      <c r="F109" s="806"/>
      <c r="G109" s="3"/>
      <c r="H109" s="806"/>
      <c r="I109" s="3"/>
      <c r="J109" s="806"/>
      <c r="K109" s="3"/>
      <c r="L109" s="806"/>
      <c r="M109" s="3"/>
      <c r="N109" s="817"/>
      <c r="O109" s="817"/>
    </row>
    <row r="110" spans="1:15">
      <c r="A110" s="3"/>
      <c r="B110" s="3"/>
      <c r="C110" s="803"/>
      <c r="D110" s="817"/>
      <c r="E110" s="817"/>
      <c r="F110" s="806"/>
      <c r="G110" s="3"/>
      <c r="H110" s="806"/>
      <c r="I110" s="3"/>
      <c r="J110" s="806"/>
      <c r="K110" s="3"/>
      <c r="L110" s="806"/>
      <c r="M110" s="3"/>
      <c r="N110" s="817"/>
      <c r="O110" s="817"/>
    </row>
    <row r="111" spans="1:15">
      <c r="A111" s="3"/>
      <c r="B111" s="3"/>
      <c r="C111" s="803"/>
      <c r="D111" s="817"/>
      <c r="E111" s="817"/>
      <c r="F111" s="806"/>
      <c r="G111" s="3"/>
      <c r="H111" s="806"/>
      <c r="I111" s="3"/>
      <c r="J111" s="806"/>
      <c r="K111" s="3"/>
      <c r="L111" s="806"/>
      <c r="M111" s="3"/>
      <c r="N111" s="817"/>
      <c r="O111" s="817"/>
    </row>
    <row r="112" spans="1:15">
      <c r="A112" s="3"/>
      <c r="B112" s="3"/>
      <c r="C112" s="803"/>
      <c r="D112" s="817"/>
      <c r="E112" s="817"/>
      <c r="F112" s="806"/>
      <c r="G112" s="3"/>
      <c r="H112" s="806"/>
      <c r="I112" s="3"/>
      <c r="J112" s="806"/>
      <c r="K112" s="3"/>
      <c r="L112" s="806"/>
      <c r="M112" s="3"/>
      <c r="N112" s="817"/>
      <c r="O112" s="817"/>
    </row>
    <row r="113" spans="1:15">
      <c r="A113" s="3"/>
      <c r="B113" s="3"/>
      <c r="C113" s="803"/>
      <c r="D113" s="817"/>
      <c r="E113" s="817"/>
      <c r="F113" s="806"/>
      <c r="G113" s="3"/>
      <c r="H113" s="806"/>
      <c r="I113" s="3"/>
      <c r="J113" s="806"/>
      <c r="K113" s="3"/>
      <c r="L113" s="806"/>
      <c r="M113" s="3"/>
      <c r="N113" s="817"/>
      <c r="O113" s="817"/>
    </row>
    <row r="114" spans="1:15">
      <c r="A114" s="3"/>
      <c r="B114" s="3"/>
      <c r="C114" s="803"/>
      <c r="D114" s="817"/>
      <c r="E114" s="817"/>
      <c r="F114" s="806"/>
      <c r="G114" s="3"/>
      <c r="H114" s="806"/>
      <c r="I114" s="3"/>
      <c r="J114" s="806"/>
      <c r="K114" s="3"/>
      <c r="L114" s="806"/>
      <c r="M114" s="3"/>
      <c r="N114" s="817"/>
      <c r="O114" s="817"/>
    </row>
    <row r="115" spans="1:15">
      <c r="A115" s="3"/>
      <c r="B115" s="3"/>
      <c r="C115" s="803"/>
      <c r="D115" s="817"/>
      <c r="E115" s="817"/>
      <c r="F115" s="806"/>
      <c r="G115" s="3"/>
      <c r="H115" s="806"/>
      <c r="I115" s="3"/>
      <c r="J115" s="806"/>
      <c r="K115" s="3"/>
      <c r="L115" s="806"/>
      <c r="M115" s="3"/>
      <c r="N115" s="817"/>
      <c r="O115" s="817"/>
    </row>
    <row r="116" spans="1:15">
      <c r="A116" s="3"/>
      <c r="B116" s="3"/>
      <c r="C116" s="803"/>
      <c r="D116" s="817"/>
      <c r="E116" s="817"/>
      <c r="F116" s="806"/>
      <c r="G116" s="3"/>
      <c r="H116" s="806"/>
      <c r="I116" s="3"/>
      <c r="J116" s="806"/>
      <c r="K116" s="3"/>
      <c r="L116" s="806"/>
      <c r="M116" s="3"/>
      <c r="N116" s="817"/>
      <c r="O116" s="817"/>
    </row>
    <row r="117" spans="1:15">
      <c r="A117" s="3"/>
      <c r="B117" s="3"/>
      <c r="C117" s="803"/>
      <c r="D117" s="817"/>
      <c r="E117" s="817"/>
      <c r="F117" s="806"/>
      <c r="G117" s="3"/>
      <c r="H117" s="806"/>
      <c r="I117" s="3"/>
      <c r="J117" s="806"/>
      <c r="K117" s="3"/>
      <c r="L117" s="806"/>
      <c r="M117" s="3"/>
      <c r="N117" s="817"/>
      <c r="O117" s="817"/>
    </row>
    <row r="118" spans="1:15">
      <c r="A118" s="3"/>
      <c r="B118" s="3"/>
      <c r="C118" s="803"/>
      <c r="D118" s="817"/>
      <c r="E118" s="817"/>
      <c r="F118" s="806"/>
      <c r="G118" s="3"/>
      <c r="H118" s="806"/>
      <c r="I118" s="3"/>
      <c r="J118" s="806"/>
      <c r="K118" s="3"/>
      <c r="L118" s="806"/>
      <c r="M118" s="3"/>
      <c r="N118" s="817"/>
      <c r="O118" s="817"/>
    </row>
    <row r="119" spans="1:15">
      <c r="A119" s="3"/>
      <c r="B119" s="3"/>
      <c r="C119" s="803"/>
      <c r="D119" s="817"/>
      <c r="E119" s="817"/>
      <c r="F119" s="806"/>
      <c r="G119" s="3"/>
      <c r="H119" s="806"/>
      <c r="I119" s="3"/>
      <c r="J119" s="806"/>
      <c r="K119" s="3"/>
      <c r="L119" s="806"/>
      <c r="M119" s="3"/>
      <c r="N119" s="817"/>
      <c r="O119" s="817"/>
    </row>
    <row r="120" spans="1:15">
      <c r="A120" s="3"/>
      <c r="B120" s="3"/>
      <c r="C120" s="803"/>
      <c r="D120" s="817"/>
      <c r="E120" s="817"/>
      <c r="F120" s="806"/>
      <c r="G120" s="3"/>
      <c r="H120" s="806"/>
      <c r="I120" s="3"/>
      <c r="J120" s="806"/>
      <c r="K120" s="3"/>
      <c r="L120" s="806"/>
      <c r="M120" s="3"/>
      <c r="N120" s="817"/>
      <c r="O120" s="817"/>
    </row>
    <row r="121" spans="1:15">
      <c r="A121" s="3"/>
      <c r="B121" s="3"/>
      <c r="C121" s="803"/>
      <c r="D121" s="817"/>
      <c r="E121" s="817"/>
      <c r="F121" s="806"/>
      <c r="G121" s="3"/>
      <c r="H121" s="806"/>
      <c r="I121" s="3"/>
      <c r="J121" s="806"/>
      <c r="K121" s="3"/>
      <c r="L121" s="806"/>
      <c r="M121" s="3"/>
      <c r="N121" s="817"/>
      <c r="O121" s="817"/>
    </row>
    <row r="122" spans="1:15">
      <c r="A122" s="3"/>
      <c r="B122" s="3"/>
      <c r="C122" s="803"/>
      <c r="D122" s="817"/>
      <c r="E122" s="817"/>
      <c r="F122" s="806"/>
      <c r="G122" s="3"/>
      <c r="H122" s="806"/>
      <c r="I122" s="3"/>
      <c r="J122" s="806"/>
      <c r="K122" s="3"/>
      <c r="L122" s="806"/>
      <c r="M122" s="3"/>
      <c r="N122" s="817"/>
      <c r="O122" s="817"/>
    </row>
    <row r="123" spans="1:15">
      <c r="A123" s="3"/>
      <c r="B123" s="3"/>
      <c r="C123" s="803"/>
      <c r="D123" s="817"/>
      <c r="E123" s="817"/>
      <c r="F123" s="806"/>
      <c r="G123" s="3"/>
      <c r="H123" s="806"/>
      <c r="I123" s="3"/>
      <c r="J123" s="806"/>
      <c r="K123" s="3"/>
      <c r="L123" s="806"/>
      <c r="M123" s="3"/>
      <c r="N123" s="817"/>
      <c r="O123" s="817"/>
    </row>
    <row r="124" spans="1:15">
      <c r="A124" s="3"/>
      <c r="B124" s="3"/>
      <c r="C124" s="803"/>
      <c r="D124" s="817"/>
      <c r="E124" s="817"/>
      <c r="F124" s="806"/>
      <c r="G124" s="3"/>
      <c r="H124" s="806"/>
      <c r="I124" s="3"/>
      <c r="J124" s="806"/>
      <c r="K124" s="3"/>
      <c r="L124" s="806"/>
      <c r="M124" s="3"/>
      <c r="N124" s="817"/>
      <c r="O124" s="817"/>
    </row>
    <row r="125" spans="1:15">
      <c r="A125" s="3"/>
      <c r="B125" s="3"/>
      <c r="C125" s="803"/>
      <c r="D125" s="817"/>
      <c r="E125" s="817"/>
      <c r="F125" s="806"/>
      <c r="G125" s="3"/>
      <c r="H125" s="806"/>
      <c r="I125" s="3"/>
      <c r="J125" s="806"/>
      <c r="K125" s="3"/>
      <c r="L125" s="806"/>
      <c r="M125" s="3"/>
      <c r="N125" s="817"/>
      <c r="O125" s="817"/>
    </row>
    <row r="126" spans="1:15">
      <c r="A126" s="3"/>
      <c r="B126" s="3"/>
      <c r="C126" s="803"/>
      <c r="D126" s="817"/>
      <c r="E126" s="817"/>
      <c r="F126" s="806"/>
      <c r="G126" s="3"/>
      <c r="H126" s="806"/>
      <c r="I126" s="3"/>
      <c r="J126" s="806"/>
      <c r="K126" s="3"/>
      <c r="L126" s="806"/>
      <c r="M126" s="3"/>
      <c r="N126" s="817"/>
      <c r="O126" s="817"/>
    </row>
    <row r="127" spans="1:15">
      <c r="A127" s="3"/>
      <c r="B127" s="3"/>
      <c r="C127" s="803"/>
      <c r="D127" s="817"/>
      <c r="E127" s="817"/>
      <c r="F127" s="806"/>
      <c r="G127" s="3"/>
      <c r="H127" s="806"/>
      <c r="I127" s="3"/>
      <c r="J127" s="806"/>
      <c r="K127" s="3"/>
      <c r="L127" s="806"/>
      <c r="M127" s="3"/>
      <c r="N127" s="817"/>
      <c r="O127" s="817"/>
    </row>
    <row r="128" spans="1:15">
      <c r="A128" s="3"/>
      <c r="B128" s="3"/>
      <c r="C128" s="803"/>
      <c r="D128" s="817"/>
      <c r="E128" s="817"/>
      <c r="F128" s="806"/>
      <c r="G128" s="3"/>
      <c r="H128" s="806"/>
      <c r="I128" s="3"/>
      <c r="J128" s="806"/>
      <c r="K128" s="3"/>
      <c r="L128" s="806"/>
      <c r="M128" s="3"/>
      <c r="N128" s="817"/>
      <c r="O128" s="817"/>
    </row>
    <row r="129" spans="1:15">
      <c r="A129" s="3"/>
      <c r="B129" s="3"/>
      <c r="C129" s="803"/>
      <c r="D129" s="817"/>
      <c r="E129" s="817"/>
      <c r="F129" s="806"/>
      <c r="G129" s="3"/>
      <c r="H129" s="806"/>
      <c r="I129" s="3"/>
      <c r="J129" s="806"/>
      <c r="K129" s="3"/>
      <c r="L129" s="806"/>
      <c r="M129" s="3"/>
      <c r="N129" s="817"/>
      <c r="O129" s="817"/>
    </row>
    <row r="130" spans="1:15">
      <c r="A130" s="3"/>
      <c r="B130" s="3"/>
      <c r="C130" s="803"/>
      <c r="D130" s="817"/>
      <c r="E130" s="817"/>
      <c r="F130" s="806"/>
      <c r="G130" s="3"/>
      <c r="H130" s="806"/>
      <c r="I130" s="3"/>
      <c r="J130" s="806"/>
      <c r="K130" s="3"/>
      <c r="L130" s="806"/>
      <c r="M130" s="3"/>
      <c r="N130" s="817"/>
      <c r="O130" s="817"/>
    </row>
    <row r="131" spans="1:15">
      <c r="A131" s="3"/>
      <c r="B131" s="3"/>
      <c r="C131" s="803"/>
      <c r="D131" s="817"/>
      <c r="E131" s="817"/>
      <c r="F131" s="806"/>
      <c r="G131" s="3"/>
      <c r="H131" s="806"/>
      <c r="I131" s="3"/>
      <c r="J131" s="806"/>
      <c r="K131" s="3"/>
      <c r="L131" s="806"/>
      <c r="M131" s="3"/>
      <c r="N131" s="817"/>
      <c r="O131" s="817"/>
    </row>
    <row r="132" spans="1:15">
      <c r="A132" s="3"/>
      <c r="B132" s="3"/>
      <c r="C132" s="803"/>
      <c r="D132" s="817"/>
      <c r="E132" s="817"/>
      <c r="F132" s="806"/>
      <c r="G132" s="3"/>
      <c r="H132" s="806"/>
      <c r="I132" s="3"/>
      <c r="J132" s="806"/>
      <c r="K132" s="3"/>
      <c r="L132" s="806"/>
      <c r="M132" s="3"/>
      <c r="N132" s="817"/>
      <c r="O132" s="817"/>
    </row>
    <row r="133" spans="1:15">
      <c r="A133" s="3"/>
      <c r="B133" s="3"/>
      <c r="C133" s="803"/>
      <c r="D133" s="817"/>
      <c r="E133" s="817"/>
      <c r="F133" s="806"/>
      <c r="G133" s="3"/>
      <c r="H133" s="806"/>
      <c r="I133" s="3"/>
      <c r="J133" s="806"/>
      <c r="K133" s="3"/>
      <c r="L133" s="806"/>
      <c r="M133" s="3"/>
      <c r="N133" s="817"/>
      <c r="O133" s="817"/>
    </row>
    <row r="134" spans="1:15">
      <c r="A134" s="3"/>
      <c r="B134" s="3"/>
      <c r="C134" s="803"/>
      <c r="D134" s="817"/>
      <c r="E134" s="817"/>
      <c r="F134" s="806"/>
      <c r="G134" s="3"/>
      <c r="H134" s="806"/>
      <c r="I134" s="3"/>
      <c r="J134" s="806"/>
      <c r="K134" s="3"/>
      <c r="L134" s="806"/>
      <c r="M134" s="3"/>
      <c r="N134" s="817"/>
      <c r="O134" s="817"/>
    </row>
    <row r="135" spans="1:15">
      <c r="A135" s="3"/>
      <c r="B135" s="3"/>
      <c r="C135" s="803"/>
      <c r="D135" s="817"/>
      <c r="E135" s="817"/>
      <c r="F135" s="806"/>
      <c r="G135" s="3"/>
      <c r="H135" s="806"/>
      <c r="I135" s="3"/>
      <c r="J135" s="806"/>
      <c r="K135" s="3"/>
      <c r="L135" s="806"/>
      <c r="M135" s="3"/>
      <c r="N135" s="817"/>
      <c r="O135" s="817"/>
    </row>
    <row r="136" spans="1:15">
      <c r="A136" s="3"/>
      <c r="B136" s="3"/>
      <c r="C136" s="803"/>
      <c r="D136" s="817"/>
      <c r="E136" s="817"/>
      <c r="F136" s="806"/>
      <c r="G136" s="3"/>
      <c r="H136" s="806"/>
      <c r="I136" s="3"/>
      <c r="J136" s="806"/>
      <c r="K136" s="3"/>
      <c r="L136" s="806"/>
      <c r="M136" s="3"/>
      <c r="N136" s="817"/>
      <c r="O136" s="817"/>
    </row>
    <row r="137" spans="1:15">
      <c r="A137" s="3"/>
      <c r="B137" s="3"/>
      <c r="C137" s="803"/>
      <c r="D137" s="817"/>
      <c r="E137" s="817"/>
      <c r="F137" s="806"/>
      <c r="G137" s="3"/>
      <c r="H137" s="806"/>
      <c r="I137" s="3"/>
      <c r="J137" s="806"/>
      <c r="K137" s="3"/>
      <c r="L137" s="806"/>
      <c r="M137" s="3"/>
      <c r="N137" s="817"/>
      <c r="O137" s="817"/>
    </row>
    <row r="138" spans="1:15">
      <c r="A138" s="3"/>
      <c r="B138" s="3"/>
      <c r="C138" s="803"/>
      <c r="D138" s="817"/>
      <c r="E138" s="817"/>
      <c r="F138" s="806"/>
      <c r="G138" s="3"/>
      <c r="H138" s="806"/>
      <c r="I138" s="3"/>
      <c r="J138" s="806"/>
      <c r="K138" s="3"/>
      <c r="L138" s="806"/>
      <c r="M138" s="3"/>
      <c r="N138" s="817"/>
      <c r="O138" s="817"/>
    </row>
    <row r="139" spans="1:15">
      <c r="A139" s="3"/>
      <c r="B139" s="3"/>
      <c r="C139" s="803"/>
      <c r="D139" s="817"/>
      <c r="E139" s="817"/>
      <c r="F139" s="806"/>
      <c r="G139" s="3"/>
      <c r="H139" s="806"/>
      <c r="I139" s="3"/>
      <c r="J139" s="806"/>
      <c r="K139" s="3"/>
      <c r="L139" s="806"/>
      <c r="M139" s="3"/>
      <c r="N139" s="817"/>
      <c r="O139" s="817"/>
    </row>
    <row r="140" spans="1:15">
      <c r="A140" s="3"/>
      <c r="B140" s="3"/>
      <c r="C140" s="803"/>
      <c r="D140" s="817"/>
      <c r="E140" s="817"/>
      <c r="F140" s="806"/>
      <c r="G140" s="3"/>
      <c r="H140" s="806"/>
      <c r="I140" s="3"/>
      <c r="J140" s="806"/>
      <c r="K140" s="3"/>
      <c r="L140" s="806"/>
      <c r="M140" s="3"/>
      <c r="N140" s="817"/>
      <c r="O140" s="817"/>
    </row>
    <row r="141" spans="1:15">
      <c r="A141" s="3"/>
      <c r="B141" s="3"/>
      <c r="C141" s="803"/>
      <c r="D141" s="817"/>
      <c r="E141" s="817"/>
      <c r="F141" s="806"/>
      <c r="G141" s="3"/>
      <c r="H141" s="806"/>
      <c r="I141" s="3"/>
      <c r="J141" s="806"/>
      <c r="K141" s="3"/>
      <c r="L141" s="806"/>
      <c r="M141" s="3"/>
      <c r="N141" s="817"/>
      <c r="O141" s="817"/>
    </row>
    <row r="142" spans="1:15">
      <c r="A142" s="3"/>
      <c r="B142" s="3"/>
      <c r="C142" s="803"/>
      <c r="D142" s="817"/>
      <c r="E142" s="817"/>
      <c r="F142" s="806"/>
      <c r="G142" s="3"/>
      <c r="H142" s="806"/>
      <c r="I142" s="3"/>
      <c r="J142" s="806"/>
      <c r="K142" s="3"/>
      <c r="L142" s="806"/>
      <c r="M142" s="3"/>
      <c r="N142" s="817"/>
      <c r="O142" s="817"/>
    </row>
    <row r="143" spans="1:15">
      <c r="A143" s="3"/>
      <c r="B143" s="3"/>
      <c r="C143" s="803"/>
      <c r="D143" s="817"/>
      <c r="E143" s="817"/>
      <c r="F143" s="806"/>
      <c r="G143" s="3"/>
      <c r="H143" s="806"/>
      <c r="I143" s="3"/>
      <c r="J143" s="806"/>
      <c r="K143" s="3"/>
      <c r="L143" s="806"/>
      <c r="M143" s="3"/>
      <c r="N143" s="817"/>
      <c r="O143" s="817"/>
    </row>
    <row r="144" spans="1:15">
      <c r="A144" s="3"/>
      <c r="B144" s="3"/>
      <c r="C144" s="803"/>
      <c r="D144" s="817"/>
      <c r="E144" s="817"/>
      <c r="F144" s="806"/>
      <c r="G144" s="3"/>
      <c r="H144" s="806"/>
      <c r="I144" s="3"/>
      <c r="J144" s="806"/>
      <c r="K144" s="3"/>
      <c r="L144" s="806"/>
      <c r="M144" s="3"/>
      <c r="N144" s="817"/>
      <c r="O144" s="817"/>
    </row>
    <row r="145" spans="1:15">
      <c r="A145" s="3"/>
      <c r="B145" s="3"/>
      <c r="C145" s="803"/>
      <c r="D145" s="817"/>
      <c r="E145" s="817"/>
      <c r="F145" s="806"/>
      <c r="G145" s="3"/>
      <c r="H145" s="806"/>
      <c r="I145" s="3"/>
      <c r="J145" s="806"/>
      <c r="K145" s="3"/>
      <c r="L145" s="806"/>
      <c r="M145" s="3"/>
      <c r="N145" s="817"/>
      <c r="O145" s="817"/>
    </row>
    <row r="146" spans="1:15">
      <c r="A146" s="3"/>
      <c r="B146" s="3"/>
      <c r="C146" s="803"/>
      <c r="D146" s="817"/>
      <c r="E146" s="817"/>
      <c r="F146" s="806"/>
      <c r="G146" s="3"/>
      <c r="H146" s="806"/>
      <c r="I146" s="3"/>
      <c r="J146" s="806"/>
      <c r="K146" s="3"/>
      <c r="L146" s="806"/>
      <c r="M146" s="3"/>
      <c r="N146" s="817"/>
      <c r="O146" s="817"/>
    </row>
    <row r="147" spans="1:15">
      <c r="A147" s="3"/>
      <c r="B147" s="3"/>
      <c r="C147" s="803"/>
      <c r="D147" s="817"/>
      <c r="E147" s="817"/>
      <c r="F147" s="806"/>
      <c r="G147" s="3"/>
      <c r="H147" s="806"/>
      <c r="I147" s="3"/>
      <c r="J147" s="806"/>
      <c r="K147" s="3"/>
      <c r="L147" s="806"/>
      <c r="M147" s="3"/>
      <c r="N147" s="817"/>
      <c r="O147" s="817"/>
    </row>
    <row r="148" spans="1:15">
      <c r="A148" s="3"/>
      <c r="B148" s="3"/>
      <c r="C148" s="803"/>
      <c r="D148" s="817"/>
      <c r="E148" s="817"/>
      <c r="F148" s="806"/>
      <c r="G148" s="3"/>
      <c r="H148" s="806"/>
      <c r="I148" s="3"/>
      <c r="J148" s="806"/>
      <c r="K148" s="3"/>
      <c r="L148" s="806"/>
      <c r="M148" s="3"/>
      <c r="N148" s="817"/>
      <c r="O148" s="817"/>
    </row>
    <row r="149" spans="1:15">
      <c r="A149" s="3"/>
      <c r="B149" s="3"/>
      <c r="C149" s="803"/>
      <c r="D149" s="817"/>
      <c r="E149" s="817"/>
      <c r="F149" s="806"/>
      <c r="G149" s="3"/>
      <c r="H149" s="806"/>
      <c r="I149" s="3"/>
      <c r="J149" s="806"/>
      <c r="K149" s="3"/>
      <c r="L149" s="806"/>
      <c r="M149" s="3"/>
      <c r="N149" s="817"/>
      <c r="O149" s="817"/>
    </row>
    <row r="150" spans="1:15">
      <c r="A150" s="3"/>
      <c r="B150" s="3"/>
      <c r="C150" s="803"/>
      <c r="D150" s="817"/>
      <c r="E150" s="817"/>
      <c r="F150" s="806"/>
      <c r="G150" s="3"/>
      <c r="H150" s="806"/>
      <c r="I150" s="3"/>
      <c r="J150" s="806"/>
      <c r="K150" s="3"/>
      <c r="L150" s="806"/>
      <c r="M150" s="3"/>
      <c r="N150" s="817"/>
      <c r="O150" s="817"/>
    </row>
    <row r="151" spans="1:15">
      <c r="A151" s="3"/>
      <c r="B151" s="3"/>
      <c r="C151" s="803"/>
      <c r="D151" s="817"/>
      <c r="E151" s="817"/>
      <c r="F151" s="806"/>
      <c r="G151" s="3"/>
      <c r="H151" s="806"/>
      <c r="I151" s="3"/>
      <c r="J151" s="806"/>
      <c r="K151" s="3"/>
      <c r="L151" s="806"/>
      <c r="M151" s="3"/>
      <c r="N151" s="817"/>
      <c r="O151" s="817"/>
    </row>
    <row r="152" spans="1:15">
      <c r="A152" s="3"/>
      <c r="B152" s="3"/>
      <c r="C152" s="803"/>
      <c r="D152" s="817"/>
      <c r="E152" s="817"/>
      <c r="F152" s="806"/>
      <c r="G152" s="3"/>
      <c r="H152" s="806"/>
      <c r="I152" s="3"/>
      <c r="J152" s="806"/>
      <c r="K152" s="3"/>
      <c r="L152" s="806"/>
      <c r="M152" s="3"/>
      <c r="N152" s="817"/>
      <c r="O152" s="817"/>
    </row>
    <row r="153" spans="1:15">
      <c r="A153" s="3"/>
      <c r="B153" s="3"/>
      <c r="C153" s="803"/>
      <c r="D153" s="817"/>
      <c r="E153" s="817"/>
      <c r="F153" s="806"/>
      <c r="G153" s="3"/>
      <c r="H153" s="806"/>
      <c r="I153" s="3"/>
      <c r="J153" s="806"/>
      <c r="K153" s="3"/>
      <c r="L153" s="806"/>
      <c r="M153" s="3"/>
      <c r="N153" s="817"/>
      <c r="O153" s="817"/>
    </row>
    <row r="154" spans="1:15">
      <c r="A154" s="3"/>
      <c r="B154" s="3"/>
      <c r="C154" s="803"/>
      <c r="D154" s="817"/>
      <c r="E154" s="817"/>
      <c r="F154" s="806"/>
      <c r="G154" s="3"/>
      <c r="H154" s="806"/>
      <c r="I154" s="3"/>
      <c r="J154" s="806"/>
      <c r="K154" s="3"/>
      <c r="L154" s="806"/>
      <c r="M154" s="3"/>
      <c r="N154" s="817"/>
      <c r="O154" s="817"/>
    </row>
    <row r="155" spans="1:15">
      <c r="A155" s="3"/>
      <c r="B155" s="3"/>
      <c r="C155" s="803"/>
      <c r="D155" s="817"/>
      <c r="E155" s="817"/>
      <c r="F155" s="806"/>
      <c r="G155" s="3"/>
      <c r="H155" s="806"/>
      <c r="I155" s="3"/>
      <c r="J155" s="806"/>
      <c r="K155" s="3"/>
      <c r="L155" s="806"/>
      <c r="M155" s="3"/>
      <c r="N155" s="817"/>
      <c r="O155" s="817"/>
    </row>
    <row r="156" spans="1:15">
      <c r="A156" s="3"/>
      <c r="B156" s="3"/>
      <c r="C156" s="803"/>
      <c r="D156" s="817"/>
      <c r="E156" s="817"/>
      <c r="F156" s="806"/>
      <c r="G156" s="3"/>
      <c r="H156" s="806"/>
      <c r="I156" s="3"/>
      <c r="J156" s="806"/>
      <c r="K156" s="3"/>
      <c r="L156" s="806"/>
      <c r="M156" s="3"/>
      <c r="N156" s="817"/>
      <c r="O156" s="817"/>
    </row>
    <row r="157" spans="1:15">
      <c r="A157" s="3"/>
      <c r="B157" s="3"/>
      <c r="C157" s="803"/>
      <c r="D157" s="817"/>
      <c r="E157" s="817"/>
      <c r="F157" s="806"/>
      <c r="G157" s="3"/>
      <c r="H157" s="806"/>
      <c r="I157" s="3"/>
      <c r="J157" s="806"/>
      <c r="K157" s="3"/>
      <c r="L157" s="806"/>
      <c r="M157" s="3"/>
      <c r="N157" s="817"/>
      <c r="O157" s="817"/>
    </row>
    <row r="158" spans="1:15">
      <c r="A158" s="3"/>
      <c r="B158" s="3"/>
      <c r="C158" s="803"/>
      <c r="D158" s="817"/>
      <c r="E158" s="817"/>
      <c r="F158" s="806"/>
      <c r="G158" s="3"/>
      <c r="H158" s="806"/>
      <c r="I158" s="3"/>
      <c r="J158" s="806"/>
      <c r="K158" s="3"/>
      <c r="L158" s="806"/>
      <c r="M158" s="3"/>
      <c r="N158" s="817"/>
      <c r="O158" s="817"/>
    </row>
    <row r="159" spans="1:15">
      <c r="A159" s="3"/>
      <c r="B159" s="3"/>
      <c r="C159" s="803"/>
      <c r="D159" s="817"/>
      <c r="E159" s="817"/>
      <c r="F159" s="806"/>
      <c r="G159" s="3"/>
      <c r="H159" s="806"/>
      <c r="I159" s="3"/>
      <c r="J159" s="806"/>
      <c r="K159" s="3"/>
      <c r="L159" s="806"/>
      <c r="M159" s="3"/>
      <c r="N159" s="817"/>
      <c r="O159" s="817"/>
    </row>
    <row r="160" spans="1:15">
      <c r="A160" s="3"/>
      <c r="B160" s="3"/>
      <c r="C160" s="803"/>
      <c r="D160" s="817"/>
      <c r="E160" s="817"/>
      <c r="F160" s="806"/>
      <c r="G160" s="3"/>
      <c r="H160" s="806"/>
      <c r="I160" s="3"/>
      <c r="J160" s="806"/>
      <c r="K160" s="3"/>
      <c r="L160" s="806"/>
      <c r="M160" s="3"/>
      <c r="N160" s="817"/>
      <c r="O160" s="817"/>
    </row>
    <row r="161" spans="1:15">
      <c r="A161" s="3"/>
      <c r="B161" s="3"/>
      <c r="C161" s="803"/>
      <c r="D161" s="817"/>
      <c r="E161" s="817"/>
      <c r="F161" s="806"/>
      <c r="G161" s="3"/>
      <c r="H161" s="806"/>
      <c r="I161" s="3"/>
      <c r="J161" s="806"/>
      <c r="K161" s="3"/>
      <c r="L161" s="806"/>
      <c r="M161" s="3"/>
      <c r="N161" s="817"/>
      <c r="O161" s="817"/>
    </row>
    <row r="162" spans="1:15">
      <c r="A162" s="3"/>
      <c r="B162" s="3"/>
      <c r="C162" s="803"/>
      <c r="D162" s="817"/>
      <c r="E162" s="817"/>
      <c r="F162" s="806"/>
      <c r="G162" s="3"/>
      <c r="H162" s="806"/>
      <c r="I162" s="3"/>
      <c r="J162" s="806"/>
      <c r="K162" s="3"/>
      <c r="L162" s="806"/>
      <c r="M162" s="3"/>
      <c r="N162" s="817"/>
      <c r="O162" s="817"/>
    </row>
    <row r="163" spans="1:15">
      <c r="A163" s="3"/>
      <c r="B163" s="3"/>
      <c r="C163" s="803"/>
      <c r="D163" s="817"/>
      <c r="E163" s="817"/>
      <c r="F163" s="806"/>
      <c r="G163" s="3"/>
      <c r="H163" s="806"/>
      <c r="I163" s="3"/>
      <c r="J163" s="806"/>
      <c r="K163" s="3"/>
      <c r="L163" s="806"/>
      <c r="M163" s="3"/>
      <c r="N163" s="817"/>
      <c r="O163" s="817"/>
    </row>
    <row r="164" spans="1:15">
      <c r="A164" s="3"/>
      <c r="B164" s="3"/>
      <c r="C164" s="803"/>
      <c r="D164" s="817"/>
      <c r="E164" s="817"/>
      <c r="F164" s="806"/>
      <c r="G164" s="3"/>
      <c r="H164" s="806"/>
      <c r="I164" s="3"/>
      <c r="J164" s="806"/>
      <c r="K164" s="3"/>
      <c r="L164" s="806"/>
      <c r="M164" s="3"/>
      <c r="N164" s="817"/>
      <c r="O164" s="817"/>
    </row>
    <row r="165" spans="1:15">
      <c r="A165" s="3"/>
      <c r="B165" s="3"/>
      <c r="C165" s="803"/>
      <c r="D165" s="817"/>
      <c r="E165" s="817"/>
      <c r="F165" s="806"/>
      <c r="G165" s="3"/>
      <c r="H165" s="806"/>
      <c r="I165" s="3"/>
      <c r="J165" s="806"/>
      <c r="K165" s="3"/>
      <c r="L165" s="806"/>
      <c r="M165" s="3"/>
      <c r="N165" s="817"/>
      <c r="O165" s="817"/>
    </row>
    <row r="166" spans="1:15">
      <c r="A166" s="3"/>
      <c r="B166" s="3"/>
      <c r="C166" s="803"/>
      <c r="D166" s="817"/>
      <c r="E166" s="817"/>
      <c r="F166" s="806"/>
      <c r="G166" s="3"/>
      <c r="H166" s="806"/>
      <c r="I166" s="3"/>
      <c r="J166" s="806"/>
      <c r="K166" s="3"/>
      <c r="L166" s="806"/>
      <c r="M166" s="3"/>
      <c r="N166" s="817"/>
      <c r="O166" s="817"/>
    </row>
    <row r="167" spans="1:15">
      <c r="A167" s="3"/>
      <c r="B167" s="3"/>
      <c r="C167" s="803"/>
      <c r="D167" s="817"/>
      <c r="E167" s="817"/>
      <c r="F167" s="806"/>
      <c r="G167" s="3"/>
      <c r="H167" s="806"/>
      <c r="I167" s="3"/>
      <c r="J167" s="806"/>
      <c r="K167" s="3"/>
      <c r="L167" s="806"/>
      <c r="M167" s="3"/>
      <c r="N167" s="817"/>
      <c r="O167" s="817"/>
    </row>
    <row r="168" spans="1:15">
      <c r="A168" s="3"/>
      <c r="B168" s="3"/>
      <c r="C168" s="803"/>
      <c r="D168" s="817"/>
      <c r="E168" s="817"/>
      <c r="F168" s="806"/>
      <c r="G168" s="3"/>
      <c r="H168" s="806"/>
      <c r="I168" s="3"/>
      <c r="J168" s="806"/>
      <c r="K168" s="3"/>
      <c r="L168" s="806"/>
      <c r="M168" s="3"/>
      <c r="N168" s="817"/>
      <c r="O168" s="817"/>
    </row>
    <row r="169" spans="1:15">
      <c r="A169" s="3"/>
      <c r="B169" s="3"/>
      <c r="C169" s="803"/>
      <c r="D169" s="817"/>
      <c r="E169" s="817"/>
      <c r="F169" s="806"/>
      <c r="G169" s="3"/>
      <c r="H169" s="806"/>
      <c r="I169" s="3"/>
      <c r="J169" s="806"/>
      <c r="K169" s="3"/>
      <c r="L169" s="806"/>
      <c r="M169" s="3"/>
      <c r="N169" s="817"/>
      <c r="O169" s="817"/>
    </row>
    <row r="170" spans="1:15">
      <c r="A170" s="3"/>
      <c r="B170" s="3"/>
      <c r="C170" s="803"/>
      <c r="D170" s="817"/>
      <c r="E170" s="817"/>
      <c r="F170" s="806"/>
      <c r="G170" s="3"/>
      <c r="H170" s="806"/>
      <c r="I170" s="3"/>
      <c r="J170" s="806"/>
      <c r="K170" s="3"/>
      <c r="L170" s="806"/>
      <c r="M170" s="3"/>
      <c r="N170" s="817"/>
      <c r="O170" s="817"/>
    </row>
    <row r="171" spans="1:15">
      <c r="A171" s="3"/>
      <c r="B171" s="3"/>
      <c r="C171" s="803"/>
      <c r="D171" s="817"/>
      <c r="E171" s="817"/>
      <c r="F171" s="806"/>
      <c r="G171" s="3"/>
      <c r="H171" s="806"/>
      <c r="I171" s="3"/>
      <c r="J171" s="806"/>
      <c r="K171" s="3"/>
      <c r="L171" s="806"/>
      <c r="M171" s="3"/>
      <c r="N171" s="817"/>
      <c r="O171" s="817"/>
    </row>
    <row r="172" spans="1:15">
      <c r="A172" s="3"/>
      <c r="B172" s="3"/>
      <c r="C172" s="803"/>
      <c r="D172" s="817"/>
      <c r="E172" s="817"/>
      <c r="F172" s="806"/>
      <c r="G172" s="3"/>
      <c r="H172" s="806"/>
      <c r="I172" s="3"/>
      <c r="J172" s="806"/>
      <c r="K172" s="3"/>
      <c r="L172" s="806"/>
      <c r="M172" s="3"/>
      <c r="N172" s="817"/>
      <c r="O172" s="817"/>
    </row>
    <row r="173" spans="1:15">
      <c r="A173" s="3"/>
      <c r="B173" s="3"/>
      <c r="C173" s="803"/>
      <c r="D173" s="817"/>
      <c r="E173" s="817"/>
      <c r="F173" s="806"/>
      <c r="G173" s="3"/>
      <c r="H173" s="806"/>
      <c r="I173" s="3"/>
      <c r="J173" s="806"/>
      <c r="K173" s="3"/>
      <c r="L173" s="806"/>
      <c r="M173" s="3"/>
      <c r="N173" s="817"/>
      <c r="O173" s="817"/>
    </row>
    <row r="174" spans="1:15">
      <c r="A174" s="3"/>
      <c r="B174" s="3"/>
      <c r="C174" s="803"/>
      <c r="D174" s="817"/>
      <c r="E174" s="817"/>
      <c r="F174" s="806"/>
      <c r="G174" s="3"/>
      <c r="H174" s="806"/>
      <c r="I174" s="3"/>
      <c r="J174" s="806"/>
      <c r="K174" s="3"/>
      <c r="L174" s="806"/>
      <c r="M174" s="3"/>
      <c r="N174" s="817"/>
      <c r="O174" s="817"/>
    </row>
    <row r="175" spans="1:15">
      <c r="A175" s="3"/>
      <c r="B175" s="3"/>
      <c r="C175" s="803"/>
      <c r="D175" s="817"/>
      <c r="E175" s="817"/>
      <c r="F175" s="806"/>
      <c r="G175" s="3"/>
      <c r="H175" s="806"/>
      <c r="I175" s="3"/>
      <c r="J175" s="806"/>
      <c r="K175" s="3"/>
      <c r="L175" s="806"/>
      <c r="M175" s="3"/>
      <c r="N175" s="817"/>
      <c r="O175" s="817"/>
    </row>
    <row r="176" spans="1:15">
      <c r="A176" s="3"/>
      <c r="B176" s="3"/>
      <c r="C176" s="803"/>
      <c r="D176" s="817"/>
      <c r="E176" s="817"/>
      <c r="F176" s="806"/>
      <c r="G176" s="3"/>
      <c r="H176" s="806"/>
      <c r="I176" s="3"/>
      <c r="J176" s="806"/>
      <c r="K176" s="3"/>
      <c r="L176" s="806"/>
      <c r="M176" s="3"/>
      <c r="N176" s="817"/>
      <c r="O176" s="817"/>
    </row>
    <row r="177" spans="1:15">
      <c r="A177" s="3"/>
      <c r="B177" s="3"/>
      <c r="C177" s="803"/>
      <c r="D177" s="817"/>
      <c r="E177" s="817"/>
      <c r="F177" s="806"/>
      <c r="G177" s="3"/>
      <c r="H177" s="806"/>
      <c r="I177" s="3"/>
      <c r="J177" s="806"/>
      <c r="K177" s="3"/>
      <c r="L177" s="806"/>
      <c r="M177" s="3"/>
      <c r="N177" s="817"/>
      <c r="O177" s="817"/>
    </row>
    <row r="178" spans="1:15">
      <c r="A178" s="3"/>
      <c r="B178" s="3"/>
      <c r="C178" s="803"/>
      <c r="D178" s="817"/>
      <c r="E178" s="817"/>
      <c r="F178" s="806"/>
      <c r="G178" s="3"/>
      <c r="H178" s="806"/>
      <c r="I178" s="3"/>
      <c r="J178" s="806"/>
      <c r="K178" s="3"/>
      <c r="L178" s="806"/>
      <c r="M178" s="3"/>
      <c r="N178" s="817"/>
      <c r="O178" s="817"/>
    </row>
    <row r="179" spans="1:15">
      <c r="A179" s="3"/>
      <c r="B179" s="3"/>
      <c r="C179" s="803"/>
      <c r="D179" s="817"/>
      <c r="E179" s="817"/>
      <c r="F179" s="806"/>
      <c r="G179" s="3"/>
      <c r="H179" s="806"/>
      <c r="I179" s="3"/>
      <c r="J179" s="806"/>
      <c r="K179" s="3"/>
      <c r="L179" s="806"/>
      <c r="M179" s="3"/>
      <c r="N179" s="817"/>
      <c r="O179" s="817"/>
    </row>
    <row r="180" spans="1:15">
      <c r="A180" s="3"/>
      <c r="B180" s="3"/>
      <c r="C180" s="803"/>
      <c r="D180" s="817"/>
      <c r="E180" s="817"/>
      <c r="F180" s="806"/>
      <c r="G180" s="3"/>
      <c r="H180" s="806"/>
      <c r="I180" s="3"/>
      <c r="J180" s="806"/>
      <c r="K180" s="3"/>
      <c r="L180" s="806"/>
      <c r="M180" s="3"/>
      <c r="N180" s="817"/>
      <c r="O180" s="817"/>
    </row>
    <row r="181" spans="1:15">
      <c r="A181" s="3"/>
      <c r="B181" s="3"/>
      <c r="C181" s="803"/>
      <c r="D181" s="817"/>
      <c r="E181" s="817"/>
      <c r="F181" s="806"/>
      <c r="G181" s="3"/>
      <c r="H181" s="806"/>
      <c r="I181" s="3"/>
      <c r="J181" s="806"/>
      <c r="K181" s="3"/>
      <c r="L181" s="806"/>
      <c r="M181" s="3"/>
      <c r="N181" s="817"/>
      <c r="O181" s="817"/>
    </row>
    <row r="182" spans="1:15">
      <c r="A182" s="3"/>
      <c r="B182" s="3"/>
      <c r="C182" s="803"/>
      <c r="D182" s="817"/>
      <c r="E182" s="817"/>
      <c r="F182" s="806"/>
      <c r="G182" s="3"/>
      <c r="H182" s="806"/>
      <c r="I182" s="3"/>
      <c r="J182" s="806"/>
      <c r="K182" s="3"/>
      <c r="L182" s="806"/>
      <c r="M182" s="3"/>
      <c r="N182" s="817"/>
      <c r="O182" s="817"/>
    </row>
    <row r="183" spans="1:15">
      <c r="A183" s="3"/>
      <c r="B183" s="3"/>
      <c r="C183" s="803"/>
      <c r="D183" s="817"/>
      <c r="E183" s="817"/>
      <c r="F183" s="806"/>
      <c r="G183" s="3"/>
      <c r="H183" s="806"/>
      <c r="I183" s="3"/>
      <c r="J183" s="806"/>
      <c r="K183" s="3"/>
      <c r="L183" s="806"/>
      <c r="M183" s="3"/>
      <c r="N183" s="817"/>
      <c r="O183" s="817"/>
    </row>
    <row r="184" spans="1:15">
      <c r="A184" s="3"/>
      <c r="B184" s="3"/>
      <c r="C184" s="803"/>
      <c r="D184" s="817"/>
      <c r="E184" s="817"/>
      <c r="F184" s="806"/>
      <c r="G184" s="3"/>
      <c r="H184" s="806"/>
      <c r="I184" s="3"/>
      <c r="J184" s="806"/>
      <c r="K184" s="3"/>
      <c r="L184" s="806"/>
      <c r="M184" s="3"/>
      <c r="N184" s="817"/>
      <c r="O184" s="817"/>
    </row>
    <row r="185" spans="1:15">
      <c r="A185" s="3"/>
      <c r="B185" s="3"/>
      <c r="C185" s="803"/>
      <c r="D185" s="817"/>
      <c r="E185" s="817"/>
      <c r="F185" s="806"/>
      <c r="G185" s="3"/>
      <c r="H185" s="806"/>
      <c r="I185" s="3"/>
      <c r="J185" s="806"/>
      <c r="K185" s="3"/>
      <c r="L185" s="806"/>
      <c r="M185" s="3"/>
      <c r="N185" s="817"/>
      <c r="O185" s="817"/>
    </row>
    <row r="186" spans="1:15">
      <c r="A186" s="3"/>
      <c r="B186" s="3"/>
      <c r="C186" s="803"/>
      <c r="D186" s="817"/>
      <c r="E186" s="817"/>
      <c r="F186" s="806"/>
      <c r="G186" s="3"/>
      <c r="H186" s="806"/>
      <c r="I186" s="3"/>
      <c r="J186" s="806"/>
      <c r="K186" s="3"/>
      <c r="L186" s="806"/>
      <c r="M186" s="3"/>
      <c r="N186" s="817"/>
      <c r="O186" s="817"/>
    </row>
    <row r="187" spans="1:15">
      <c r="A187" s="3"/>
      <c r="B187" s="3"/>
      <c r="C187" s="803"/>
      <c r="D187" s="817"/>
      <c r="E187" s="817"/>
      <c r="F187" s="806"/>
      <c r="G187" s="3"/>
      <c r="H187" s="806"/>
      <c r="I187" s="3"/>
      <c r="J187" s="806"/>
      <c r="K187" s="3"/>
      <c r="L187" s="806"/>
      <c r="M187" s="3"/>
      <c r="N187" s="817"/>
      <c r="O187" s="817"/>
    </row>
    <row r="188" spans="1:15">
      <c r="A188" s="3"/>
      <c r="B188" s="3"/>
      <c r="C188" s="803"/>
      <c r="D188" s="817"/>
      <c r="E188" s="817"/>
      <c r="F188" s="806"/>
      <c r="G188" s="3"/>
      <c r="H188" s="806"/>
      <c r="I188" s="3"/>
      <c r="J188" s="806"/>
      <c r="K188" s="3"/>
      <c r="L188" s="806"/>
      <c r="M188" s="3"/>
      <c r="N188" s="817"/>
      <c r="O188" s="817"/>
    </row>
    <row r="189" spans="1:15">
      <c r="A189" s="3"/>
      <c r="B189" s="3"/>
      <c r="C189" s="803"/>
      <c r="D189" s="817"/>
      <c r="E189" s="817"/>
      <c r="F189" s="806"/>
      <c r="G189" s="3"/>
      <c r="H189" s="806"/>
      <c r="I189" s="3"/>
      <c r="J189" s="806"/>
      <c r="K189" s="3"/>
      <c r="L189" s="806"/>
      <c r="M189" s="3"/>
      <c r="N189" s="817"/>
      <c r="O189" s="817"/>
    </row>
    <row r="190" spans="1:15">
      <c r="A190" s="3"/>
      <c r="B190" s="3"/>
      <c r="C190" s="803"/>
      <c r="D190" s="817"/>
      <c r="E190" s="817"/>
      <c r="F190" s="806"/>
      <c r="G190" s="3"/>
      <c r="H190" s="806"/>
      <c r="I190" s="3"/>
      <c r="J190" s="806"/>
      <c r="K190" s="3"/>
      <c r="L190" s="806"/>
      <c r="M190" s="3"/>
      <c r="N190" s="817"/>
      <c r="O190" s="817"/>
    </row>
    <row r="191" spans="1:15">
      <c r="A191" s="3"/>
      <c r="B191" s="3"/>
      <c r="C191" s="803"/>
      <c r="D191" s="817"/>
      <c r="E191" s="817"/>
      <c r="F191" s="806"/>
      <c r="G191" s="3"/>
      <c r="H191" s="806"/>
      <c r="I191" s="3"/>
      <c r="J191" s="806"/>
      <c r="K191" s="3"/>
      <c r="L191" s="806"/>
      <c r="M191" s="3"/>
      <c r="N191" s="817"/>
      <c r="O191" s="817"/>
    </row>
    <row r="192" spans="1:15">
      <c r="A192" s="3"/>
      <c r="B192" s="3"/>
      <c r="C192" s="803"/>
      <c r="D192" s="817"/>
      <c r="E192" s="817"/>
      <c r="F192" s="806"/>
      <c r="G192" s="3"/>
      <c r="H192" s="806"/>
      <c r="I192" s="3"/>
      <c r="J192" s="806"/>
      <c r="K192" s="3"/>
      <c r="L192" s="806"/>
      <c r="M192" s="3"/>
      <c r="N192" s="817"/>
      <c r="O192" s="817"/>
    </row>
    <row r="193" spans="1:15">
      <c r="A193" s="3"/>
      <c r="B193" s="3"/>
      <c r="C193" s="803"/>
      <c r="D193" s="817"/>
      <c r="E193" s="817"/>
      <c r="F193" s="806"/>
      <c r="G193" s="3"/>
      <c r="H193" s="806"/>
      <c r="I193" s="3"/>
      <c r="J193" s="806"/>
      <c r="K193" s="3"/>
      <c r="L193" s="806"/>
      <c r="M193" s="3"/>
      <c r="N193" s="817"/>
      <c r="O193" s="817"/>
    </row>
    <row r="194" spans="1:15">
      <c r="A194" s="3"/>
      <c r="B194" s="3"/>
      <c r="C194" s="803"/>
      <c r="D194" s="817"/>
      <c r="E194" s="817"/>
      <c r="F194" s="806"/>
      <c r="G194" s="3"/>
      <c r="H194" s="806"/>
      <c r="I194" s="3"/>
      <c r="J194" s="806"/>
      <c r="K194" s="3"/>
      <c r="L194" s="806"/>
      <c r="M194" s="3"/>
      <c r="N194" s="817"/>
      <c r="O194" s="817"/>
    </row>
    <row r="195" spans="1:15">
      <c r="A195" s="3"/>
      <c r="B195" s="3"/>
      <c r="C195" s="803"/>
      <c r="D195" s="817"/>
      <c r="E195" s="817"/>
      <c r="F195" s="806"/>
      <c r="G195" s="3"/>
      <c r="H195" s="806"/>
      <c r="I195" s="3"/>
      <c r="J195" s="806"/>
      <c r="K195" s="3"/>
      <c r="L195" s="806"/>
      <c r="M195" s="3"/>
      <c r="N195" s="817"/>
      <c r="O195" s="817"/>
    </row>
    <row r="196" spans="1:15">
      <c r="A196" s="3"/>
      <c r="B196" s="3"/>
      <c r="C196" s="803"/>
      <c r="D196" s="817"/>
      <c r="E196" s="817"/>
      <c r="F196" s="806"/>
      <c r="G196" s="3"/>
      <c r="H196" s="806"/>
      <c r="I196" s="3"/>
      <c r="J196" s="806"/>
      <c r="K196" s="3"/>
      <c r="L196" s="806"/>
      <c r="M196" s="3"/>
      <c r="N196" s="817"/>
      <c r="O196" s="817"/>
    </row>
    <row r="197" spans="1:15">
      <c r="A197" s="3"/>
      <c r="B197" s="3"/>
      <c r="C197" s="803"/>
      <c r="D197" s="817"/>
      <c r="E197" s="817"/>
      <c r="F197" s="806"/>
      <c r="G197" s="3"/>
      <c r="H197" s="806"/>
      <c r="I197" s="3"/>
      <c r="J197" s="806"/>
      <c r="K197" s="3"/>
      <c r="L197" s="806"/>
      <c r="M197" s="3"/>
      <c r="N197" s="817"/>
      <c r="O197" s="817"/>
    </row>
    <row r="198" spans="1:15">
      <c r="A198" s="3"/>
      <c r="B198" s="3"/>
      <c r="C198" s="803"/>
      <c r="D198" s="817"/>
      <c r="E198" s="817"/>
      <c r="F198" s="806"/>
      <c r="G198" s="3"/>
      <c r="H198" s="806"/>
      <c r="I198" s="3"/>
      <c r="J198" s="806"/>
      <c r="K198" s="3"/>
      <c r="L198" s="806"/>
      <c r="M198" s="3"/>
      <c r="N198" s="817"/>
      <c r="O198" s="817"/>
    </row>
    <row r="199" spans="1:15">
      <c r="A199" s="3"/>
      <c r="B199" s="3"/>
      <c r="C199" s="803"/>
      <c r="D199" s="817"/>
      <c r="E199" s="817"/>
      <c r="F199" s="806"/>
      <c r="G199" s="3"/>
      <c r="H199" s="806"/>
      <c r="I199" s="3"/>
      <c r="J199" s="806"/>
      <c r="K199" s="3"/>
      <c r="L199" s="806"/>
      <c r="M199" s="3"/>
      <c r="N199" s="817"/>
      <c r="O199" s="817"/>
    </row>
    <row r="200" spans="1:15">
      <c r="A200" s="3"/>
      <c r="B200" s="3"/>
      <c r="C200" s="803"/>
      <c r="D200" s="817"/>
      <c r="E200" s="817"/>
      <c r="F200" s="806"/>
      <c r="G200" s="3"/>
      <c r="H200" s="806"/>
      <c r="I200" s="3"/>
      <c r="J200" s="806"/>
      <c r="K200" s="3"/>
      <c r="L200" s="806"/>
      <c r="M200" s="3"/>
      <c r="N200" s="817"/>
      <c r="O200" s="817"/>
    </row>
    <row r="201" spans="1:15">
      <c r="A201" s="3"/>
      <c r="B201" s="3"/>
      <c r="C201" s="803"/>
      <c r="D201" s="817"/>
      <c r="E201" s="817"/>
      <c r="F201" s="806"/>
      <c r="G201" s="3"/>
      <c r="H201" s="806"/>
      <c r="I201" s="3"/>
      <c r="J201" s="806"/>
      <c r="K201" s="3"/>
      <c r="L201" s="806"/>
      <c r="M201" s="3"/>
      <c r="N201" s="817"/>
      <c r="O201" s="817"/>
    </row>
    <row r="202" spans="1:15">
      <c r="A202" s="3"/>
      <c r="B202" s="3"/>
      <c r="C202" s="803"/>
      <c r="D202" s="817"/>
      <c r="E202" s="817"/>
      <c r="F202" s="806"/>
      <c r="G202" s="3"/>
      <c r="H202" s="806"/>
      <c r="I202" s="3"/>
      <c r="J202" s="806"/>
      <c r="K202" s="3"/>
      <c r="L202" s="806"/>
      <c r="M202" s="3"/>
      <c r="N202" s="817"/>
      <c r="O202" s="817"/>
    </row>
    <row r="203" spans="1:15">
      <c r="A203" s="3"/>
      <c r="B203" s="3"/>
      <c r="C203" s="803"/>
      <c r="D203" s="817"/>
      <c r="E203" s="817"/>
      <c r="F203" s="806"/>
      <c r="G203" s="3"/>
      <c r="H203" s="806"/>
      <c r="I203" s="3"/>
      <c r="J203" s="806"/>
      <c r="K203" s="3"/>
      <c r="L203" s="806"/>
      <c r="M203" s="3"/>
      <c r="N203" s="817"/>
      <c r="O203" s="817"/>
    </row>
    <row r="204" spans="1:15">
      <c r="A204" s="3"/>
      <c r="B204" s="3"/>
      <c r="C204" s="803"/>
      <c r="D204" s="817"/>
      <c r="E204" s="817"/>
      <c r="F204" s="806"/>
      <c r="G204" s="3"/>
      <c r="H204" s="806"/>
      <c r="I204" s="3"/>
      <c r="J204" s="806"/>
      <c r="K204" s="3"/>
      <c r="L204" s="806"/>
      <c r="M204" s="3"/>
      <c r="N204" s="817"/>
      <c r="O204" s="817"/>
    </row>
    <row r="205" spans="1:15">
      <c r="A205" s="3"/>
      <c r="B205" s="3"/>
      <c r="C205" s="803"/>
      <c r="D205" s="817"/>
      <c r="E205" s="817"/>
      <c r="F205" s="806"/>
      <c r="G205" s="3"/>
      <c r="H205" s="806"/>
      <c r="I205" s="3"/>
      <c r="J205" s="806"/>
      <c r="K205" s="3"/>
      <c r="L205" s="806"/>
      <c r="M205" s="3"/>
      <c r="N205" s="817"/>
      <c r="O205" s="817"/>
    </row>
    <row r="206" spans="1:15">
      <c r="A206" s="3"/>
      <c r="B206" s="3"/>
      <c r="C206" s="803"/>
      <c r="D206" s="817"/>
      <c r="E206" s="817"/>
      <c r="F206" s="806"/>
      <c r="G206" s="3"/>
      <c r="H206" s="806"/>
      <c r="I206" s="3"/>
      <c r="J206" s="806"/>
      <c r="K206" s="3"/>
      <c r="L206" s="806"/>
      <c r="M206" s="3"/>
      <c r="N206" s="817"/>
      <c r="O206" s="817"/>
    </row>
    <row r="207" spans="1:15">
      <c r="A207" s="3"/>
      <c r="B207" s="3"/>
      <c r="C207" s="803"/>
      <c r="D207" s="817"/>
      <c r="E207" s="817"/>
      <c r="F207" s="806"/>
      <c r="G207" s="3"/>
      <c r="H207" s="806"/>
      <c r="I207" s="3"/>
      <c r="J207" s="806"/>
      <c r="K207" s="3"/>
      <c r="L207" s="806"/>
      <c r="M207" s="3"/>
      <c r="N207" s="817"/>
      <c r="O207" s="817"/>
    </row>
    <row r="208" spans="1:15">
      <c r="A208" s="3"/>
      <c r="B208" s="3"/>
      <c r="C208" s="803"/>
      <c r="D208" s="817"/>
      <c r="E208" s="817"/>
      <c r="F208" s="806"/>
      <c r="G208" s="3"/>
      <c r="H208" s="806"/>
      <c r="I208" s="3"/>
      <c r="J208" s="806"/>
      <c r="K208" s="3"/>
      <c r="L208" s="806"/>
      <c r="M208" s="3"/>
      <c r="N208" s="817"/>
      <c r="O208" s="817"/>
    </row>
    <row r="209" spans="1:15">
      <c r="A209" s="3"/>
      <c r="B209" s="3"/>
      <c r="C209" s="803"/>
      <c r="D209" s="817"/>
      <c r="E209" s="817"/>
      <c r="F209" s="806"/>
      <c r="G209" s="3"/>
      <c r="H209" s="806"/>
      <c r="I209" s="3"/>
      <c r="J209" s="806"/>
      <c r="K209" s="3"/>
      <c r="L209" s="806"/>
      <c r="M209" s="3"/>
      <c r="N209" s="817"/>
      <c r="O209" s="817"/>
    </row>
    <row r="210" spans="1:15">
      <c r="A210" s="3"/>
      <c r="B210" s="3"/>
      <c r="C210" s="803"/>
      <c r="D210" s="817"/>
      <c r="E210" s="817"/>
      <c r="F210" s="806"/>
      <c r="G210" s="3"/>
      <c r="H210" s="806"/>
      <c r="I210" s="3"/>
      <c r="J210" s="806"/>
      <c r="K210" s="3"/>
      <c r="L210" s="806"/>
      <c r="M210" s="3"/>
      <c r="N210" s="817"/>
      <c r="O210" s="817"/>
    </row>
    <row r="211" spans="1:15">
      <c r="A211" s="3"/>
      <c r="B211" s="3"/>
      <c r="C211" s="803"/>
      <c r="D211" s="817"/>
      <c r="E211" s="817"/>
      <c r="F211" s="806"/>
      <c r="G211" s="3"/>
      <c r="H211" s="806"/>
      <c r="I211" s="3"/>
      <c r="J211" s="806"/>
      <c r="K211" s="3"/>
      <c r="L211" s="806"/>
      <c r="M211" s="3"/>
      <c r="N211" s="817"/>
      <c r="O211" s="817"/>
    </row>
    <row r="212" spans="1:15">
      <c r="A212" s="3"/>
      <c r="B212" s="3"/>
      <c r="C212" s="803"/>
      <c r="D212" s="817"/>
      <c r="E212" s="817"/>
      <c r="F212" s="806"/>
      <c r="G212" s="3"/>
      <c r="H212" s="806"/>
      <c r="I212" s="3"/>
      <c r="J212" s="806"/>
      <c r="K212" s="3"/>
      <c r="L212" s="806"/>
      <c r="M212" s="3"/>
      <c r="N212" s="817"/>
      <c r="O212" s="817"/>
    </row>
    <row r="213" spans="1:15">
      <c r="A213" s="3"/>
      <c r="B213" s="3"/>
      <c r="C213" s="803"/>
      <c r="D213" s="817"/>
      <c r="E213" s="817"/>
      <c r="F213" s="806"/>
      <c r="G213" s="3"/>
      <c r="H213" s="806"/>
      <c r="I213" s="3"/>
      <c r="J213" s="806"/>
      <c r="K213" s="3"/>
      <c r="L213" s="806"/>
      <c r="M213" s="3"/>
      <c r="N213" s="817"/>
      <c r="O213" s="817"/>
    </row>
    <row r="214" spans="1:15">
      <c r="A214" s="3"/>
      <c r="B214" s="3"/>
      <c r="C214" s="803"/>
      <c r="D214" s="817"/>
      <c r="E214" s="817"/>
      <c r="F214" s="806"/>
      <c r="G214" s="3"/>
      <c r="H214" s="806"/>
      <c r="I214" s="3"/>
      <c r="J214" s="806"/>
      <c r="K214" s="3"/>
      <c r="L214" s="806"/>
      <c r="M214" s="3"/>
      <c r="N214" s="817"/>
      <c r="O214" s="817"/>
    </row>
    <row r="215" spans="1:15">
      <c r="A215" s="3"/>
      <c r="B215" s="3"/>
      <c r="C215" s="803"/>
      <c r="D215" s="817"/>
      <c r="E215" s="817"/>
      <c r="F215" s="806"/>
      <c r="G215" s="3"/>
      <c r="H215" s="806"/>
      <c r="I215" s="3"/>
      <c r="J215" s="806"/>
      <c r="K215" s="3"/>
      <c r="L215" s="806"/>
      <c r="M215" s="3"/>
      <c r="N215" s="817"/>
      <c r="O215" s="817"/>
    </row>
    <row r="216" spans="1:15">
      <c r="A216" s="3"/>
      <c r="B216" s="3"/>
      <c r="C216" s="803"/>
      <c r="D216" s="817"/>
      <c r="E216" s="817"/>
      <c r="F216" s="806"/>
      <c r="G216" s="3"/>
      <c r="H216" s="806"/>
      <c r="I216" s="3"/>
      <c r="J216" s="806"/>
      <c r="K216" s="3"/>
      <c r="L216" s="806"/>
      <c r="M216" s="3"/>
      <c r="N216" s="817"/>
      <c r="O216" s="817"/>
    </row>
    <row r="217" spans="1:15">
      <c r="A217" s="3"/>
      <c r="B217" s="3"/>
      <c r="C217" s="803"/>
      <c r="D217" s="817"/>
      <c r="E217" s="817"/>
      <c r="F217" s="806"/>
      <c r="G217" s="3"/>
      <c r="H217" s="806"/>
      <c r="I217" s="3"/>
      <c r="J217" s="806"/>
      <c r="K217" s="3"/>
      <c r="L217" s="806"/>
      <c r="M217" s="3"/>
      <c r="N217" s="817"/>
      <c r="O217" s="817"/>
    </row>
    <row r="218" spans="1:15">
      <c r="A218" s="3"/>
      <c r="B218" s="3"/>
      <c r="C218" s="803"/>
      <c r="D218" s="817"/>
      <c r="E218" s="817"/>
      <c r="F218" s="806"/>
      <c r="G218" s="3"/>
      <c r="H218" s="806"/>
      <c r="I218" s="3"/>
      <c r="J218" s="806"/>
      <c r="K218" s="3"/>
      <c r="L218" s="806"/>
      <c r="M218" s="3"/>
      <c r="N218" s="817"/>
      <c r="O218" s="817"/>
    </row>
    <row r="219" spans="1:15">
      <c r="A219" s="3"/>
      <c r="B219" s="3"/>
      <c r="C219" s="803"/>
      <c r="D219" s="817"/>
      <c r="E219" s="817"/>
      <c r="F219" s="806"/>
      <c r="G219" s="3"/>
      <c r="H219" s="806"/>
      <c r="I219" s="3"/>
      <c r="J219" s="806"/>
      <c r="K219" s="3"/>
      <c r="L219" s="806"/>
      <c r="M219" s="3"/>
      <c r="N219" s="817"/>
      <c r="O219" s="817"/>
    </row>
    <row r="220" spans="1:15">
      <c r="A220" s="3"/>
      <c r="B220" s="3"/>
      <c r="C220" s="803"/>
      <c r="D220" s="817"/>
      <c r="E220" s="817"/>
      <c r="F220" s="806"/>
      <c r="G220" s="3"/>
      <c r="H220" s="806"/>
      <c r="I220" s="3"/>
      <c r="J220" s="806"/>
      <c r="K220" s="3"/>
      <c r="L220" s="806"/>
      <c r="M220" s="3"/>
      <c r="N220" s="817"/>
      <c r="O220" s="817"/>
    </row>
    <row r="221" spans="1:15">
      <c r="A221" s="3"/>
      <c r="B221" s="3"/>
      <c r="C221" s="803"/>
      <c r="D221" s="817"/>
      <c r="E221" s="817"/>
      <c r="F221" s="806"/>
      <c r="G221" s="3"/>
      <c r="H221" s="806"/>
      <c r="I221" s="3"/>
      <c r="J221" s="806"/>
      <c r="K221" s="3"/>
      <c r="L221" s="806"/>
      <c r="M221" s="3"/>
      <c r="N221" s="817"/>
      <c r="O221" s="817"/>
    </row>
    <row r="222" spans="1:15">
      <c r="A222" s="3"/>
      <c r="B222" s="3"/>
      <c r="C222" s="803"/>
      <c r="D222" s="817"/>
      <c r="E222" s="817"/>
      <c r="F222" s="806"/>
      <c r="G222" s="3"/>
      <c r="H222" s="806"/>
      <c r="I222" s="3"/>
      <c r="J222" s="806"/>
      <c r="K222" s="3"/>
      <c r="L222" s="806"/>
      <c r="M222" s="3"/>
      <c r="N222" s="817"/>
      <c r="O222" s="817"/>
    </row>
    <row r="223" spans="1:15">
      <c r="A223" s="3"/>
      <c r="B223" s="3"/>
      <c r="C223" s="803"/>
      <c r="D223" s="817"/>
      <c r="E223" s="817"/>
      <c r="F223" s="806"/>
      <c r="G223" s="3"/>
      <c r="H223" s="806"/>
      <c r="I223" s="3"/>
      <c r="J223" s="806"/>
      <c r="K223" s="3"/>
      <c r="L223" s="806"/>
      <c r="M223" s="3"/>
      <c r="N223" s="817"/>
      <c r="O223" s="817"/>
    </row>
    <row r="224" spans="1:15">
      <c r="A224" s="3"/>
      <c r="B224" s="3"/>
      <c r="C224" s="803"/>
      <c r="D224" s="817"/>
      <c r="E224" s="817"/>
      <c r="F224" s="806"/>
      <c r="G224" s="3"/>
      <c r="H224" s="806"/>
      <c r="I224" s="3"/>
      <c r="J224" s="806"/>
      <c r="K224" s="3"/>
      <c r="L224" s="806"/>
      <c r="M224" s="3"/>
      <c r="N224" s="817"/>
      <c r="O224" s="817"/>
    </row>
    <row r="225" spans="1:15">
      <c r="A225" s="3"/>
      <c r="B225" s="3"/>
      <c r="C225" s="803"/>
      <c r="D225" s="817"/>
      <c r="E225" s="817"/>
      <c r="F225" s="806"/>
      <c r="G225" s="3"/>
      <c r="H225" s="806"/>
      <c r="I225" s="3"/>
      <c r="J225" s="806"/>
      <c r="K225" s="3"/>
      <c r="L225" s="806"/>
      <c r="M225" s="3"/>
      <c r="N225" s="817"/>
      <c r="O225" s="817"/>
    </row>
    <row r="226" spans="1:15">
      <c r="A226" s="3"/>
      <c r="B226" s="3"/>
      <c r="C226" s="803"/>
      <c r="D226" s="817"/>
      <c r="E226" s="817"/>
      <c r="F226" s="806"/>
      <c r="G226" s="3"/>
      <c r="H226" s="806"/>
      <c r="I226" s="3"/>
      <c r="J226" s="806"/>
      <c r="K226" s="3"/>
      <c r="L226" s="806"/>
      <c r="M226" s="3"/>
      <c r="N226" s="817"/>
      <c r="O226" s="817"/>
    </row>
    <row r="227" spans="1:15">
      <c r="A227" s="3"/>
      <c r="B227" s="3"/>
      <c r="C227" s="803"/>
      <c r="D227" s="817"/>
      <c r="E227" s="817"/>
      <c r="F227" s="806"/>
      <c r="G227" s="3"/>
      <c r="H227" s="806"/>
      <c r="I227" s="3"/>
      <c r="J227" s="806"/>
      <c r="K227" s="3"/>
      <c r="L227" s="806"/>
      <c r="M227" s="3"/>
      <c r="N227" s="817"/>
      <c r="O227" s="817"/>
    </row>
    <row r="228" spans="1:15">
      <c r="A228" s="3"/>
      <c r="B228" s="3"/>
      <c r="C228" s="803"/>
      <c r="D228" s="817"/>
      <c r="E228" s="817"/>
      <c r="F228" s="806"/>
      <c r="G228" s="3"/>
      <c r="H228" s="806"/>
      <c r="I228" s="3"/>
      <c r="J228" s="806"/>
      <c r="K228" s="3"/>
      <c r="L228" s="806"/>
      <c r="M228" s="3"/>
      <c r="N228" s="817"/>
      <c r="O228" s="817"/>
    </row>
    <row r="229" spans="1:15">
      <c r="A229" s="3"/>
      <c r="B229" s="3"/>
      <c r="C229" s="803"/>
      <c r="D229" s="817"/>
      <c r="E229" s="817"/>
      <c r="F229" s="806"/>
      <c r="G229" s="3"/>
      <c r="H229" s="806"/>
      <c r="I229" s="3"/>
      <c r="J229" s="806"/>
      <c r="K229" s="3"/>
      <c r="L229" s="806"/>
      <c r="M229" s="3"/>
      <c r="N229" s="817"/>
      <c r="O229" s="817"/>
    </row>
    <row r="230" spans="1:15">
      <c r="A230" s="3"/>
      <c r="B230" s="3"/>
      <c r="C230" s="803"/>
      <c r="D230" s="817"/>
      <c r="E230" s="817"/>
      <c r="F230" s="806"/>
      <c r="G230" s="3"/>
      <c r="H230" s="806"/>
      <c r="I230" s="3"/>
      <c r="J230" s="806"/>
      <c r="K230" s="3"/>
      <c r="L230" s="806"/>
      <c r="M230" s="3"/>
      <c r="N230" s="817"/>
      <c r="O230" s="817"/>
    </row>
    <row r="231" spans="1:15">
      <c r="A231" s="3"/>
      <c r="B231" s="3"/>
      <c r="C231" s="803"/>
      <c r="D231" s="817"/>
      <c r="E231" s="817"/>
      <c r="F231" s="806"/>
      <c r="G231" s="3"/>
      <c r="H231" s="806"/>
      <c r="I231" s="3"/>
      <c r="J231" s="806"/>
      <c r="K231" s="3"/>
      <c r="L231" s="806"/>
      <c r="M231" s="3"/>
      <c r="N231" s="817"/>
      <c r="O231" s="817"/>
    </row>
    <row r="232" spans="1:15">
      <c r="A232" s="3"/>
      <c r="B232" s="3"/>
      <c r="C232" s="803"/>
      <c r="D232" s="817"/>
      <c r="E232" s="817"/>
      <c r="F232" s="806"/>
      <c r="G232" s="3"/>
      <c r="H232" s="806"/>
      <c r="I232" s="3"/>
      <c r="J232" s="806"/>
      <c r="K232" s="3"/>
      <c r="L232" s="806"/>
      <c r="M232" s="3"/>
      <c r="N232" s="817"/>
      <c r="O232" s="817"/>
    </row>
    <row r="233" spans="1:15">
      <c r="A233" s="3"/>
      <c r="B233" s="3"/>
      <c r="C233" s="803"/>
      <c r="D233" s="817"/>
      <c r="E233" s="817"/>
      <c r="F233" s="806"/>
      <c r="G233" s="3"/>
      <c r="H233" s="806"/>
      <c r="I233" s="3"/>
      <c r="J233" s="806"/>
      <c r="K233" s="3"/>
      <c r="L233" s="806"/>
      <c r="M233" s="3"/>
      <c r="N233" s="817"/>
      <c r="O233" s="817"/>
    </row>
    <row r="234" spans="1:15">
      <c r="A234" s="3"/>
      <c r="B234" s="3"/>
      <c r="C234" s="803"/>
      <c r="D234" s="817"/>
      <c r="E234" s="817"/>
      <c r="F234" s="806"/>
      <c r="G234" s="3"/>
      <c r="H234" s="806"/>
      <c r="I234" s="3"/>
      <c r="J234" s="806"/>
      <c r="K234" s="3"/>
      <c r="L234" s="806"/>
      <c r="M234" s="3"/>
      <c r="N234" s="817"/>
      <c r="O234" s="817"/>
    </row>
    <row r="235" spans="1:15">
      <c r="A235" s="3"/>
      <c r="B235" s="3"/>
      <c r="C235" s="803"/>
      <c r="D235" s="817"/>
      <c r="E235" s="817"/>
      <c r="F235" s="806"/>
      <c r="G235" s="3"/>
      <c r="H235" s="806"/>
      <c r="I235" s="3"/>
      <c r="J235" s="806"/>
      <c r="K235" s="3"/>
      <c r="L235" s="806"/>
      <c r="M235" s="3"/>
      <c r="N235" s="817"/>
      <c r="O235" s="817"/>
    </row>
    <row r="236" spans="1:15">
      <c r="A236" s="3"/>
      <c r="B236" s="3"/>
      <c r="C236" s="803"/>
      <c r="D236" s="817"/>
      <c r="E236" s="817"/>
      <c r="F236" s="806"/>
      <c r="G236" s="3"/>
      <c r="H236" s="806"/>
      <c r="I236" s="3"/>
      <c r="J236" s="806"/>
      <c r="K236" s="3"/>
      <c r="L236" s="806"/>
      <c r="M236" s="3"/>
      <c r="N236" s="817"/>
      <c r="O236" s="817"/>
    </row>
    <row r="237" spans="1:15">
      <c r="A237" s="3"/>
      <c r="B237" s="3"/>
      <c r="C237" s="803"/>
      <c r="D237" s="817"/>
      <c r="E237" s="817"/>
      <c r="F237" s="806"/>
      <c r="G237" s="3"/>
      <c r="H237" s="806"/>
      <c r="I237" s="3"/>
      <c r="J237" s="806"/>
      <c r="K237" s="3"/>
      <c r="L237" s="806"/>
      <c r="M237" s="3"/>
      <c r="N237" s="817"/>
      <c r="O237" s="817"/>
    </row>
    <row r="238" spans="1:15">
      <c r="A238" s="3"/>
      <c r="B238" s="3"/>
      <c r="C238" s="803"/>
      <c r="D238" s="817"/>
      <c r="E238" s="817"/>
      <c r="F238" s="806"/>
      <c r="G238" s="3"/>
      <c r="H238" s="806"/>
      <c r="I238" s="3"/>
      <c r="J238" s="806"/>
      <c r="K238" s="3"/>
      <c r="L238" s="806"/>
      <c r="M238" s="3"/>
      <c r="N238" s="817"/>
      <c r="O238" s="817"/>
    </row>
    <row r="239" spans="1:15">
      <c r="A239" s="3"/>
      <c r="B239" s="3"/>
      <c r="C239" s="803"/>
      <c r="D239" s="817"/>
      <c r="E239" s="817"/>
      <c r="F239" s="806"/>
      <c r="G239" s="3"/>
      <c r="H239" s="806"/>
      <c r="I239" s="3"/>
      <c r="J239" s="806"/>
      <c r="K239" s="3"/>
      <c r="L239" s="806"/>
      <c r="M239" s="3"/>
      <c r="N239" s="817"/>
      <c r="O239" s="817"/>
    </row>
    <row r="240" spans="1:15">
      <c r="A240" s="3"/>
      <c r="B240" s="3"/>
      <c r="C240" s="803"/>
      <c r="D240" s="817"/>
      <c r="E240" s="817"/>
      <c r="F240" s="806"/>
      <c r="G240" s="3"/>
      <c r="H240" s="806"/>
      <c r="I240" s="3"/>
      <c r="J240" s="806"/>
      <c r="K240" s="3"/>
      <c r="L240" s="806"/>
      <c r="M240" s="3"/>
      <c r="N240" s="817"/>
      <c r="O240" s="817"/>
    </row>
    <row r="241" spans="1:15">
      <c r="A241" s="3"/>
      <c r="B241" s="3"/>
      <c r="C241" s="803"/>
      <c r="D241" s="817"/>
      <c r="E241" s="817"/>
      <c r="F241" s="806"/>
      <c r="G241" s="3"/>
      <c r="H241" s="806"/>
      <c r="I241" s="3"/>
      <c r="J241" s="806"/>
      <c r="K241" s="3"/>
      <c r="L241" s="806"/>
      <c r="M241" s="3"/>
      <c r="N241" s="817"/>
      <c r="O241" s="817"/>
    </row>
    <row r="242" spans="1:15">
      <c r="A242" s="3"/>
      <c r="B242" s="3"/>
      <c r="C242" s="803"/>
      <c r="D242" s="817"/>
      <c r="E242" s="817"/>
      <c r="F242" s="806"/>
      <c r="G242" s="3"/>
      <c r="H242" s="806"/>
      <c r="I242" s="3"/>
      <c r="J242" s="806"/>
      <c r="K242" s="3"/>
      <c r="L242" s="806"/>
      <c r="M242" s="3"/>
      <c r="N242" s="817"/>
      <c r="O242" s="817"/>
    </row>
    <row r="243" spans="1:15">
      <c r="A243" s="3"/>
      <c r="B243" s="3"/>
      <c r="C243" s="803"/>
      <c r="D243" s="817"/>
      <c r="E243" s="817"/>
      <c r="F243" s="806"/>
      <c r="G243" s="3"/>
      <c r="H243" s="806"/>
      <c r="I243" s="3"/>
      <c r="J243" s="806"/>
      <c r="K243" s="3"/>
      <c r="L243" s="806"/>
      <c r="M243" s="3"/>
      <c r="N243" s="817"/>
      <c r="O243" s="817"/>
    </row>
    <row r="244" spans="1:15">
      <c r="A244" s="3"/>
      <c r="B244" s="3"/>
      <c r="C244" s="803"/>
      <c r="D244" s="817"/>
      <c r="E244" s="817"/>
      <c r="F244" s="806"/>
      <c r="G244" s="3"/>
      <c r="H244" s="806"/>
      <c r="I244" s="3"/>
      <c r="J244" s="806"/>
      <c r="K244" s="3"/>
      <c r="L244" s="806"/>
      <c r="M244" s="3"/>
      <c r="N244" s="817"/>
      <c r="O244" s="817"/>
    </row>
    <row r="245" spans="1:15">
      <c r="A245" s="3"/>
      <c r="B245" s="3"/>
      <c r="C245" s="803"/>
      <c r="D245" s="817"/>
      <c r="E245" s="817"/>
      <c r="F245" s="806"/>
      <c r="G245" s="3"/>
      <c r="H245" s="806"/>
      <c r="I245" s="3"/>
      <c r="J245" s="806"/>
      <c r="K245" s="3"/>
      <c r="L245" s="806"/>
      <c r="M245" s="3"/>
      <c r="N245" s="817"/>
      <c r="O245" s="817"/>
    </row>
    <row r="246" spans="1:15">
      <c r="A246" s="3"/>
      <c r="B246" s="3"/>
      <c r="C246" s="803"/>
      <c r="D246" s="817"/>
      <c r="E246" s="817"/>
      <c r="F246" s="806"/>
      <c r="G246" s="3"/>
      <c r="H246" s="806"/>
      <c r="I246" s="3"/>
      <c r="J246" s="806"/>
      <c r="K246" s="3"/>
      <c r="L246" s="806"/>
      <c r="M246" s="3"/>
      <c r="N246" s="817"/>
      <c r="O246" s="817"/>
    </row>
    <row r="247" spans="1:15">
      <c r="A247" s="3"/>
      <c r="B247" s="3"/>
      <c r="C247" s="803"/>
      <c r="D247" s="817"/>
      <c r="E247" s="817"/>
      <c r="F247" s="806"/>
      <c r="G247" s="3"/>
      <c r="H247" s="806"/>
      <c r="I247" s="3"/>
      <c r="J247" s="806"/>
      <c r="K247" s="3"/>
      <c r="L247" s="806"/>
      <c r="M247" s="3"/>
      <c r="N247" s="817"/>
      <c r="O247" s="817"/>
    </row>
    <row r="248" spans="1:15">
      <c r="A248" s="3"/>
      <c r="B248" s="3"/>
      <c r="C248" s="803"/>
      <c r="D248" s="817"/>
      <c r="E248" s="817"/>
      <c r="F248" s="806"/>
      <c r="G248" s="3"/>
      <c r="H248" s="806"/>
      <c r="I248" s="3"/>
      <c r="J248" s="806"/>
      <c r="K248" s="3"/>
      <c r="L248" s="806"/>
      <c r="M248" s="3"/>
      <c r="N248" s="817"/>
      <c r="O248" s="817"/>
    </row>
    <row r="249" spans="1:15">
      <c r="A249" s="3"/>
      <c r="B249" s="3"/>
      <c r="C249" s="803"/>
      <c r="D249" s="817"/>
      <c r="E249" s="817"/>
      <c r="F249" s="806"/>
      <c r="G249" s="3"/>
      <c r="H249" s="806"/>
      <c r="I249" s="3"/>
      <c r="J249" s="806"/>
      <c r="K249" s="3"/>
      <c r="L249" s="806"/>
      <c r="M249" s="3"/>
      <c r="N249" s="817"/>
      <c r="O249" s="817"/>
    </row>
    <row r="250" spans="1:15">
      <c r="A250" s="3"/>
      <c r="B250" s="3"/>
      <c r="C250" s="803"/>
      <c r="D250" s="817"/>
      <c r="E250" s="817"/>
      <c r="F250" s="806"/>
      <c r="G250" s="3"/>
      <c r="H250" s="806"/>
      <c r="I250" s="3"/>
      <c r="J250" s="806"/>
      <c r="K250" s="3"/>
      <c r="L250" s="806"/>
      <c r="M250" s="3"/>
      <c r="N250" s="817"/>
      <c r="O250" s="817"/>
    </row>
    <row r="251" spans="1:15">
      <c r="A251" s="3"/>
      <c r="B251" s="3"/>
      <c r="C251" s="803"/>
      <c r="D251" s="817"/>
      <c r="E251" s="817"/>
      <c r="F251" s="806"/>
      <c r="G251" s="3"/>
      <c r="H251" s="806"/>
      <c r="I251" s="3"/>
      <c r="J251" s="806"/>
      <c r="K251" s="3"/>
      <c r="L251" s="806"/>
      <c r="M251" s="3"/>
      <c r="N251" s="817"/>
      <c r="O251" s="817"/>
    </row>
    <row r="252" spans="1:15">
      <c r="A252" s="3"/>
      <c r="B252" s="3"/>
      <c r="C252" s="803"/>
      <c r="D252" s="817"/>
      <c r="E252" s="817"/>
      <c r="F252" s="806"/>
      <c r="G252" s="3"/>
      <c r="H252" s="806"/>
      <c r="I252" s="3"/>
      <c r="J252" s="806"/>
      <c r="K252" s="3"/>
      <c r="L252" s="806"/>
      <c r="M252" s="3"/>
      <c r="N252" s="817"/>
      <c r="O252" s="817"/>
    </row>
    <row r="253" spans="1:15">
      <c r="A253" s="3"/>
      <c r="B253" s="3"/>
      <c r="C253" s="803"/>
      <c r="D253" s="817"/>
      <c r="E253" s="817"/>
      <c r="F253" s="806"/>
      <c r="G253" s="3"/>
      <c r="H253" s="806"/>
      <c r="I253" s="3"/>
      <c r="J253" s="806"/>
      <c r="K253" s="3"/>
      <c r="L253" s="806"/>
      <c r="M253" s="3"/>
      <c r="N253" s="817"/>
      <c r="O253" s="817"/>
    </row>
    <row r="254" spans="1:15">
      <c r="A254" s="3"/>
      <c r="B254" s="3"/>
      <c r="C254" s="803"/>
      <c r="D254" s="817"/>
      <c r="E254" s="817"/>
      <c r="F254" s="806"/>
      <c r="G254" s="3"/>
      <c r="H254" s="806"/>
      <c r="I254" s="3"/>
      <c r="J254" s="806"/>
      <c r="K254" s="3"/>
      <c r="L254" s="806"/>
      <c r="M254" s="3"/>
      <c r="N254" s="817"/>
      <c r="O254" s="817"/>
    </row>
    <row r="255" spans="1:15">
      <c r="A255" s="3"/>
      <c r="B255" s="3"/>
      <c r="C255" s="803"/>
      <c r="D255" s="817"/>
      <c r="E255" s="817"/>
      <c r="F255" s="806"/>
      <c r="G255" s="3"/>
      <c r="H255" s="806"/>
      <c r="I255" s="3"/>
      <c r="J255" s="806"/>
      <c r="K255" s="3"/>
      <c r="L255" s="806"/>
      <c r="M255" s="3"/>
      <c r="N255" s="817"/>
      <c r="O255" s="817"/>
    </row>
    <row r="256" spans="1:15">
      <c r="A256" s="3"/>
      <c r="B256" s="3"/>
      <c r="C256" s="803"/>
      <c r="D256" s="817"/>
      <c r="E256" s="817"/>
      <c r="F256" s="806"/>
      <c r="G256" s="3"/>
      <c r="H256" s="806"/>
      <c r="I256" s="3"/>
      <c r="J256" s="806"/>
      <c r="K256" s="3"/>
      <c r="L256" s="806"/>
      <c r="M256" s="3"/>
      <c r="N256" s="817"/>
      <c r="O256" s="817"/>
    </row>
    <row r="257" spans="1:15">
      <c r="A257" s="3"/>
      <c r="B257" s="3"/>
      <c r="C257" s="803"/>
      <c r="D257" s="817"/>
      <c r="E257" s="817"/>
      <c r="F257" s="806"/>
      <c r="G257" s="3"/>
      <c r="H257" s="806"/>
      <c r="I257" s="3"/>
      <c r="J257" s="806"/>
      <c r="K257" s="3"/>
      <c r="L257" s="806"/>
      <c r="M257" s="3"/>
      <c r="N257" s="817"/>
      <c r="O257" s="817"/>
    </row>
    <row r="258" spans="1:15">
      <c r="A258" s="3"/>
      <c r="B258" s="3"/>
      <c r="C258" s="803"/>
      <c r="D258" s="817"/>
      <c r="E258" s="817"/>
      <c r="F258" s="806"/>
      <c r="G258" s="3"/>
      <c r="H258" s="806"/>
      <c r="I258" s="3"/>
      <c r="J258" s="806"/>
      <c r="K258" s="3"/>
      <c r="L258" s="806"/>
      <c r="M258" s="3"/>
      <c r="N258" s="817"/>
      <c r="O258" s="817"/>
    </row>
    <row r="259" spans="1:15">
      <c r="A259" s="3"/>
      <c r="B259" s="3"/>
      <c r="C259" s="803"/>
      <c r="D259" s="817"/>
      <c r="E259" s="817"/>
      <c r="F259" s="806"/>
      <c r="G259" s="3"/>
      <c r="H259" s="806"/>
      <c r="I259" s="3"/>
      <c r="J259" s="806"/>
      <c r="K259" s="3"/>
      <c r="L259" s="806"/>
      <c r="M259" s="3"/>
      <c r="N259" s="817"/>
      <c r="O259" s="817"/>
    </row>
    <row r="260" spans="1:15">
      <c r="A260" s="3"/>
      <c r="B260" s="3"/>
      <c r="C260" s="803"/>
      <c r="D260" s="817"/>
      <c r="E260" s="817"/>
      <c r="F260" s="806"/>
      <c r="G260" s="3"/>
      <c r="H260" s="806"/>
      <c r="I260" s="3"/>
      <c r="J260" s="806"/>
      <c r="K260" s="3"/>
      <c r="L260" s="806"/>
      <c r="M260" s="3"/>
      <c r="N260" s="817"/>
      <c r="O260" s="817"/>
    </row>
    <row r="261" spans="1:15">
      <c r="A261" s="3"/>
      <c r="B261" s="3"/>
      <c r="C261" s="803"/>
      <c r="D261" s="817"/>
      <c r="E261" s="817"/>
      <c r="F261" s="806"/>
      <c r="G261" s="3"/>
      <c r="H261" s="806"/>
      <c r="I261" s="3"/>
      <c r="J261" s="806"/>
      <c r="K261" s="3"/>
      <c r="L261" s="806"/>
      <c r="M261" s="3"/>
      <c r="N261" s="817"/>
      <c r="O261" s="817"/>
    </row>
    <row r="262" spans="1:15">
      <c r="A262" s="3"/>
      <c r="B262" s="3"/>
      <c r="C262" s="803"/>
      <c r="D262" s="817"/>
      <c r="E262" s="817"/>
      <c r="F262" s="806"/>
      <c r="G262" s="3"/>
      <c r="H262" s="806"/>
      <c r="I262" s="3"/>
      <c r="J262" s="806"/>
      <c r="K262" s="3"/>
      <c r="L262" s="806"/>
      <c r="M262" s="3"/>
      <c r="N262" s="817"/>
      <c r="O262" s="817"/>
    </row>
    <row r="263" spans="1:15">
      <c r="A263" s="3"/>
      <c r="B263" s="3"/>
      <c r="C263" s="803"/>
      <c r="D263" s="817"/>
      <c r="E263" s="817"/>
      <c r="F263" s="806"/>
      <c r="G263" s="3"/>
      <c r="H263" s="806"/>
      <c r="I263" s="3"/>
      <c r="J263" s="806"/>
      <c r="K263" s="3"/>
      <c r="L263" s="806"/>
      <c r="M263" s="3"/>
      <c r="N263" s="817"/>
      <c r="O263" s="817"/>
    </row>
    <row r="264" spans="1:15">
      <c r="A264" s="3"/>
      <c r="B264" s="3"/>
      <c r="C264" s="803"/>
      <c r="D264" s="817"/>
      <c r="E264" s="817"/>
      <c r="F264" s="806"/>
      <c r="G264" s="3"/>
      <c r="H264" s="806"/>
      <c r="I264" s="3"/>
      <c r="J264" s="806"/>
      <c r="K264" s="3"/>
      <c r="L264" s="806"/>
      <c r="M264" s="3"/>
      <c r="N264" s="817"/>
      <c r="O264" s="817"/>
    </row>
    <row r="265" spans="1:15">
      <c r="A265" s="3"/>
      <c r="B265" s="3"/>
      <c r="C265" s="803"/>
      <c r="D265" s="817"/>
      <c r="E265" s="817"/>
      <c r="F265" s="806"/>
      <c r="G265" s="3"/>
      <c r="H265" s="806"/>
      <c r="I265" s="3"/>
      <c r="J265" s="806"/>
      <c r="K265" s="3"/>
      <c r="L265" s="806"/>
      <c r="M265" s="3"/>
      <c r="N265" s="817"/>
      <c r="O265" s="817"/>
    </row>
    <row r="266" spans="1:15">
      <c r="A266" s="3"/>
      <c r="B266" s="3"/>
      <c r="C266" s="803"/>
      <c r="D266" s="817"/>
      <c r="E266" s="817"/>
      <c r="F266" s="806"/>
      <c r="G266" s="3"/>
      <c r="H266" s="806"/>
      <c r="I266" s="3"/>
      <c r="J266" s="806"/>
      <c r="K266" s="3"/>
      <c r="L266" s="806"/>
      <c r="M266" s="3"/>
      <c r="N266" s="817"/>
      <c r="O266" s="817"/>
    </row>
    <row r="267" spans="1:15">
      <c r="A267" s="3"/>
      <c r="B267" s="3"/>
      <c r="C267" s="803"/>
      <c r="D267" s="817"/>
      <c r="E267" s="817"/>
      <c r="F267" s="806"/>
      <c r="G267" s="3"/>
      <c r="H267" s="806"/>
      <c r="I267" s="3"/>
      <c r="J267" s="806"/>
      <c r="K267" s="3"/>
      <c r="L267" s="806"/>
      <c r="M267" s="3"/>
      <c r="N267" s="817"/>
      <c r="O267" s="817"/>
    </row>
    <row r="268" spans="1:15">
      <c r="A268" s="3"/>
      <c r="B268" s="3"/>
      <c r="C268" s="803"/>
      <c r="D268" s="817"/>
      <c r="E268" s="817"/>
      <c r="F268" s="806"/>
      <c r="G268" s="3"/>
      <c r="H268" s="806"/>
      <c r="I268" s="3"/>
      <c r="J268" s="806"/>
      <c r="K268" s="3"/>
      <c r="L268" s="806"/>
      <c r="M268" s="3"/>
      <c r="N268" s="817"/>
      <c r="O268" s="817"/>
    </row>
    <row r="269" spans="1:15">
      <c r="A269" s="3"/>
      <c r="B269" s="3"/>
      <c r="C269" s="803"/>
      <c r="D269" s="817"/>
      <c r="E269" s="817"/>
      <c r="F269" s="806"/>
      <c r="G269" s="3"/>
      <c r="H269" s="806"/>
      <c r="I269" s="3"/>
      <c r="J269" s="806"/>
      <c r="K269" s="3"/>
      <c r="L269" s="806"/>
      <c r="M269" s="3"/>
      <c r="N269" s="817"/>
      <c r="O269" s="817"/>
    </row>
    <row r="270" spans="1:15">
      <c r="A270" s="3"/>
      <c r="B270" s="3"/>
      <c r="C270" s="803"/>
      <c r="D270" s="817"/>
      <c r="E270" s="817"/>
      <c r="F270" s="806"/>
      <c r="G270" s="3"/>
      <c r="H270" s="806"/>
      <c r="I270" s="3"/>
      <c r="J270" s="806"/>
      <c r="K270" s="3"/>
      <c r="L270" s="806"/>
      <c r="M270" s="3"/>
      <c r="N270" s="817"/>
      <c r="O270" s="817"/>
    </row>
    <row r="271" spans="1:15">
      <c r="A271" s="3"/>
      <c r="B271" s="3"/>
      <c r="C271" s="803"/>
      <c r="D271" s="817"/>
      <c r="E271" s="817"/>
      <c r="F271" s="806"/>
      <c r="G271" s="3"/>
      <c r="H271" s="806"/>
      <c r="I271" s="3"/>
      <c r="J271" s="806"/>
      <c r="K271" s="3"/>
      <c r="L271" s="806"/>
      <c r="M271" s="3"/>
      <c r="N271" s="817"/>
      <c r="O271" s="817"/>
    </row>
    <row r="272" spans="1:15">
      <c r="A272" s="3"/>
      <c r="B272" s="3"/>
      <c r="C272" s="803"/>
      <c r="D272" s="817"/>
      <c r="E272" s="817"/>
      <c r="F272" s="806"/>
      <c r="G272" s="3"/>
      <c r="H272" s="806"/>
      <c r="I272" s="3"/>
      <c r="J272" s="806"/>
      <c r="K272" s="3"/>
      <c r="L272" s="806"/>
      <c r="M272" s="3"/>
      <c r="N272" s="817"/>
      <c r="O272" s="817"/>
    </row>
    <row r="273" spans="1:15">
      <c r="A273" s="3"/>
      <c r="B273" s="3"/>
      <c r="C273" s="803"/>
      <c r="D273" s="817"/>
      <c r="E273" s="817"/>
      <c r="F273" s="806"/>
      <c r="G273" s="3"/>
      <c r="H273" s="806"/>
      <c r="I273" s="3"/>
      <c r="J273" s="806"/>
      <c r="K273" s="3"/>
      <c r="L273" s="806"/>
      <c r="M273" s="3"/>
      <c r="N273" s="817"/>
      <c r="O273" s="817"/>
    </row>
    <row r="274" spans="1:15">
      <c r="A274" s="3"/>
      <c r="B274" s="3"/>
      <c r="C274" s="803"/>
      <c r="D274" s="817"/>
      <c r="E274" s="817"/>
      <c r="F274" s="806"/>
      <c r="G274" s="3"/>
      <c r="H274" s="806"/>
      <c r="I274" s="3"/>
      <c r="J274" s="806"/>
      <c r="K274" s="3"/>
      <c r="L274" s="806"/>
      <c r="M274" s="3"/>
      <c r="N274" s="817"/>
      <c r="O274" s="817"/>
    </row>
    <row r="275" spans="1:15">
      <c r="A275" s="3"/>
      <c r="B275" s="3"/>
      <c r="C275" s="803"/>
      <c r="D275" s="817"/>
      <c r="E275" s="817"/>
      <c r="F275" s="806"/>
      <c r="G275" s="3"/>
      <c r="H275" s="806"/>
      <c r="I275" s="3"/>
      <c r="J275" s="806"/>
      <c r="K275" s="3"/>
      <c r="L275" s="806"/>
      <c r="M275" s="3"/>
      <c r="N275" s="817"/>
      <c r="O275" s="817"/>
    </row>
    <row r="276" spans="1:15">
      <c r="A276" s="3"/>
      <c r="B276" s="3"/>
      <c r="C276" s="803"/>
      <c r="D276" s="817"/>
      <c r="E276" s="817"/>
      <c r="F276" s="806"/>
      <c r="G276" s="3"/>
      <c r="H276" s="806"/>
      <c r="I276" s="3"/>
      <c r="J276" s="806"/>
      <c r="K276" s="3"/>
      <c r="L276" s="806"/>
      <c r="M276" s="3"/>
      <c r="N276" s="817"/>
      <c r="O276" s="817"/>
    </row>
    <row r="277" spans="1:15">
      <c r="A277" s="3"/>
      <c r="B277" s="3"/>
      <c r="C277" s="803"/>
      <c r="D277" s="817"/>
      <c r="E277" s="817"/>
      <c r="F277" s="806"/>
      <c r="G277" s="3"/>
      <c r="H277" s="806"/>
      <c r="I277" s="3"/>
      <c r="J277" s="806"/>
      <c r="K277" s="3"/>
      <c r="L277" s="806"/>
      <c r="M277" s="3"/>
      <c r="N277" s="817"/>
      <c r="O277" s="817"/>
    </row>
    <row r="278" spans="1:15">
      <c r="A278" s="3"/>
      <c r="B278" s="3"/>
      <c r="C278" s="803"/>
      <c r="D278" s="817"/>
      <c r="E278" s="817"/>
      <c r="F278" s="806"/>
      <c r="G278" s="3"/>
      <c r="H278" s="806"/>
      <c r="I278" s="3"/>
      <c r="J278" s="806"/>
      <c r="K278" s="3"/>
      <c r="L278" s="806"/>
      <c r="M278" s="3"/>
      <c r="N278" s="817"/>
      <c r="O278" s="817"/>
    </row>
    <row r="279" spans="1:15">
      <c r="A279" s="3"/>
      <c r="B279" s="3"/>
      <c r="C279" s="803"/>
      <c r="D279" s="817"/>
      <c r="E279" s="817"/>
      <c r="F279" s="806"/>
      <c r="G279" s="3"/>
      <c r="H279" s="806"/>
      <c r="I279" s="3"/>
      <c r="J279" s="806"/>
      <c r="K279" s="3"/>
      <c r="L279" s="806"/>
      <c r="M279" s="3"/>
      <c r="N279" s="817"/>
      <c r="O279" s="817"/>
    </row>
    <row r="280" spans="1:15">
      <c r="A280" s="3"/>
      <c r="B280" s="3"/>
      <c r="C280" s="803"/>
      <c r="D280" s="817"/>
      <c r="E280" s="817"/>
      <c r="F280" s="806"/>
      <c r="G280" s="3"/>
      <c r="H280" s="806"/>
      <c r="I280" s="3"/>
      <c r="J280" s="806"/>
      <c r="K280" s="3"/>
      <c r="L280" s="806"/>
      <c r="M280" s="3"/>
      <c r="N280" s="817"/>
      <c r="O280" s="817"/>
    </row>
    <row r="281" spans="1:15">
      <c r="A281" s="3"/>
      <c r="B281" s="3"/>
      <c r="C281" s="803"/>
      <c r="D281" s="817"/>
      <c r="E281" s="817"/>
      <c r="F281" s="806"/>
      <c r="G281" s="3"/>
      <c r="H281" s="806"/>
      <c r="I281" s="3"/>
      <c r="J281" s="806"/>
      <c r="K281" s="3"/>
      <c r="L281" s="806"/>
      <c r="M281" s="3"/>
      <c r="N281" s="817"/>
      <c r="O281" s="817"/>
    </row>
    <row r="282" spans="1:15">
      <c r="A282" s="3"/>
      <c r="B282" s="3"/>
      <c r="C282" s="803"/>
      <c r="D282" s="817"/>
      <c r="E282" s="817"/>
      <c r="F282" s="806"/>
      <c r="G282" s="3"/>
      <c r="H282" s="806"/>
      <c r="I282" s="3"/>
      <c r="J282" s="806"/>
      <c r="K282" s="3"/>
      <c r="L282" s="806"/>
      <c r="M282" s="3"/>
      <c r="N282" s="817"/>
      <c r="O282" s="817"/>
    </row>
    <row r="283" spans="1:15">
      <c r="A283" s="3"/>
      <c r="B283" s="3"/>
      <c r="C283" s="803"/>
      <c r="D283" s="817"/>
      <c r="E283" s="817"/>
      <c r="F283" s="806"/>
      <c r="G283" s="3"/>
      <c r="H283" s="806"/>
      <c r="I283" s="3"/>
      <c r="J283" s="806"/>
      <c r="K283" s="3"/>
      <c r="L283" s="806"/>
      <c r="M283" s="3"/>
      <c r="N283" s="817"/>
      <c r="O283" s="817"/>
    </row>
    <row r="284" spans="1:15">
      <c r="A284" s="3"/>
      <c r="B284" s="3"/>
      <c r="C284" s="803"/>
      <c r="D284" s="817"/>
      <c r="E284" s="817"/>
      <c r="F284" s="806"/>
      <c r="G284" s="3"/>
      <c r="H284" s="806"/>
      <c r="I284" s="3"/>
      <c r="J284" s="806"/>
      <c r="K284" s="3"/>
      <c r="L284" s="806"/>
      <c r="M284" s="3"/>
      <c r="N284" s="817"/>
      <c r="O284" s="817"/>
    </row>
    <row r="285" spans="1:15">
      <c r="A285" s="3"/>
      <c r="B285" s="3"/>
      <c r="C285" s="803"/>
      <c r="D285" s="817"/>
      <c r="E285" s="817"/>
      <c r="F285" s="806"/>
      <c r="G285" s="3"/>
      <c r="H285" s="806"/>
      <c r="I285" s="3"/>
      <c r="J285" s="806"/>
      <c r="K285" s="3"/>
      <c r="L285" s="806"/>
      <c r="M285" s="3"/>
      <c r="N285" s="817"/>
      <c r="O285" s="817"/>
    </row>
    <row r="286" spans="1:15">
      <c r="A286" s="3"/>
      <c r="B286" s="3"/>
      <c r="C286" s="803"/>
      <c r="D286" s="817"/>
      <c r="E286" s="817"/>
      <c r="F286" s="806"/>
      <c r="G286" s="3"/>
      <c r="H286" s="806"/>
      <c r="I286" s="3"/>
      <c r="J286" s="806"/>
      <c r="K286" s="3"/>
      <c r="L286" s="806"/>
      <c r="M286" s="3"/>
      <c r="N286" s="817"/>
      <c r="O286" s="817"/>
    </row>
    <row r="287" spans="1:15">
      <c r="A287" s="3"/>
      <c r="B287" s="3"/>
      <c r="C287" s="803"/>
      <c r="D287" s="817"/>
      <c r="E287" s="817"/>
      <c r="F287" s="806"/>
      <c r="G287" s="3"/>
      <c r="H287" s="806"/>
      <c r="I287" s="3"/>
      <c r="J287" s="806"/>
      <c r="K287" s="3"/>
      <c r="L287" s="806"/>
      <c r="M287" s="3"/>
      <c r="N287" s="817"/>
      <c r="O287" s="817"/>
    </row>
    <row r="288" spans="1:15">
      <c r="A288" s="3"/>
      <c r="B288" s="3"/>
      <c r="C288" s="803"/>
      <c r="D288" s="817"/>
      <c r="E288" s="817"/>
      <c r="F288" s="806"/>
      <c r="G288" s="3"/>
      <c r="H288" s="806"/>
      <c r="I288" s="3"/>
      <c r="J288" s="806"/>
      <c r="K288" s="3"/>
      <c r="L288" s="806"/>
      <c r="M288" s="3"/>
      <c r="N288" s="817"/>
      <c r="O288" s="817"/>
    </row>
    <row r="289" spans="1:15">
      <c r="A289" s="3"/>
      <c r="B289" s="3"/>
      <c r="C289" s="803"/>
      <c r="D289" s="817"/>
      <c r="E289" s="817"/>
      <c r="F289" s="806"/>
      <c r="G289" s="3"/>
      <c r="H289" s="806"/>
      <c r="I289" s="3"/>
      <c r="J289" s="806"/>
      <c r="K289" s="3"/>
      <c r="L289" s="806"/>
      <c r="M289" s="3"/>
      <c r="N289" s="817"/>
      <c r="O289" s="817"/>
    </row>
    <row r="290" spans="1:15">
      <c r="A290" s="3"/>
      <c r="B290" s="3"/>
      <c r="C290" s="803"/>
      <c r="D290" s="817"/>
      <c r="E290" s="817"/>
      <c r="F290" s="806"/>
      <c r="G290" s="3"/>
      <c r="H290" s="806"/>
      <c r="I290" s="3"/>
      <c r="J290" s="806"/>
      <c r="K290" s="3"/>
      <c r="L290" s="806"/>
      <c r="M290" s="3"/>
      <c r="N290" s="817"/>
      <c r="O290" s="817"/>
    </row>
    <row r="291" spans="1:15">
      <c r="A291" s="3"/>
      <c r="B291" s="3"/>
      <c r="C291" s="803"/>
      <c r="D291" s="817"/>
      <c r="E291" s="817"/>
      <c r="F291" s="806"/>
      <c r="G291" s="3"/>
      <c r="H291" s="806"/>
      <c r="I291" s="3"/>
      <c r="J291" s="806"/>
      <c r="K291" s="3"/>
      <c r="L291" s="806"/>
      <c r="M291" s="3"/>
      <c r="N291" s="817"/>
      <c r="O291" s="817"/>
    </row>
    <row r="292" spans="1:15">
      <c r="A292" s="3"/>
      <c r="B292" s="3"/>
      <c r="C292" s="803"/>
      <c r="D292" s="817"/>
      <c r="E292" s="817"/>
      <c r="F292" s="806"/>
      <c r="G292" s="3"/>
      <c r="H292" s="806"/>
      <c r="I292" s="3"/>
      <c r="J292" s="806"/>
      <c r="K292" s="3"/>
      <c r="L292" s="806"/>
      <c r="M292" s="3"/>
      <c r="N292" s="817"/>
      <c r="O292" s="817"/>
    </row>
    <row r="293" spans="1:15">
      <c r="A293" s="3"/>
      <c r="B293" s="3"/>
      <c r="C293" s="803"/>
      <c r="D293" s="817"/>
      <c r="E293" s="817"/>
      <c r="F293" s="806"/>
      <c r="G293" s="3"/>
      <c r="H293" s="806"/>
      <c r="I293" s="3"/>
      <c r="J293" s="806"/>
      <c r="K293" s="3"/>
      <c r="L293" s="806"/>
      <c r="M293" s="3"/>
      <c r="N293" s="817"/>
      <c r="O293" s="817"/>
    </row>
    <row r="294" spans="1:15">
      <c r="A294" s="3"/>
      <c r="B294" s="3"/>
      <c r="C294" s="803"/>
      <c r="D294" s="817"/>
      <c r="E294" s="817"/>
      <c r="F294" s="806"/>
      <c r="G294" s="3"/>
      <c r="H294" s="806"/>
      <c r="I294" s="3"/>
      <c r="J294" s="806"/>
      <c r="K294" s="3"/>
      <c r="L294" s="806"/>
      <c r="M294" s="3"/>
      <c r="N294" s="817"/>
      <c r="O294" s="817"/>
    </row>
    <row r="295" spans="1:15">
      <c r="A295" s="3"/>
      <c r="B295" s="3"/>
      <c r="C295" s="803"/>
      <c r="D295" s="817"/>
      <c r="E295" s="817"/>
      <c r="F295" s="806"/>
      <c r="G295" s="3"/>
      <c r="H295" s="806"/>
      <c r="I295" s="3"/>
      <c r="J295" s="806"/>
      <c r="K295" s="3"/>
      <c r="L295" s="806"/>
      <c r="M295" s="3"/>
      <c r="N295" s="817"/>
      <c r="O295" s="817"/>
    </row>
    <row r="296" spans="1:15">
      <c r="A296" s="3"/>
      <c r="B296" s="3"/>
      <c r="C296" s="803"/>
      <c r="D296" s="817"/>
      <c r="E296" s="817"/>
      <c r="F296" s="806"/>
      <c r="G296" s="3"/>
      <c r="H296" s="806"/>
      <c r="I296" s="3"/>
      <c r="J296" s="806"/>
      <c r="K296" s="3"/>
      <c r="L296" s="806"/>
      <c r="M296" s="3"/>
      <c r="N296" s="817"/>
      <c r="O296" s="817"/>
    </row>
    <row r="297" spans="1:15">
      <c r="A297" s="3"/>
      <c r="B297" s="3"/>
      <c r="C297" s="803"/>
      <c r="D297" s="817"/>
      <c r="E297" s="817"/>
      <c r="F297" s="806"/>
      <c r="G297" s="3"/>
      <c r="H297" s="806"/>
      <c r="I297" s="3"/>
      <c r="J297" s="806"/>
      <c r="K297" s="3"/>
      <c r="L297" s="806"/>
      <c r="M297" s="3"/>
      <c r="N297" s="817"/>
      <c r="O297" s="817"/>
    </row>
    <row r="298" spans="1:15">
      <c r="A298" s="3"/>
      <c r="B298" s="3"/>
      <c r="C298" s="803"/>
      <c r="D298" s="817"/>
      <c r="E298" s="817"/>
      <c r="F298" s="806"/>
      <c r="G298" s="3"/>
      <c r="H298" s="806"/>
      <c r="I298" s="3"/>
      <c r="J298" s="806"/>
      <c r="K298" s="3"/>
      <c r="L298" s="806"/>
      <c r="M298" s="3"/>
      <c r="N298" s="817"/>
      <c r="O298" s="817"/>
    </row>
    <row r="299" spans="1:15">
      <c r="A299" s="3"/>
      <c r="B299" s="3"/>
      <c r="C299" s="803"/>
      <c r="D299" s="817"/>
      <c r="E299" s="817"/>
      <c r="F299" s="806"/>
      <c r="G299" s="3"/>
      <c r="H299" s="806"/>
      <c r="I299" s="3"/>
      <c r="J299" s="806"/>
      <c r="K299" s="3"/>
      <c r="L299" s="806"/>
      <c r="M299" s="3"/>
      <c r="N299" s="817"/>
      <c r="O299" s="817"/>
    </row>
    <row r="300" spans="1:15">
      <c r="A300" s="3"/>
      <c r="B300" s="3"/>
      <c r="C300" s="803"/>
      <c r="D300" s="817"/>
      <c r="E300" s="817"/>
      <c r="F300" s="806"/>
      <c r="G300" s="3"/>
      <c r="H300" s="806"/>
      <c r="I300" s="3"/>
      <c r="J300" s="806"/>
      <c r="K300" s="3"/>
      <c r="L300" s="806"/>
      <c r="M300" s="3"/>
      <c r="N300" s="817"/>
      <c r="O300" s="817"/>
    </row>
    <row r="301" spans="1:15">
      <c r="A301" s="3"/>
      <c r="B301" s="3"/>
      <c r="C301" s="803"/>
      <c r="D301" s="817"/>
      <c r="E301" s="817"/>
      <c r="F301" s="806"/>
      <c r="G301" s="3"/>
      <c r="H301" s="806"/>
      <c r="I301" s="3"/>
      <c r="J301" s="806"/>
      <c r="K301" s="3"/>
      <c r="L301" s="806"/>
      <c r="M301" s="3"/>
      <c r="N301" s="817"/>
      <c r="O301" s="817"/>
    </row>
    <row r="302" spans="1:15">
      <c r="A302" s="3"/>
      <c r="B302" s="3"/>
      <c r="C302" s="803"/>
      <c r="D302" s="817"/>
      <c r="E302" s="817"/>
      <c r="F302" s="806"/>
      <c r="G302" s="3"/>
      <c r="H302" s="806"/>
      <c r="I302" s="3"/>
      <c r="J302" s="806"/>
      <c r="K302" s="3"/>
      <c r="L302" s="806"/>
      <c r="M302" s="3"/>
      <c r="N302" s="817"/>
      <c r="O302" s="817"/>
    </row>
    <row r="303" spans="1:15">
      <c r="A303" s="3"/>
      <c r="B303" s="3"/>
      <c r="C303" s="803"/>
      <c r="D303" s="817"/>
      <c r="E303" s="817"/>
      <c r="F303" s="806"/>
      <c r="G303" s="3"/>
      <c r="H303" s="806"/>
      <c r="I303" s="3"/>
      <c r="J303" s="806"/>
      <c r="K303" s="3"/>
      <c r="L303" s="806"/>
      <c r="M303" s="3"/>
      <c r="N303" s="817"/>
      <c r="O303" s="817"/>
    </row>
    <row r="304" spans="1:15">
      <c r="A304" s="3"/>
      <c r="B304" s="3"/>
      <c r="C304" s="803"/>
      <c r="D304" s="817"/>
      <c r="E304" s="817"/>
      <c r="F304" s="806"/>
      <c r="G304" s="3"/>
      <c r="H304" s="806"/>
      <c r="I304" s="3"/>
      <c r="J304" s="806"/>
      <c r="K304" s="3"/>
      <c r="L304" s="806"/>
      <c r="M304" s="3"/>
      <c r="N304" s="817"/>
      <c r="O304" s="817"/>
    </row>
    <row r="305" spans="1:15">
      <c r="A305" s="3"/>
      <c r="B305" s="3"/>
      <c r="C305" s="803"/>
      <c r="D305" s="817"/>
      <c r="E305" s="817"/>
      <c r="F305" s="806"/>
      <c r="G305" s="3"/>
      <c r="H305" s="806"/>
      <c r="I305" s="3"/>
      <c r="J305" s="806"/>
      <c r="K305" s="3"/>
      <c r="L305" s="806"/>
      <c r="M305" s="3"/>
      <c r="N305" s="817"/>
      <c r="O305" s="817"/>
    </row>
    <row r="306" spans="1:15">
      <c r="A306" s="3"/>
      <c r="B306" s="3"/>
      <c r="C306" s="803"/>
      <c r="D306" s="817"/>
      <c r="E306" s="817"/>
      <c r="F306" s="806"/>
      <c r="G306" s="3"/>
      <c r="H306" s="806"/>
      <c r="I306" s="3"/>
      <c r="J306" s="806"/>
      <c r="K306" s="3"/>
      <c r="L306" s="806"/>
      <c r="M306" s="3"/>
      <c r="N306" s="817"/>
      <c r="O306" s="817"/>
    </row>
    <row r="307" spans="1:15">
      <c r="A307" s="3"/>
      <c r="B307" s="3"/>
      <c r="C307" s="803"/>
      <c r="D307" s="817"/>
      <c r="E307" s="817"/>
      <c r="F307" s="806"/>
      <c r="G307" s="3"/>
      <c r="H307" s="806"/>
      <c r="I307" s="3"/>
      <c r="J307" s="806"/>
      <c r="K307" s="3"/>
      <c r="L307" s="806"/>
      <c r="M307" s="3"/>
      <c r="N307" s="817"/>
      <c r="O307" s="817"/>
    </row>
    <row r="308" spans="1:15">
      <c r="A308" s="3"/>
      <c r="B308" s="3"/>
      <c r="C308" s="803"/>
      <c r="D308" s="817"/>
      <c r="E308" s="817"/>
      <c r="F308" s="806"/>
      <c r="G308" s="3"/>
      <c r="H308" s="806"/>
      <c r="I308" s="3"/>
      <c r="J308" s="806"/>
      <c r="K308" s="3"/>
      <c r="L308" s="806"/>
      <c r="M308" s="3"/>
      <c r="N308" s="817"/>
      <c r="O308" s="817"/>
    </row>
    <row r="309" spans="1:15">
      <c r="A309" s="3"/>
      <c r="B309" s="3"/>
      <c r="C309" s="803"/>
      <c r="D309" s="817"/>
      <c r="E309" s="817"/>
      <c r="F309" s="806"/>
      <c r="G309" s="3"/>
      <c r="H309" s="806"/>
      <c r="I309" s="3"/>
      <c r="J309" s="806"/>
      <c r="K309" s="3"/>
      <c r="L309" s="806"/>
      <c r="M309" s="3"/>
      <c r="N309" s="817"/>
      <c r="O309" s="817"/>
    </row>
    <row r="310" spans="1:15">
      <c r="A310" s="3"/>
      <c r="B310" s="3"/>
      <c r="C310" s="803"/>
      <c r="D310" s="817"/>
      <c r="E310" s="817"/>
      <c r="F310" s="806"/>
      <c r="G310" s="3"/>
      <c r="H310" s="806"/>
      <c r="I310" s="3"/>
      <c r="J310" s="806"/>
      <c r="K310" s="3"/>
      <c r="L310" s="806"/>
      <c r="M310" s="3"/>
      <c r="N310" s="817"/>
      <c r="O310" s="817"/>
    </row>
    <row r="311" spans="1:15">
      <c r="A311" s="3"/>
      <c r="B311" s="3"/>
      <c r="C311" s="803"/>
      <c r="D311" s="817"/>
      <c r="E311" s="817"/>
      <c r="F311" s="806"/>
      <c r="G311" s="3"/>
      <c r="H311" s="806"/>
      <c r="I311" s="3"/>
      <c r="J311" s="806"/>
      <c r="K311" s="3"/>
      <c r="L311" s="806"/>
      <c r="M311" s="3"/>
      <c r="N311" s="817"/>
      <c r="O311" s="817"/>
    </row>
    <row r="312" spans="1:15">
      <c r="A312" s="3"/>
      <c r="B312" s="3"/>
      <c r="C312" s="803"/>
      <c r="D312" s="817"/>
      <c r="E312" s="817"/>
      <c r="F312" s="806"/>
      <c r="G312" s="3"/>
      <c r="H312" s="806"/>
      <c r="I312" s="3"/>
      <c r="J312" s="806"/>
      <c r="K312" s="3"/>
      <c r="L312" s="806"/>
      <c r="M312" s="3"/>
      <c r="N312" s="817"/>
      <c r="O312" s="817"/>
    </row>
    <row r="313" spans="1:15">
      <c r="A313" s="3"/>
      <c r="B313" s="3"/>
      <c r="C313" s="803"/>
      <c r="D313" s="817"/>
      <c r="E313" s="817"/>
      <c r="F313" s="806"/>
      <c r="G313" s="3"/>
      <c r="H313" s="806"/>
      <c r="I313" s="3"/>
      <c r="J313" s="806"/>
      <c r="K313" s="3"/>
      <c r="L313" s="806"/>
      <c r="M313" s="3"/>
      <c r="N313" s="817"/>
      <c r="O313" s="817"/>
    </row>
    <row r="314" spans="1:15">
      <c r="A314" s="3"/>
      <c r="B314" s="3"/>
      <c r="C314" s="803"/>
      <c r="D314" s="817"/>
      <c r="E314" s="817"/>
      <c r="F314" s="806"/>
      <c r="G314" s="3"/>
      <c r="H314" s="806"/>
      <c r="I314" s="3"/>
      <c r="J314" s="806"/>
      <c r="K314" s="3"/>
      <c r="L314" s="806"/>
      <c r="M314" s="3"/>
      <c r="N314" s="817"/>
      <c r="O314" s="817"/>
    </row>
    <row r="315" spans="1:15">
      <c r="A315" s="3"/>
      <c r="B315" s="3"/>
      <c r="C315" s="803"/>
      <c r="D315" s="817"/>
      <c r="E315" s="817"/>
      <c r="F315" s="806"/>
      <c r="G315" s="3"/>
      <c r="H315" s="806"/>
      <c r="I315" s="3"/>
      <c r="J315" s="806"/>
      <c r="K315" s="3"/>
      <c r="L315" s="806"/>
      <c r="M315" s="3"/>
      <c r="N315" s="817"/>
      <c r="O315" s="817"/>
    </row>
    <row r="316" spans="1:15">
      <c r="A316" s="3"/>
      <c r="B316" s="3"/>
      <c r="C316" s="803"/>
      <c r="D316" s="817"/>
      <c r="E316" s="817"/>
      <c r="F316" s="806"/>
      <c r="G316" s="3"/>
      <c r="H316" s="806"/>
      <c r="I316" s="3"/>
      <c r="J316" s="806"/>
      <c r="K316" s="3"/>
      <c r="L316" s="806"/>
      <c r="M316" s="3"/>
      <c r="N316" s="817"/>
      <c r="O316" s="817"/>
    </row>
    <row r="317" spans="1:15">
      <c r="A317" s="3"/>
      <c r="B317" s="3"/>
      <c r="C317" s="803"/>
      <c r="D317" s="817"/>
      <c r="E317" s="817"/>
      <c r="F317" s="806"/>
      <c r="G317" s="3"/>
      <c r="H317" s="806"/>
      <c r="I317" s="3"/>
      <c r="J317" s="806"/>
      <c r="K317" s="3"/>
      <c r="L317" s="806"/>
      <c r="M317" s="3"/>
      <c r="N317" s="817"/>
      <c r="O317" s="817"/>
    </row>
    <row r="318" spans="1:15">
      <c r="A318" s="3"/>
      <c r="B318" s="3"/>
      <c r="C318" s="803"/>
      <c r="D318" s="817"/>
      <c r="E318" s="817"/>
      <c r="F318" s="806"/>
      <c r="G318" s="3"/>
      <c r="H318" s="806"/>
      <c r="I318" s="3"/>
      <c r="J318" s="806"/>
      <c r="K318" s="3"/>
      <c r="L318" s="806"/>
      <c r="M318" s="3"/>
      <c r="N318" s="817"/>
      <c r="O318" s="817"/>
    </row>
    <row r="319" spans="1:15">
      <c r="A319" s="3"/>
      <c r="B319" s="3"/>
      <c r="C319" s="803"/>
      <c r="D319" s="817"/>
      <c r="E319" s="817"/>
      <c r="F319" s="806"/>
      <c r="G319" s="3"/>
      <c r="H319" s="806"/>
      <c r="I319" s="3"/>
      <c r="J319" s="806"/>
      <c r="K319" s="3"/>
      <c r="L319" s="806"/>
      <c r="M319" s="3"/>
      <c r="N319" s="817"/>
      <c r="O319" s="817"/>
    </row>
    <row r="320" spans="1:15">
      <c r="A320" s="3"/>
      <c r="B320" s="3"/>
      <c r="C320" s="803"/>
      <c r="D320" s="817"/>
      <c r="E320" s="817"/>
      <c r="F320" s="806"/>
      <c r="G320" s="3"/>
      <c r="H320" s="806"/>
      <c r="I320" s="3"/>
      <c r="J320" s="806"/>
      <c r="K320" s="3"/>
      <c r="L320" s="806"/>
      <c r="M320" s="3"/>
      <c r="N320" s="817"/>
      <c r="O320" s="817"/>
    </row>
    <row r="321" spans="1:15">
      <c r="A321" s="3"/>
      <c r="B321" s="3"/>
      <c r="C321" s="803"/>
      <c r="D321" s="817"/>
      <c r="E321" s="817"/>
      <c r="F321" s="806"/>
      <c r="G321" s="3"/>
      <c r="H321" s="806"/>
      <c r="I321" s="3"/>
      <c r="J321" s="806"/>
      <c r="K321" s="3"/>
      <c r="L321" s="806"/>
      <c r="M321" s="3"/>
      <c r="N321" s="817"/>
      <c r="O321" s="817"/>
    </row>
    <row r="322" spans="1:15">
      <c r="A322" s="3"/>
      <c r="B322" s="3"/>
      <c r="C322" s="803"/>
      <c r="D322" s="817"/>
      <c r="E322" s="817"/>
      <c r="F322" s="806"/>
      <c r="G322" s="3"/>
      <c r="H322" s="806"/>
      <c r="I322" s="3"/>
      <c r="J322" s="806"/>
      <c r="K322" s="3"/>
      <c r="L322" s="806"/>
      <c r="M322" s="3"/>
      <c r="N322" s="817"/>
      <c r="O322" s="817"/>
    </row>
    <row r="323" spans="1:15">
      <c r="A323" s="3"/>
      <c r="B323" s="3"/>
      <c r="C323" s="803"/>
      <c r="D323" s="817"/>
      <c r="E323" s="817"/>
      <c r="F323" s="806"/>
      <c r="G323" s="3"/>
      <c r="H323" s="806"/>
      <c r="I323" s="3"/>
      <c r="J323" s="806"/>
      <c r="K323" s="3"/>
      <c r="L323" s="806"/>
      <c r="M323" s="3"/>
      <c r="N323" s="817"/>
      <c r="O323" s="817"/>
    </row>
    <row r="324" spans="1:15">
      <c r="A324" s="3"/>
      <c r="B324" s="3"/>
      <c r="C324" s="803"/>
      <c r="D324" s="817"/>
      <c r="E324" s="817"/>
      <c r="F324" s="806"/>
      <c r="G324" s="3"/>
      <c r="H324" s="806"/>
      <c r="I324" s="3"/>
      <c r="J324" s="806"/>
      <c r="K324" s="3"/>
      <c r="L324" s="806"/>
      <c r="M324" s="3"/>
      <c r="N324" s="817"/>
      <c r="O324" s="817"/>
    </row>
    <row r="325" spans="1:15">
      <c r="A325" s="3"/>
      <c r="B325" s="3"/>
      <c r="C325" s="803"/>
      <c r="D325" s="817"/>
      <c r="E325" s="817"/>
      <c r="F325" s="806"/>
      <c r="G325" s="3"/>
      <c r="H325" s="806"/>
      <c r="I325" s="3"/>
      <c r="J325" s="806"/>
      <c r="K325" s="3"/>
      <c r="L325" s="806"/>
      <c r="M325" s="3"/>
      <c r="N325" s="817"/>
      <c r="O325" s="817"/>
    </row>
    <row r="326" spans="1:15">
      <c r="A326" s="3"/>
      <c r="B326" s="3"/>
      <c r="C326" s="803"/>
      <c r="D326" s="817"/>
      <c r="E326" s="817"/>
      <c r="F326" s="806"/>
      <c r="G326" s="3"/>
      <c r="H326" s="806"/>
      <c r="I326" s="3"/>
      <c r="J326" s="806"/>
      <c r="K326" s="3"/>
      <c r="L326" s="806"/>
      <c r="M326" s="3"/>
      <c r="N326" s="817"/>
      <c r="O326" s="817"/>
    </row>
    <row r="327" spans="1:15">
      <c r="A327" s="3"/>
      <c r="B327" s="3"/>
      <c r="C327" s="803"/>
      <c r="D327" s="817"/>
      <c r="E327" s="817"/>
      <c r="F327" s="806"/>
      <c r="G327" s="3"/>
      <c r="H327" s="806"/>
      <c r="I327" s="3"/>
      <c r="J327" s="806"/>
      <c r="K327" s="3"/>
      <c r="L327" s="806"/>
      <c r="M327" s="3"/>
      <c r="N327" s="817"/>
      <c r="O327" s="817"/>
    </row>
    <row r="328" spans="1:15">
      <c r="A328" s="3"/>
      <c r="B328" s="3"/>
      <c r="C328" s="803"/>
      <c r="D328" s="817"/>
      <c r="E328" s="817"/>
      <c r="F328" s="806"/>
      <c r="G328" s="3"/>
      <c r="H328" s="806"/>
      <c r="I328" s="3"/>
      <c r="J328" s="806"/>
      <c r="K328" s="3"/>
      <c r="L328" s="806"/>
      <c r="M328" s="3"/>
      <c r="N328" s="817"/>
      <c r="O328" s="817"/>
    </row>
    <row r="329" spans="1:15">
      <c r="A329" s="3"/>
      <c r="B329" s="3"/>
      <c r="C329" s="803"/>
      <c r="D329" s="817"/>
      <c r="E329" s="817"/>
      <c r="F329" s="806"/>
      <c r="G329" s="3"/>
      <c r="H329" s="806"/>
      <c r="I329" s="3"/>
      <c r="J329" s="806"/>
      <c r="K329" s="3"/>
      <c r="L329" s="806"/>
      <c r="M329" s="3"/>
      <c r="N329" s="817"/>
      <c r="O329" s="817"/>
    </row>
    <row r="330" spans="1:15">
      <c r="A330" s="3"/>
      <c r="B330" s="3"/>
      <c r="C330" s="803"/>
      <c r="D330" s="817"/>
      <c r="E330" s="817"/>
      <c r="F330" s="806"/>
      <c r="G330" s="3"/>
      <c r="H330" s="806"/>
      <c r="I330" s="3"/>
      <c r="J330" s="806"/>
      <c r="K330" s="3"/>
      <c r="L330" s="806"/>
      <c r="M330" s="3"/>
      <c r="N330" s="817"/>
      <c r="O330" s="817"/>
    </row>
    <row r="331" spans="1:15">
      <c r="A331" s="3"/>
      <c r="B331" s="3"/>
      <c r="C331" s="803"/>
      <c r="D331" s="817"/>
      <c r="E331" s="817"/>
      <c r="F331" s="806"/>
      <c r="G331" s="3"/>
      <c r="H331" s="806"/>
      <c r="I331" s="3"/>
      <c r="J331" s="806"/>
      <c r="K331" s="3"/>
      <c r="L331" s="806"/>
      <c r="M331" s="3"/>
      <c r="N331" s="817"/>
      <c r="O331" s="817"/>
    </row>
    <row r="332" spans="1:15">
      <c r="A332" s="3"/>
      <c r="B332" s="3"/>
      <c r="C332" s="803"/>
      <c r="D332" s="817"/>
      <c r="E332" s="817"/>
      <c r="F332" s="806"/>
      <c r="G332" s="3"/>
      <c r="H332" s="806"/>
      <c r="I332" s="3"/>
      <c r="J332" s="806"/>
      <c r="K332" s="3"/>
      <c r="L332" s="806"/>
      <c r="M332" s="3"/>
      <c r="N332" s="817"/>
      <c r="O332" s="817"/>
    </row>
    <row r="333" spans="1:15">
      <c r="A333" s="3"/>
      <c r="B333" s="3"/>
      <c r="C333" s="803"/>
      <c r="D333" s="817"/>
      <c r="E333" s="817"/>
      <c r="F333" s="806"/>
      <c r="G333" s="3"/>
      <c r="H333" s="806"/>
      <c r="I333" s="3"/>
      <c r="J333" s="806"/>
      <c r="K333" s="3"/>
      <c r="L333" s="806"/>
      <c r="M333" s="3"/>
      <c r="N333" s="817"/>
      <c r="O333" s="817"/>
    </row>
    <row r="334" spans="1:15">
      <c r="A334" s="3"/>
      <c r="B334" s="3"/>
      <c r="C334" s="803"/>
      <c r="D334" s="817"/>
      <c r="E334" s="817"/>
      <c r="F334" s="806"/>
      <c r="G334" s="3"/>
      <c r="H334" s="806"/>
      <c r="I334" s="3"/>
      <c r="J334" s="806"/>
      <c r="K334" s="3"/>
      <c r="L334" s="806"/>
      <c r="M334" s="3"/>
      <c r="N334" s="817"/>
      <c r="O334" s="817"/>
    </row>
    <row r="335" spans="1:15">
      <c r="A335" s="3"/>
      <c r="B335" s="3"/>
      <c r="C335" s="803"/>
      <c r="D335" s="817"/>
      <c r="E335" s="817"/>
      <c r="F335" s="806"/>
      <c r="G335" s="3"/>
      <c r="H335" s="806"/>
      <c r="I335" s="3"/>
      <c r="J335" s="806"/>
      <c r="K335" s="3"/>
      <c r="L335" s="806"/>
      <c r="M335" s="3"/>
      <c r="N335" s="817"/>
      <c r="O335" s="817"/>
    </row>
    <row r="336" spans="1:15">
      <c r="A336" s="3"/>
      <c r="B336" s="3"/>
      <c r="C336" s="803"/>
      <c r="D336" s="817"/>
      <c r="E336" s="817"/>
      <c r="F336" s="806"/>
      <c r="G336" s="3"/>
      <c r="H336" s="806"/>
      <c r="I336" s="3"/>
      <c r="J336" s="806"/>
      <c r="K336" s="3"/>
      <c r="L336" s="806"/>
      <c r="M336" s="3"/>
      <c r="N336" s="817"/>
      <c r="O336" s="817"/>
    </row>
    <row r="337" spans="1:15">
      <c r="A337" s="3"/>
      <c r="B337" s="3"/>
      <c r="C337" s="803"/>
      <c r="D337" s="817"/>
      <c r="E337" s="817"/>
      <c r="F337" s="806"/>
      <c r="G337" s="3"/>
      <c r="H337" s="806"/>
      <c r="I337" s="3"/>
      <c r="J337" s="806"/>
      <c r="K337" s="3"/>
      <c r="L337" s="806"/>
      <c r="M337" s="3"/>
      <c r="N337" s="817"/>
      <c r="O337" s="817"/>
    </row>
    <row r="338" spans="1:15">
      <c r="A338" s="3"/>
      <c r="B338" s="3"/>
      <c r="C338" s="803"/>
      <c r="D338" s="817"/>
      <c r="E338" s="817"/>
      <c r="F338" s="806"/>
      <c r="G338" s="3"/>
      <c r="H338" s="806"/>
      <c r="I338" s="3"/>
      <c r="J338" s="806"/>
      <c r="K338" s="3"/>
      <c r="L338" s="806"/>
      <c r="M338" s="3"/>
      <c r="N338" s="817"/>
      <c r="O338" s="817"/>
    </row>
    <row r="339" spans="1:15">
      <c r="A339" s="3"/>
      <c r="B339" s="3"/>
      <c r="C339" s="803"/>
      <c r="D339" s="817"/>
      <c r="E339" s="817"/>
      <c r="F339" s="806"/>
      <c r="G339" s="3"/>
      <c r="H339" s="806"/>
      <c r="I339" s="3"/>
      <c r="J339" s="806"/>
      <c r="K339" s="3"/>
      <c r="L339" s="806"/>
      <c r="M339" s="3"/>
      <c r="N339" s="817"/>
      <c r="O339" s="817"/>
    </row>
    <row r="340" spans="1:15">
      <c r="A340" s="3"/>
      <c r="B340" s="3"/>
      <c r="C340" s="803"/>
      <c r="D340" s="817"/>
      <c r="E340" s="817"/>
      <c r="F340" s="806"/>
      <c r="G340" s="3"/>
      <c r="H340" s="806"/>
      <c r="I340" s="3"/>
      <c r="J340" s="806"/>
      <c r="K340" s="3"/>
      <c r="L340" s="806"/>
      <c r="M340" s="3"/>
      <c r="N340" s="817"/>
      <c r="O340" s="817"/>
    </row>
    <row r="341" spans="1:15">
      <c r="A341" s="3"/>
      <c r="B341" s="3"/>
      <c r="C341" s="803"/>
      <c r="D341" s="817"/>
      <c r="E341" s="817"/>
      <c r="F341" s="806"/>
      <c r="G341" s="3"/>
      <c r="H341" s="806"/>
      <c r="I341" s="3"/>
      <c r="J341" s="806"/>
      <c r="K341" s="3"/>
      <c r="L341" s="806"/>
      <c r="M341" s="3"/>
      <c r="N341" s="817"/>
      <c r="O341" s="817"/>
    </row>
    <row r="342" spans="1:15">
      <c r="A342" s="3"/>
      <c r="B342" s="3"/>
      <c r="C342" s="803"/>
      <c r="D342" s="817"/>
      <c r="E342" s="817"/>
      <c r="F342" s="806"/>
      <c r="G342" s="3"/>
      <c r="H342" s="806"/>
      <c r="I342" s="3"/>
      <c r="J342" s="806"/>
      <c r="K342" s="3"/>
      <c r="L342" s="806"/>
      <c r="M342" s="3"/>
      <c r="N342" s="817"/>
      <c r="O342" s="817"/>
    </row>
    <row r="343" spans="1:15">
      <c r="A343" s="3"/>
      <c r="B343" s="3"/>
      <c r="C343" s="803"/>
      <c r="D343" s="817"/>
      <c r="E343" s="817"/>
      <c r="F343" s="806"/>
      <c r="G343" s="3"/>
      <c r="H343" s="806"/>
      <c r="I343" s="3"/>
      <c r="J343" s="806"/>
      <c r="K343" s="3"/>
      <c r="L343" s="806"/>
      <c r="M343" s="3"/>
      <c r="N343" s="817"/>
      <c r="O343" s="817"/>
    </row>
    <row r="344" spans="1:15">
      <c r="A344" s="3"/>
      <c r="B344" s="3"/>
      <c r="C344" s="803"/>
      <c r="D344" s="817"/>
      <c r="E344" s="817"/>
      <c r="F344" s="806"/>
      <c r="G344" s="3"/>
      <c r="H344" s="806"/>
      <c r="I344" s="3"/>
      <c r="J344" s="806"/>
      <c r="K344" s="3"/>
      <c r="L344" s="806"/>
      <c r="M344" s="3"/>
      <c r="N344" s="817"/>
      <c r="O344" s="817"/>
    </row>
    <row r="345" spans="1:15">
      <c r="A345" s="3"/>
      <c r="B345" s="3"/>
      <c r="C345" s="803"/>
      <c r="D345" s="817"/>
      <c r="E345" s="817"/>
      <c r="F345" s="806"/>
      <c r="G345" s="3"/>
      <c r="H345" s="806"/>
      <c r="I345" s="3"/>
      <c r="J345" s="806"/>
      <c r="K345" s="3"/>
      <c r="L345" s="806"/>
      <c r="M345" s="3"/>
      <c r="N345" s="817"/>
      <c r="O345" s="817"/>
    </row>
    <row r="346" spans="1:15">
      <c r="A346" s="3"/>
      <c r="B346" s="3"/>
      <c r="C346" s="803"/>
      <c r="D346" s="817"/>
      <c r="E346" s="817"/>
      <c r="F346" s="806"/>
      <c r="G346" s="3"/>
      <c r="H346" s="806"/>
      <c r="I346" s="3"/>
      <c r="J346" s="806"/>
      <c r="K346" s="3"/>
      <c r="L346" s="806"/>
      <c r="M346" s="3"/>
      <c r="N346" s="817"/>
      <c r="O346" s="817"/>
    </row>
    <row r="347" spans="1:15">
      <c r="A347" s="3"/>
      <c r="B347" s="3"/>
      <c r="C347" s="803"/>
      <c r="D347" s="817"/>
      <c r="E347" s="817"/>
      <c r="F347" s="806"/>
      <c r="G347" s="3"/>
      <c r="H347" s="806"/>
      <c r="I347" s="3"/>
      <c r="J347" s="806"/>
      <c r="K347" s="3"/>
      <c r="L347" s="806"/>
      <c r="M347" s="3"/>
      <c r="N347" s="817"/>
      <c r="O347" s="817"/>
    </row>
    <row r="348" spans="1:15">
      <c r="A348" s="3"/>
      <c r="B348" s="3"/>
      <c r="C348" s="803"/>
      <c r="D348" s="817"/>
      <c r="E348" s="817"/>
      <c r="F348" s="806"/>
      <c r="G348" s="3"/>
      <c r="H348" s="806"/>
      <c r="I348" s="3"/>
      <c r="J348" s="806"/>
      <c r="K348" s="3"/>
      <c r="L348" s="806"/>
      <c r="M348" s="3"/>
      <c r="N348" s="817"/>
      <c r="O348" s="817"/>
    </row>
    <row r="349" spans="1:15">
      <c r="A349" s="3"/>
      <c r="B349" s="3"/>
      <c r="C349" s="803"/>
      <c r="D349" s="817"/>
      <c r="E349" s="817"/>
      <c r="F349" s="806"/>
      <c r="G349" s="3"/>
      <c r="H349" s="806"/>
      <c r="I349" s="3"/>
      <c r="J349" s="806"/>
      <c r="K349" s="3"/>
      <c r="L349" s="806"/>
      <c r="M349" s="3"/>
      <c r="N349" s="817"/>
      <c r="O349" s="817"/>
    </row>
    <row r="350" spans="1:15">
      <c r="A350" s="3"/>
      <c r="B350" s="3"/>
      <c r="C350" s="803"/>
      <c r="D350" s="817"/>
      <c r="E350" s="817"/>
      <c r="F350" s="806"/>
      <c r="G350" s="3"/>
      <c r="H350" s="806"/>
      <c r="I350" s="3"/>
      <c r="J350" s="806"/>
      <c r="K350" s="3"/>
      <c r="L350" s="806"/>
      <c r="M350" s="3"/>
      <c r="N350" s="817"/>
      <c r="O350" s="817"/>
    </row>
    <row r="351" spans="1:15">
      <c r="A351" s="3"/>
      <c r="B351" s="3"/>
      <c r="C351" s="803"/>
      <c r="D351" s="817"/>
      <c r="E351" s="817"/>
      <c r="F351" s="806"/>
      <c r="G351" s="3"/>
      <c r="H351" s="806"/>
      <c r="I351" s="3"/>
      <c r="J351" s="806"/>
      <c r="K351" s="3"/>
      <c r="L351" s="806"/>
      <c r="M351" s="3"/>
      <c r="N351" s="817"/>
      <c r="O351" s="817"/>
    </row>
    <row r="352" spans="1:15">
      <c r="A352" s="3"/>
      <c r="B352" s="3"/>
      <c r="C352" s="803"/>
      <c r="D352" s="817"/>
      <c r="E352" s="817"/>
      <c r="F352" s="806"/>
      <c r="G352" s="3"/>
      <c r="H352" s="806"/>
      <c r="I352" s="3"/>
      <c r="J352" s="806"/>
      <c r="K352" s="3"/>
      <c r="L352" s="806"/>
      <c r="M352" s="3"/>
      <c r="N352" s="817"/>
      <c r="O352" s="817"/>
    </row>
    <row r="353" spans="1:15">
      <c r="A353" s="3"/>
      <c r="B353" s="3"/>
      <c r="C353" s="803"/>
      <c r="D353" s="817"/>
      <c r="E353" s="817"/>
      <c r="F353" s="806"/>
      <c r="G353" s="3"/>
      <c r="H353" s="806"/>
      <c r="I353" s="3"/>
      <c r="J353" s="806"/>
      <c r="K353" s="3"/>
      <c r="L353" s="806"/>
      <c r="M353" s="3"/>
      <c r="N353" s="817"/>
      <c r="O353" s="817"/>
    </row>
    <row r="354" spans="1:15">
      <c r="A354" s="3"/>
      <c r="B354" s="3"/>
      <c r="C354" s="803"/>
      <c r="D354" s="817"/>
      <c r="E354" s="817"/>
      <c r="F354" s="806"/>
      <c r="G354" s="3"/>
      <c r="H354" s="806"/>
      <c r="I354" s="3"/>
      <c r="J354" s="806"/>
      <c r="K354" s="3"/>
      <c r="L354" s="806"/>
      <c r="M354" s="3"/>
      <c r="N354" s="817"/>
      <c r="O354" s="817"/>
    </row>
    <row r="355" spans="1:15">
      <c r="A355" s="3"/>
      <c r="B355" s="3"/>
      <c r="C355" s="803"/>
      <c r="D355" s="817"/>
      <c r="E355" s="817"/>
      <c r="F355" s="806"/>
      <c r="G355" s="3"/>
      <c r="H355" s="806"/>
      <c r="I355" s="3"/>
      <c r="J355" s="806"/>
      <c r="K355" s="3"/>
      <c r="L355" s="806"/>
      <c r="M355" s="3"/>
      <c r="N355" s="817"/>
      <c r="O355" s="817"/>
    </row>
    <row r="356" spans="1:15">
      <c r="A356" s="3"/>
      <c r="B356" s="3"/>
      <c r="C356" s="803"/>
      <c r="D356" s="817"/>
      <c r="E356" s="817"/>
      <c r="F356" s="806"/>
      <c r="G356" s="3"/>
      <c r="H356" s="806"/>
      <c r="I356" s="3"/>
      <c r="J356" s="806"/>
      <c r="K356" s="3"/>
      <c r="L356" s="806"/>
      <c r="M356" s="3"/>
      <c r="N356" s="817"/>
      <c r="O356" s="817"/>
    </row>
    <row r="357" spans="1:15">
      <c r="A357" s="3"/>
      <c r="B357" s="3"/>
      <c r="C357" s="803"/>
      <c r="D357" s="817"/>
      <c r="E357" s="817"/>
      <c r="F357" s="806"/>
      <c r="G357" s="3"/>
      <c r="H357" s="806"/>
      <c r="I357" s="3"/>
      <c r="J357" s="806"/>
      <c r="K357" s="3"/>
      <c r="L357" s="806"/>
      <c r="M357" s="3"/>
      <c r="N357" s="817"/>
      <c r="O357" s="817"/>
    </row>
    <row r="358" spans="1:15">
      <c r="A358" s="3"/>
      <c r="B358" s="3"/>
      <c r="C358" s="803"/>
      <c r="D358" s="817"/>
      <c r="E358" s="817"/>
      <c r="F358" s="806"/>
      <c r="G358" s="3"/>
      <c r="H358" s="806"/>
      <c r="I358" s="3"/>
      <c r="J358" s="806"/>
      <c r="K358" s="3"/>
      <c r="L358" s="806"/>
      <c r="M358" s="3"/>
      <c r="N358" s="817"/>
      <c r="O358" s="817"/>
    </row>
    <row r="359" spans="1:15">
      <c r="A359" s="3"/>
      <c r="B359" s="3"/>
      <c r="C359" s="803"/>
      <c r="D359" s="817"/>
      <c r="E359" s="817"/>
      <c r="F359" s="806"/>
      <c r="G359" s="3"/>
      <c r="H359" s="806"/>
      <c r="I359" s="3"/>
      <c r="J359" s="806"/>
      <c r="K359" s="3"/>
      <c r="L359" s="806"/>
      <c r="M359" s="3"/>
      <c r="N359" s="817"/>
      <c r="O359" s="817"/>
    </row>
    <row r="360" spans="1:15">
      <c r="A360" s="3"/>
      <c r="B360" s="3"/>
      <c r="C360" s="803"/>
      <c r="D360" s="817"/>
      <c r="E360" s="817"/>
      <c r="F360" s="806"/>
      <c r="G360" s="3"/>
      <c r="H360" s="806"/>
      <c r="I360" s="3"/>
      <c r="J360" s="806"/>
      <c r="K360" s="3"/>
      <c r="L360" s="806"/>
      <c r="M360" s="3"/>
      <c r="N360" s="817"/>
      <c r="O360" s="817"/>
    </row>
    <row r="361" spans="1:15">
      <c r="A361" s="3"/>
      <c r="B361" s="3"/>
      <c r="C361" s="803"/>
      <c r="D361" s="817"/>
      <c r="E361" s="817"/>
      <c r="F361" s="806"/>
      <c r="G361" s="3"/>
      <c r="H361" s="806"/>
      <c r="I361" s="3"/>
      <c r="J361" s="806"/>
      <c r="K361" s="3"/>
      <c r="L361" s="806"/>
      <c r="M361" s="3"/>
      <c r="N361" s="817"/>
      <c r="O361" s="817"/>
    </row>
    <row r="362" spans="1:15">
      <c r="A362" s="3"/>
      <c r="B362" s="3"/>
      <c r="C362" s="803"/>
      <c r="D362" s="817"/>
      <c r="E362" s="817"/>
      <c r="F362" s="806"/>
      <c r="G362" s="3"/>
      <c r="H362" s="806"/>
      <c r="I362" s="3"/>
      <c r="J362" s="806"/>
      <c r="K362" s="3"/>
      <c r="L362" s="806"/>
      <c r="M362" s="3"/>
      <c r="N362" s="817"/>
      <c r="O362" s="817"/>
    </row>
    <row r="363" spans="1:15">
      <c r="A363" s="3"/>
      <c r="B363" s="3"/>
      <c r="C363" s="803"/>
      <c r="D363" s="817"/>
      <c r="E363" s="817"/>
      <c r="F363" s="806"/>
      <c r="G363" s="3"/>
      <c r="H363" s="806"/>
      <c r="I363" s="3"/>
      <c r="J363" s="806"/>
      <c r="K363" s="3"/>
      <c r="L363" s="806"/>
      <c r="M363" s="3"/>
      <c r="N363" s="817"/>
      <c r="O363" s="817"/>
    </row>
    <row r="364" spans="1:15">
      <c r="A364" s="3"/>
      <c r="B364" s="3"/>
      <c r="C364" s="803"/>
      <c r="D364" s="817"/>
      <c r="E364" s="817"/>
      <c r="F364" s="806"/>
      <c r="G364" s="3"/>
      <c r="H364" s="806"/>
      <c r="I364" s="3"/>
      <c r="J364" s="806"/>
      <c r="K364" s="3"/>
      <c r="L364" s="806"/>
      <c r="M364" s="3"/>
      <c r="N364" s="817"/>
      <c r="O364" s="817"/>
    </row>
    <row r="365" spans="1:15">
      <c r="A365" s="3"/>
      <c r="B365" s="3"/>
      <c r="C365" s="803"/>
      <c r="D365" s="817"/>
      <c r="E365" s="817"/>
      <c r="F365" s="806"/>
      <c r="G365" s="3"/>
      <c r="H365" s="806"/>
      <c r="I365" s="3"/>
      <c r="J365" s="806"/>
      <c r="K365" s="3"/>
      <c r="L365" s="806"/>
      <c r="M365" s="3"/>
      <c r="N365" s="817"/>
      <c r="O365" s="817"/>
    </row>
    <row r="366" spans="1:15">
      <c r="A366" s="3"/>
      <c r="B366" s="3"/>
      <c r="C366" s="803"/>
      <c r="D366" s="817"/>
      <c r="E366" s="817"/>
      <c r="F366" s="806"/>
      <c r="G366" s="3"/>
      <c r="H366" s="806"/>
      <c r="I366" s="3"/>
      <c r="J366" s="806"/>
      <c r="K366" s="3"/>
      <c r="L366" s="806"/>
      <c r="M366" s="3"/>
      <c r="N366" s="817"/>
      <c r="O366" s="817"/>
    </row>
    <row r="367" spans="1:15">
      <c r="A367" s="3"/>
      <c r="B367" s="3"/>
      <c r="C367" s="803"/>
      <c r="D367" s="817"/>
      <c r="E367" s="817"/>
      <c r="F367" s="806"/>
      <c r="G367" s="3"/>
      <c r="H367" s="806"/>
      <c r="I367" s="3"/>
      <c r="J367" s="806"/>
      <c r="K367" s="3"/>
      <c r="L367" s="806"/>
      <c r="M367" s="3"/>
      <c r="N367" s="817"/>
      <c r="O367" s="817"/>
    </row>
    <row r="368" spans="1:15">
      <c r="A368" s="3"/>
      <c r="B368" s="3"/>
      <c r="C368" s="803"/>
      <c r="D368" s="817"/>
      <c r="E368" s="817"/>
      <c r="F368" s="806"/>
      <c r="G368" s="3"/>
      <c r="H368" s="806"/>
      <c r="I368" s="3"/>
      <c r="J368" s="806"/>
      <c r="K368" s="3"/>
      <c r="L368" s="806"/>
      <c r="M368" s="3"/>
      <c r="N368" s="817"/>
      <c r="O368" s="817"/>
    </row>
    <row r="369" spans="1:15">
      <c r="A369" s="3"/>
      <c r="B369" s="3"/>
      <c r="C369" s="803"/>
      <c r="D369" s="817"/>
      <c r="E369" s="817"/>
      <c r="F369" s="806"/>
      <c r="G369" s="3"/>
      <c r="H369" s="806"/>
      <c r="I369" s="3"/>
      <c r="J369" s="806"/>
      <c r="K369" s="3"/>
      <c r="L369" s="806"/>
      <c r="M369" s="3"/>
      <c r="N369" s="817"/>
      <c r="O369" s="817"/>
    </row>
    <row r="370" spans="1:15">
      <c r="A370" s="3"/>
      <c r="B370" s="3"/>
      <c r="C370" s="803"/>
      <c r="D370" s="817"/>
      <c r="E370" s="817"/>
      <c r="F370" s="806"/>
      <c r="G370" s="3"/>
      <c r="H370" s="806"/>
      <c r="I370" s="3"/>
      <c r="J370" s="806"/>
      <c r="K370" s="3"/>
      <c r="L370" s="806"/>
      <c r="M370" s="3"/>
      <c r="N370" s="817"/>
      <c r="O370" s="817"/>
    </row>
    <row r="371" spans="1:15">
      <c r="A371" s="3"/>
      <c r="B371" s="3"/>
      <c r="C371" s="803"/>
      <c r="D371" s="817"/>
      <c r="E371" s="817"/>
      <c r="F371" s="806"/>
      <c r="G371" s="3"/>
      <c r="H371" s="806"/>
      <c r="I371" s="3"/>
      <c r="J371" s="806"/>
      <c r="K371" s="3"/>
      <c r="L371" s="806"/>
      <c r="M371" s="3"/>
      <c r="N371" s="817"/>
      <c r="O371" s="817"/>
    </row>
    <row r="372" spans="1:15">
      <c r="A372" s="3"/>
      <c r="B372" s="3"/>
      <c r="C372" s="803"/>
      <c r="D372" s="817"/>
      <c r="E372" s="817"/>
      <c r="F372" s="806"/>
      <c r="G372" s="3"/>
      <c r="H372" s="806"/>
      <c r="I372" s="3"/>
      <c r="J372" s="806"/>
      <c r="K372" s="3"/>
      <c r="L372" s="806"/>
      <c r="M372" s="3"/>
      <c r="N372" s="817"/>
      <c r="O372" s="817"/>
    </row>
    <row r="373" spans="1:15">
      <c r="A373" s="3"/>
      <c r="B373" s="3"/>
      <c r="C373" s="803"/>
      <c r="D373" s="817"/>
      <c r="E373" s="817"/>
      <c r="F373" s="806"/>
      <c r="G373" s="3"/>
      <c r="H373" s="806"/>
      <c r="I373" s="3"/>
      <c r="J373" s="806"/>
      <c r="K373" s="3"/>
      <c r="L373" s="806"/>
      <c r="M373" s="3"/>
      <c r="N373" s="817"/>
      <c r="O373" s="817"/>
    </row>
    <row r="374" spans="1:15">
      <c r="A374" s="3"/>
      <c r="B374" s="3"/>
      <c r="C374" s="803"/>
      <c r="D374" s="817"/>
      <c r="E374" s="817"/>
      <c r="F374" s="806"/>
      <c r="G374" s="3"/>
      <c r="H374" s="806"/>
      <c r="I374" s="3"/>
      <c r="J374" s="806"/>
      <c r="K374" s="3"/>
      <c r="L374" s="806"/>
      <c r="M374" s="3"/>
      <c r="N374" s="817"/>
      <c r="O374" s="817"/>
    </row>
    <row r="375" spans="1:15">
      <c r="A375" s="3"/>
      <c r="B375" s="3"/>
      <c r="C375" s="803"/>
      <c r="D375" s="817"/>
      <c r="E375" s="817"/>
      <c r="F375" s="806"/>
      <c r="G375" s="3"/>
      <c r="H375" s="806"/>
      <c r="I375" s="3"/>
      <c r="J375" s="806"/>
      <c r="K375" s="3"/>
      <c r="L375" s="806"/>
      <c r="M375" s="3"/>
      <c r="N375" s="817"/>
      <c r="O375" s="817"/>
    </row>
    <row r="376" spans="1:15">
      <c r="A376" s="3"/>
      <c r="B376" s="3"/>
      <c r="C376" s="803"/>
      <c r="D376" s="817"/>
      <c r="E376" s="817"/>
      <c r="F376" s="806"/>
      <c r="G376" s="3"/>
      <c r="H376" s="806"/>
      <c r="I376" s="3"/>
      <c r="J376" s="806"/>
      <c r="K376" s="3"/>
      <c r="L376" s="806"/>
      <c r="M376" s="3"/>
      <c r="N376" s="817"/>
      <c r="O376" s="817"/>
    </row>
    <row r="377" spans="1:15">
      <c r="A377" s="3"/>
      <c r="B377" s="3"/>
      <c r="C377" s="803"/>
      <c r="D377" s="817"/>
      <c r="E377" s="817"/>
      <c r="F377" s="806"/>
      <c r="G377" s="3"/>
      <c r="H377" s="806"/>
      <c r="I377" s="3"/>
      <c r="J377" s="806"/>
      <c r="K377" s="3"/>
      <c r="L377" s="806"/>
      <c r="M377" s="3"/>
      <c r="N377" s="817"/>
      <c r="O377" s="817"/>
    </row>
    <row r="378" spans="1:15">
      <c r="A378" s="3"/>
      <c r="B378" s="3"/>
      <c r="C378" s="803"/>
      <c r="D378" s="817"/>
      <c r="E378" s="817"/>
      <c r="F378" s="806"/>
      <c r="G378" s="3"/>
      <c r="H378" s="806"/>
      <c r="I378" s="3"/>
      <c r="J378" s="806"/>
      <c r="K378" s="3"/>
      <c r="L378" s="806"/>
      <c r="M378" s="3"/>
      <c r="N378" s="817"/>
      <c r="O378" s="817"/>
    </row>
    <row r="379" spans="1:15">
      <c r="A379" s="3"/>
      <c r="B379" s="3"/>
      <c r="C379" s="803"/>
      <c r="D379" s="817"/>
      <c r="E379" s="817"/>
      <c r="F379" s="806"/>
      <c r="G379" s="3"/>
      <c r="H379" s="806"/>
      <c r="I379" s="3"/>
      <c r="J379" s="806"/>
      <c r="K379" s="3"/>
      <c r="L379" s="806"/>
      <c r="M379" s="3"/>
      <c r="N379" s="817"/>
      <c r="O379" s="817"/>
    </row>
    <row r="380" spans="1:15">
      <c r="A380" s="3"/>
      <c r="B380" s="3"/>
      <c r="C380" s="803"/>
      <c r="D380" s="817"/>
      <c r="E380" s="817"/>
      <c r="F380" s="806"/>
      <c r="G380" s="3"/>
      <c r="H380" s="806"/>
      <c r="I380" s="3"/>
      <c r="J380" s="806"/>
      <c r="K380" s="3"/>
      <c r="L380" s="806"/>
      <c r="M380" s="3"/>
      <c r="N380" s="817"/>
      <c r="O380" s="817"/>
    </row>
    <row r="381" spans="1:15">
      <c r="A381" s="3"/>
      <c r="B381" s="3"/>
      <c r="C381" s="803"/>
      <c r="D381" s="817"/>
      <c r="E381" s="817"/>
      <c r="F381" s="806"/>
      <c r="G381" s="3"/>
      <c r="H381" s="806"/>
      <c r="I381" s="3"/>
      <c r="J381" s="806"/>
      <c r="K381" s="3"/>
      <c r="L381" s="806"/>
      <c r="M381" s="3"/>
      <c r="N381" s="817"/>
      <c r="O381" s="817"/>
    </row>
    <row r="382" spans="1:15">
      <c r="A382" s="3"/>
      <c r="B382" s="3"/>
      <c r="C382" s="803"/>
      <c r="D382" s="817"/>
      <c r="E382" s="817"/>
      <c r="F382" s="806"/>
      <c r="G382" s="3"/>
      <c r="H382" s="806"/>
      <c r="I382" s="3"/>
      <c r="J382" s="806"/>
      <c r="K382" s="3"/>
      <c r="L382" s="806"/>
      <c r="M382" s="3"/>
      <c r="N382" s="817"/>
      <c r="O382" s="817"/>
    </row>
    <row r="383" spans="1:15">
      <c r="A383" s="3"/>
      <c r="B383" s="3"/>
      <c r="C383" s="803"/>
      <c r="D383" s="817"/>
      <c r="E383" s="817"/>
      <c r="F383" s="806"/>
      <c r="G383" s="3"/>
      <c r="H383" s="806"/>
      <c r="I383" s="3"/>
      <c r="J383" s="806"/>
      <c r="K383" s="3"/>
      <c r="L383" s="806"/>
      <c r="M383" s="3"/>
      <c r="N383" s="817"/>
      <c r="O383" s="817"/>
    </row>
    <row r="384" spans="1:15">
      <c r="A384" s="3"/>
      <c r="B384" s="3"/>
      <c r="C384" s="803"/>
      <c r="D384" s="817"/>
      <c r="E384" s="817"/>
      <c r="F384" s="806"/>
      <c r="G384" s="3"/>
      <c r="H384" s="806"/>
      <c r="I384" s="3"/>
      <c r="J384" s="806"/>
      <c r="K384" s="3"/>
      <c r="L384" s="806"/>
      <c r="M384" s="3"/>
      <c r="N384" s="817"/>
      <c r="O384" s="817"/>
    </row>
    <row r="385" spans="1:15">
      <c r="A385" s="3"/>
      <c r="B385" s="3"/>
      <c r="C385" s="803"/>
      <c r="D385" s="817"/>
      <c r="E385" s="817"/>
      <c r="F385" s="806"/>
      <c r="G385" s="3"/>
      <c r="H385" s="806"/>
      <c r="I385" s="3"/>
      <c r="J385" s="806"/>
      <c r="K385" s="3"/>
      <c r="L385" s="806"/>
      <c r="M385" s="3"/>
      <c r="N385" s="817"/>
      <c r="O385" s="817"/>
    </row>
    <row r="386" spans="1:15">
      <c r="A386" s="3"/>
      <c r="B386" s="3"/>
      <c r="C386" s="803"/>
      <c r="D386" s="817"/>
      <c r="E386" s="817"/>
      <c r="F386" s="806"/>
      <c r="G386" s="3"/>
      <c r="H386" s="806"/>
      <c r="I386" s="3"/>
      <c r="J386" s="806"/>
      <c r="K386" s="3"/>
      <c r="L386" s="806"/>
      <c r="M386" s="3"/>
      <c r="N386" s="817"/>
      <c r="O386" s="817"/>
    </row>
    <row r="387" spans="1:15">
      <c r="A387" s="3"/>
      <c r="B387" s="3"/>
      <c r="C387" s="803"/>
      <c r="D387" s="817"/>
      <c r="E387" s="817"/>
      <c r="F387" s="806"/>
      <c r="G387" s="3"/>
      <c r="H387" s="806"/>
      <c r="I387" s="3"/>
      <c r="J387" s="806"/>
      <c r="K387" s="3"/>
      <c r="L387" s="806"/>
      <c r="M387" s="3"/>
      <c r="N387" s="817"/>
      <c r="O387" s="817"/>
    </row>
    <row r="388" spans="1:15">
      <c r="A388" s="3"/>
      <c r="B388" s="3"/>
      <c r="C388" s="803"/>
      <c r="D388" s="817"/>
      <c r="E388" s="817"/>
      <c r="F388" s="806"/>
      <c r="G388" s="3"/>
      <c r="H388" s="806"/>
      <c r="I388" s="3"/>
      <c r="J388" s="806"/>
      <c r="K388" s="3"/>
      <c r="L388" s="806"/>
      <c r="M388" s="3"/>
      <c r="N388" s="817"/>
      <c r="O388" s="817"/>
    </row>
    <row r="389" spans="1:15">
      <c r="A389" s="3"/>
      <c r="B389" s="3"/>
      <c r="C389" s="803"/>
      <c r="D389" s="817"/>
      <c r="E389" s="817"/>
      <c r="F389" s="806"/>
      <c r="G389" s="3"/>
      <c r="H389" s="806"/>
      <c r="I389" s="3"/>
      <c r="J389" s="806"/>
      <c r="K389" s="3"/>
      <c r="L389" s="806"/>
      <c r="M389" s="3"/>
      <c r="N389" s="817"/>
      <c r="O389" s="817"/>
    </row>
    <row r="390" spans="1:15">
      <c r="A390" s="3"/>
      <c r="B390" s="3"/>
      <c r="C390" s="803"/>
      <c r="D390" s="817"/>
      <c r="E390" s="817"/>
      <c r="F390" s="806"/>
      <c r="G390" s="3"/>
      <c r="H390" s="806"/>
      <c r="I390" s="3"/>
      <c r="J390" s="806"/>
      <c r="K390" s="3"/>
      <c r="L390" s="806"/>
      <c r="M390" s="3"/>
      <c r="N390" s="817"/>
      <c r="O390" s="817"/>
    </row>
    <row r="391" spans="1:15">
      <c r="A391" s="3"/>
      <c r="B391" s="3"/>
      <c r="C391" s="803"/>
      <c r="D391" s="817"/>
      <c r="E391" s="817"/>
      <c r="F391" s="806"/>
      <c r="G391" s="3"/>
      <c r="H391" s="806"/>
      <c r="I391" s="3"/>
      <c r="J391" s="806"/>
      <c r="K391" s="3"/>
      <c r="L391" s="806"/>
      <c r="M391" s="3"/>
      <c r="N391" s="817"/>
      <c r="O391" s="817"/>
    </row>
    <row r="392" spans="1:15">
      <c r="A392" s="3"/>
      <c r="B392" s="3"/>
      <c r="C392" s="803"/>
      <c r="D392" s="817"/>
      <c r="E392" s="817"/>
      <c r="F392" s="806"/>
      <c r="G392" s="3"/>
      <c r="H392" s="806"/>
      <c r="I392" s="3"/>
      <c r="J392" s="806"/>
      <c r="K392" s="3"/>
      <c r="L392" s="806"/>
      <c r="M392" s="3"/>
      <c r="N392" s="817"/>
      <c r="O392" s="817"/>
    </row>
    <row r="393" spans="1:15">
      <c r="A393" s="3"/>
      <c r="B393" s="3"/>
      <c r="C393" s="803"/>
      <c r="D393" s="817"/>
      <c r="E393" s="817"/>
      <c r="F393" s="806"/>
      <c r="G393" s="3"/>
      <c r="H393" s="806"/>
      <c r="I393" s="3"/>
      <c r="J393" s="806"/>
      <c r="K393" s="3"/>
      <c r="L393" s="806"/>
      <c r="M393" s="3"/>
      <c r="N393" s="817"/>
      <c r="O393" s="817"/>
    </row>
    <row r="394" spans="1:15">
      <c r="A394" s="3"/>
      <c r="B394" s="3"/>
      <c r="C394" s="803"/>
      <c r="D394" s="817"/>
      <c r="E394" s="817"/>
      <c r="F394" s="806"/>
      <c r="G394" s="3"/>
      <c r="H394" s="806"/>
      <c r="I394" s="3"/>
      <c r="J394" s="806"/>
      <c r="K394" s="3"/>
      <c r="L394" s="806"/>
      <c r="M394" s="3"/>
      <c r="N394" s="817"/>
      <c r="O394" s="817"/>
    </row>
    <row r="395" spans="1:15">
      <c r="A395" s="3"/>
      <c r="B395" s="3"/>
      <c r="C395" s="803"/>
      <c r="D395" s="817"/>
      <c r="E395" s="817"/>
      <c r="F395" s="806"/>
      <c r="G395" s="3"/>
      <c r="H395" s="806"/>
      <c r="I395" s="3"/>
      <c r="J395" s="806"/>
      <c r="K395" s="3"/>
      <c r="L395" s="806"/>
      <c r="M395" s="3"/>
      <c r="N395" s="817"/>
      <c r="O395" s="817"/>
    </row>
    <row r="396" spans="1:15">
      <c r="A396" s="3"/>
      <c r="B396" s="3"/>
      <c r="C396" s="803"/>
      <c r="D396" s="817"/>
      <c r="E396" s="817"/>
      <c r="F396" s="806"/>
      <c r="G396" s="3"/>
      <c r="H396" s="806"/>
      <c r="I396" s="3"/>
      <c r="J396" s="806"/>
      <c r="K396" s="3"/>
      <c r="L396" s="806"/>
      <c r="M396" s="3"/>
      <c r="N396" s="817"/>
      <c r="O396" s="817"/>
    </row>
    <row r="397" spans="1:15">
      <c r="A397" s="3"/>
      <c r="B397" s="3"/>
      <c r="C397" s="803"/>
      <c r="D397" s="817"/>
      <c r="E397" s="817"/>
      <c r="F397" s="806"/>
      <c r="G397" s="3"/>
      <c r="H397" s="806"/>
      <c r="I397" s="3"/>
      <c r="J397" s="806"/>
      <c r="K397" s="3"/>
      <c r="L397" s="806"/>
      <c r="M397" s="3"/>
      <c r="N397" s="817"/>
      <c r="O397" s="817"/>
    </row>
    <row r="398" spans="1:15">
      <c r="A398" s="3"/>
      <c r="B398" s="3"/>
      <c r="C398" s="803"/>
      <c r="D398" s="817"/>
      <c r="E398" s="817"/>
      <c r="F398" s="806"/>
      <c r="G398" s="3"/>
      <c r="H398" s="806"/>
      <c r="I398" s="3"/>
      <c r="J398" s="806"/>
      <c r="K398" s="3"/>
      <c r="L398" s="806"/>
      <c r="M398" s="3"/>
      <c r="N398" s="817"/>
      <c r="O398" s="817"/>
    </row>
    <row r="399" spans="1:15">
      <c r="A399" s="3"/>
      <c r="B399" s="3"/>
      <c r="C399" s="803"/>
      <c r="D399" s="817"/>
      <c r="E399" s="817"/>
      <c r="F399" s="806"/>
      <c r="G399" s="3"/>
      <c r="H399" s="806"/>
      <c r="I399" s="3"/>
      <c r="J399" s="806"/>
      <c r="K399" s="3"/>
      <c r="L399" s="806"/>
      <c r="M399" s="3"/>
      <c r="N399" s="817"/>
      <c r="O399" s="817"/>
    </row>
    <row r="400" spans="1:15">
      <c r="A400" s="3"/>
      <c r="B400" s="3"/>
      <c r="C400" s="803"/>
      <c r="D400" s="817"/>
      <c r="E400" s="817"/>
      <c r="F400" s="806"/>
      <c r="G400" s="3"/>
      <c r="H400" s="806"/>
      <c r="I400" s="3"/>
      <c r="J400" s="806"/>
      <c r="K400" s="3"/>
      <c r="L400" s="806"/>
      <c r="M400" s="3"/>
      <c r="N400" s="817"/>
      <c r="O400" s="817"/>
    </row>
    <row r="401" spans="1:15">
      <c r="A401" s="3"/>
      <c r="B401" s="3"/>
      <c r="C401" s="803"/>
      <c r="D401" s="817"/>
      <c r="E401" s="817"/>
      <c r="F401" s="806"/>
      <c r="G401" s="3"/>
      <c r="H401" s="806"/>
      <c r="I401" s="3"/>
      <c r="J401" s="806"/>
      <c r="K401" s="3"/>
      <c r="L401" s="806"/>
      <c r="M401" s="3"/>
      <c r="N401" s="817"/>
      <c r="O401" s="817"/>
    </row>
    <row r="402" spans="1:15">
      <c r="A402" s="3"/>
      <c r="B402" s="3"/>
      <c r="C402" s="803"/>
      <c r="D402" s="817"/>
      <c r="E402" s="817"/>
      <c r="F402" s="806"/>
      <c r="G402" s="3"/>
      <c r="H402" s="806"/>
      <c r="I402" s="3"/>
      <c r="J402" s="806"/>
      <c r="K402" s="3"/>
      <c r="L402" s="806"/>
      <c r="M402" s="3"/>
      <c r="N402" s="817"/>
      <c r="O402" s="817"/>
    </row>
    <row r="403" spans="1:15">
      <c r="A403" s="3"/>
      <c r="B403" s="3"/>
      <c r="C403" s="803"/>
      <c r="D403" s="817"/>
      <c r="E403" s="817"/>
      <c r="F403" s="806"/>
      <c r="G403" s="3"/>
      <c r="H403" s="806"/>
      <c r="I403" s="3"/>
      <c r="J403" s="806"/>
      <c r="K403" s="3"/>
      <c r="L403" s="806"/>
      <c r="M403" s="3"/>
      <c r="N403" s="817"/>
      <c r="O403" s="817"/>
    </row>
    <row r="404" spans="1:15">
      <c r="A404" s="3"/>
      <c r="B404" s="3"/>
      <c r="C404" s="803"/>
      <c r="D404" s="817"/>
      <c r="E404" s="817"/>
      <c r="F404" s="806"/>
      <c r="G404" s="3"/>
      <c r="H404" s="806"/>
      <c r="I404" s="3"/>
      <c r="J404" s="806"/>
      <c r="K404" s="3"/>
      <c r="L404" s="806"/>
      <c r="M404" s="3"/>
      <c r="N404" s="817"/>
      <c r="O404" s="817"/>
    </row>
    <row r="405" spans="1:15">
      <c r="A405" s="3"/>
      <c r="B405" s="3"/>
      <c r="C405" s="803"/>
      <c r="D405" s="817"/>
      <c r="E405" s="817"/>
      <c r="F405" s="806"/>
      <c r="G405" s="3"/>
      <c r="H405" s="806"/>
      <c r="I405" s="3"/>
      <c r="J405" s="806"/>
      <c r="K405" s="3"/>
      <c r="L405" s="806"/>
      <c r="M405" s="3"/>
      <c r="N405" s="817"/>
      <c r="O405" s="817"/>
    </row>
    <row r="406" spans="1:15">
      <c r="A406" s="3"/>
      <c r="B406" s="3"/>
      <c r="C406" s="803"/>
      <c r="D406" s="817"/>
      <c r="E406" s="817"/>
      <c r="F406" s="806"/>
      <c r="G406" s="3"/>
      <c r="H406" s="806"/>
      <c r="I406" s="3"/>
      <c r="J406" s="806"/>
      <c r="K406" s="3"/>
      <c r="L406" s="806"/>
      <c r="M406" s="3"/>
      <c r="N406" s="817"/>
      <c r="O406" s="817"/>
    </row>
    <row r="407" spans="1:15">
      <c r="A407" s="3"/>
      <c r="B407" s="3"/>
      <c r="C407" s="803"/>
      <c r="D407" s="817"/>
      <c r="E407" s="817"/>
      <c r="F407" s="806"/>
      <c r="G407" s="3"/>
      <c r="H407" s="806"/>
      <c r="I407" s="3"/>
      <c r="J407" s="806"/>
      <c r="K407" s="3"/>
      <c r="L407" s="806"/>
      <c r="M407" s="3"/>
      <c r="N407" s="817"/>
      <c r="O407" s="817"/>
    </row>
    <row r="408" spans="1:15">
      <c r="A408" s="3"/>
      <c r="B408" s="3"/>
      <c r="C408" s="803"/>
      <c r="D408" s="817"/>
      <c r="E408" s="817"/>
      <c r="F408" s="806"/>
      <c r="G408" s="3"/>
      <c r="H408" s="806"/>
      <c r="I408" s="3"/>
      <c r="J408" s="806"/>
      <c r="K408" s="3"/>
      <c r="L408" s="806"/>
      <c r="M408" s="3"/>
      <c r="N408" s="817"/>
      <c r="O408" s="817"/>
    </row>
    <row r="409" spans="1:15">
      <c r="A409" s="3"/>
      <c r="B409" s="3"/>
      <c r="C409" s="803"/>
      <c r="D409" s="817"/>
      <c r="E409" s="817"/>
      <c r="F409" s="806"/>
      <c r="G409" s="3"/>
      <c r="H409" s="806"/>
      <c r="I409" s="3"/>
      <c r="J409" s="806"/>
      <c r="K409" s="3"/>
      <c r="L409" s="806"/>
      <c r="M409" s="3"/>
      <c r="N409" s="817"/>
      <c r="O409" s="817"/>
    </row>
    <row r="410" spans="1:15">
      <c r="A410" s="3"/>
      <c r="B410" s="3"/>
      <c r="C410" s="803"/>
      <c r="D410" s="817"/>
      <c r="E410" s="817"/>
      <c r="F410" s="806"/>
      <c r="G410" s="3"/>
      <c r="H410" s="806"/>
      <c r="I410" s="3"/>
      <c r="J410" s="806"/>
      <c r="K410" s="3"/>
      <c r="L410" s="806"/>
      <c r="M410" s="3"/>
      <c r="N410" s="817"/>
      <c r="O410" s="817"/>
    </row>
    <row r="411" spans="1:15">
      <c r="A411" s="3"/>
      <c r="B411" s="3"/>
      <c r="C411" s="803"/>
      <c r="D411" s="817"/>
      <c r="E411" s="817"/>
      <c r="F411" s="806"/>
      <c r="G411" s="3"/>
      <c r="H411" s="806"/>
      <c r="I411" s="3"/>
      <c r="J411" s="806"/>
      <c r="K411" s="3"/>
      <c r="L411" s="806"/>
      <c r="M411" s="3"/>
      <c r="N411" s="817"/>
      <c r="O411" s="817"/>
    </row>
    <row r="412" spans="1:15">
      <c r="A412" s="3"/>
      <c r="B412" s="3"/>
      <c r="C412" s="803"/>
      <c r="D412" s="817"/>
      <c r="E412" s="817"/>
      <c r="F412" s="806"/>
      <c r="G412" s="3"/>
      <c r="H412" s="806"/>
      <c r="I412" s="3"/>
      <c r="J412" s="806"/>
      <c r="K412" s="3"/>
      <c r="L412" s="806"/>
      <c r="M412" s="3"/>
      <c r="N412" s="817"/>
      <c r="O412" s="817"/>
    </row>
    <row r="413" spans="1:15">
      <c r="A413" s="3"/>
      <c r="B413" s="3"/>
      <c r="C413" s="803"/>
      <c r="D413" s="817"/>
      <c r="E413" s="817"/>
      <c r="F413" s="806"/>
      <c r="G413" s="3"/>
      <c r="H413" s="806"/>
      <c r="I413" s="3"/>
      <c r="J413" s="806"/>
      <c r="K413" s="3"/>
      <c r="L413" s="806"/>
      <c r="M413" s="3"/>
      <c r="N413" s="817"/>
      <c r="O413" s="817"/>
    </row>
    <row r="414" spans="1:15">
      <c r="A414" s="3"/>
      <c r="B414" s="3"/>
      <c r="C414" s="803"/>
      <c r="D414" s="817"/>
      <c r="E414" s="817"/>
      <c r="F414" s="806"/>
      <c r="G414" s="3"/>
      <c r="H414" s="806"/>
      <c r="I414" s="3"/>
      <c r="J414" s="806"/>
      <c r="K414" s="3"/>
      <c r="L414" s="806"/>
      <c r="M414" s="3"/>
      <c r="N414" s="817"/>
      <c r="O414" s="817"/>
    </row>
    <row r="415" spans="1:15">
      <c r="A415" s="3"/>
      <c r="B415" s="3"/>
      <c r="C415" s="803"/>
      <c r="D415" s="817"/>
      <c r="E415" s="817"/>
      <c r="F415" s="806"/>
      <c r="G415" s="3"/>
      <c r="H415" s="806"/>
      <c r="I415" s="3"/>
      <c r="J415" s="806"/>
      <c r="K415" s="3"/>
      <c r="L415" s="806"/>
      <c r="M415" s="3"/>
      <c r="N415" s="817"/>
      <c r="O415" s="817"/>
    </row>
    <row r="416" spans="1:15">
      <c r="A416" s="3"/>
      <c r="B416" s="3"/>
      <c r="C416" s="803"/>
      <c r="D416" s="817"/>
      <c r="E416" s="817"/>
      <c r="F416" s="806"/>
      <c r="G416" s="3"/>
      <c r="H416" s="806"/>
      <c r="I416" s="3"/>
      <c r="J416" s="806"/>
      <c r="K416" s="3"/>
      <c r="L416" s="806"/>
      <c r="M416" s="3"/>
      <c r="N416" s="817"/>
      <c r="O416" s="817"/>
    </row>
    <row r="417" spans="1:15">
      <c r="A417" s="3"/>
      <c r="B417" s="3"/>
      <c r="C417" s="803"/>
      <c r="D417" s="817"/>
      <c r="E417" s="817"/>
      <c r="F417" s="806"/>
      <c r="G417" s="3"/>
      <c r="H417" s="806"/>
      <c r="I417" s="3"/>
      <c r="J417" s="806"/>
      <c r="K417" s="3"/>
      <c r="L417" s="806"/>
      <c r="M417" s="3"/>
      <c r="N417" s="817"/>
      <c r="O417" s="817"/>
    </row>
    <row r="418" spans="1:15">
      <c r="A418" s="3"/>
      <c r="B418" s="3"/>
      <c r="C418" s="803"/>
      <c r="D418" s="817"/>
      <c r="E418" s="817"/>
      <c r="F418" s="806"/>
      <c r="G418" s="3"/>
      <c r="H418" s="806"/>
      <c r="I418" s="3"/>
      <c r="J418" s="806"/>
      <c r="K418" s="3"/>
      <c r="L418" s="806"/>
      <c r="M418" s="3"/>
      <c r="N418" s="817"/>
      <c r="O418" s="817"/>
    </row>
    <row r="419" spans="1:15">
      <c r="A419" s="3"/>
      <c r="B419" s="3"/>
      <c r="C419" s="803"/>
      <c r="D419" s="817"/>
      <c r="E419" s="817"/>
      <c r="F419" s="806"/>
      <c r="G419" s="3"/>
      <c r="H419" s="806"/>
      <c r="I419" s="3"/>
      <c r="J419" s="806"/>
      <c r="K419" s="3"/>
      <c r="L419" s="806"/>
      <c r="M419" s="3"/>
      <c r="N419" s="817"/>
      <c r="O419" s="817"/>
    </row>
    <row r="420" spans="1:15">
      <c r="A420" s="3"/>
      <c r="B420" s="3"/>
      <c r="C420" s="803"/>
      <c r="D420" s="817"/>
      <c r="E420" s="817"/>
      <c r="F420" s="806"/>
      <c r="G420" s="3"/>
      <c r="H420" s="806"/>
      <c r="I420" s="3"/>
      <c r="J420" s="806"/>
      <c r="K420" s="3"/>
      <c r="L420" s="806"/>
      <c r="M420" s="3"/>
      <c r="N420" s="817"/>
      <c r="O420" s="817"/>
    </row>
    <row r="421" spans="1:15">
      <c r="A421" s="3"/>
      <c r="B421" s="3"/>
      <c r="C421" s="803"/>
      <c r="D421" s="817"/>
      <c r="E421" s="817"/>
      <c r="F421" s="806"/>
      <c r="G421" s="3"/>
      <c r="H421" s="806"/>
      <c r="I421" s="3"/>
      <c r="J421" s="806"/>
      <c r="K421" s="3"/>
      <c r="L421" s="806"/>
      <c r="M421" s="3"/>
      <c r="N421" s="817"/>
      <c r="O421" s="817"/>
    </row>
    <row r="422" spans="1:15">
      <c r="A422" s="3"/>
      <c r="B422" s="3"/>
      <c r="C422" s="803"/>
      <c r="D422" s="817"/>
      <c r="E422" s="817"/>
      <c r="F422" s="806"/>
      <c r="G422" s="3"/>
      <c r="H422" s="806"/>
      <c r="I422" s="3"/>
      <c r="J422" s="806"/>
      <c r="K422" s="3"/>
      <c r="L422" s="806"/>
      <c r="M422" s="3"/>
      <c r="N422" s="817"/>
      <c r="O422" s="817"/>
    </row>
    <row r="423" spans="1:15">
      <c r="A423" s="3"/>
      <c r="B423" s="3"/>
      <c r="C423" s="803"/>
      <c r="D423" s="817"/>
      <c r="E423" s="817"/>
      <c r="F423" s="806"/>
      <c r="G423" s="3"/>
      <c r="H423" s="806"/>
      <c r="I423" s="3"/>
      <c r="J423" s="806"/>
      <c r="K423" s="3"/>
      <c r="L423" s="806"/>
      <c r="M423" s="3"/>
      <c r="N423" s="817"/>
      <c r="O423" s="817"/>
    </row>
    <row r="424" spans="1:15">
      <c r="A424" s="3"/>
      <c r="B424" s="3"/>
      <c r="C424" s="803"/>
      <c r="D424" s="817"/>
      <c r="E424" s="817"/>
      <c r="F424" s="806"/>
      <c r="G424" s="3"/>
      <c r="H424" s="806"/>
      <c r="I424" s="3"/>
      <c r="J424" s="806"/>
      <c r="K424" s="3"/>
      <c r="L424" s="806"/>
      <c r="M424" s="3"/>
      <c r="N424" s="817"/>
      <c r="O424" s="817"/>
    </row>
    <row r="425" spans="1:15">
      <c r="A425" s="3"/>
      <c r="B425" s="3"/>
      <c r="C425" s="803"/>
      <c r="D425" s="817"/>
      <c r="E425" s="817"/>
      <c r="F425" s="806"/>
      <c r="G425" s="3"/>
      <c r="H425" s="806"/>
      <c r="I425" s="3"/>
      <c r="J425" s="806"/>
      <c r="K425" s="3"/>
      <c r="L425" s="806"/>
      <c r="M425" s="3"/>
      <c r="N425" s="817"/>
      <c r="O425" s="817"/>
    </row>
    <row r="426" spans="1:15">
      <c r="A426" s="3"/>
      <c r="B426" s="3"/>
      <c r="C426" s="803"/>
      <c r="D426" s="817"/>
      <c r="E426" s="817"/>
      <c r="F426" s="806"/>
      <c r="G426" s="3"/>
      <c r="H426" s="806"/>
      <c r="I426" s="3"/>
      <c r="J426" s="806"/>
      <c r="K426" s="3"/>
      <c r="L426" s="806"/>
      <c r="M426" s="3"/>
      <c r="N426" s="817"/>
      <c r="O426" s="817"/>
    </row>
    <row r="427" spans="1:15">
      <c r="A427" s="3"/>
      <c r="B427" s="3"/>
      <c r="C427" s="803"/>
      <c r="D427" s="817"/>
      <c r="E427" s="817"/>
      <c r="F427" s="806"/>
      <c r="G427" s="3"/>
      <c r="H427" s="806"/>
      <c r="I427" s="3"/>
      <c r="J427" s="806"/>
      <c r="K427" s="3"/>
      <c r="L427" s="806"/>
      <c r="M427" s="3"/>
      <c r="N427" s="817"/>
      <c r="O427" s="817"/>
    </row>
    <row r="428" spans="1:15">
      <c r="A428" s="3"/>
      <c r="B428" s="3"/>
      <c r="C428" s="803"/>
      <c r="D428" s="817"/>
      <c r="E428" s="817"/>
      <c r="F428" s="806"/>
      <c r="G428" s="3"/>
      <c r="H428" s="806"/>
      <c r="I428" s="3"/>
      <c r="J428" s="806"/>
      <c r="K428" s="3"/>
      <c r="L428" s="806"/>
      <c r="M428" s="3"/>
      <c r="N428" s="817"/>
      <c r="O428" s="817"/>
    </row>
    <row r="429" spans="1:15">
      <c r="A429" s="3"/>
      <c r="B429" s="3"/>
      <c r="C429" s="803"/>
      <c r="D429" s="817"/>
      <c r="E429" s="817"/>
      <c r="F429" s="806"/>
      <c r="G429" s="3"/>
      <c r="H429" s="806"/>
      <c r="I429" s="3"/>
      <c r="J429" s="806"/>
      <c r="K429" s="3"/>
      <c r="L429" s="806"/>
      <c r="M429" s="3"/>
      <c r="N429" s="817"/>
      <c r="O429" s="817"/>
    </row>
    <row r="430" spans="1:15">
      <c r="A430" s="3"/>
      <c r="B430" s="3"/>
      <c r="C430" s="803"/>
      <c r="D430" s="817"/>
      <c r="E430" s="817"/>
      <c r="F430" s="806"/>
      <c r="G430" s="3"/>
      <c r="H430" s="806"/>
      <c r="I430" s="3"/>
      <c r="J430" s="806"/>
      <c r="K430" s="3"/>
      <c r="L430" s="806"/>
      <c r="M430" s="3"/>
      <c r="N430" s="817"/>
      <c r="O430" s="817"/>
    </row>
    <row r="431" spans="1:15">
      <c r="A431" s="3"/>
      <c r="B431" s="3"/>
      <c r="C431" s="803"/>
      <c r="D431" s="817"/>
      <c r="E431" s="817"/>
      <c r="F431" s="806"/>
      <c r="G431" s="3"/>
      <c r="H431" s="806"/>
      <c r="I431" s="3"/>
      <c r="J431" s="806"/>
      <c r="K431" s="3"/>
      <c r="L431" s="806"/>
      <c r="M431" s="3"/>
      <c r="N431" s="817"/>
      <c r="O431" s="817"/>
    </row>
    <row r="432" spans="1:15">
      <c r="A432" s="3"/>
      <c r="B432" s="3"/>
      <c r="C432" s="803"/>
      <c r="D432" s="817"/>
      <c r="E432" s="817"/>
      <c r="F432" s="806"/>
      <c r="G432" s="3"/>
      <c r="H432" s="806"/>
      <c r="I432" s="3"/>
      <c r="J432" s="806"/>
      <c r="K432" s="3"/>
      <c r="L432" s="806"/>
      <c r="M432" s="3"/>
      <c r="N432" s="817"/>
      <c r="O432" s="817"/>
    </row>
    <row r="433" spans="1:15">
      <c r="A433" s="3"/>
      <c r="B433" s="3"/>
      <c r="C433" s="803"/>
      <c r="D433" s="817"/>
      <c r="E433" s="817"/>
      <c r="F433" s="806"/>
      <c r="G433" s="3"/>
      <c r="H433" s="806"/>
      <c r="I433" s="3"/>
      <c r="J433" s="806"/>
      <c r="K433" s="3"/>
      <c r="L433" s="806"/>
      <c r="M433" s="3"/>
      <c r="N433" s="817"/>
      <c r="O433" s="817"/>
    </row>
    <row r="434" spans="1:15">
      <c r="A434" s="3"/>
      <c r="B434" s="3"/>
      <c r="C434" s="803"/>
      <c r="D434" s="817"/>
      <c r="E434" s="817"/>
      <c r="F434" s="806"/>
      <c r="G434" s="3"/>
      <c r="H434" s="806"/>
      <c r="I434" s="3"/>
      <c r="J434" s="806"/>
      <c r="K434" s="3"/>
      <c r="L434" s="806"/>
      <c r="M434" s="3"/>
      <c r="N434" s="817"/>
      <c r="O434" s="817"/>
    </row>
    <row r="435" spans="1:15">
      <c r="A435" s="3"/>
      <c r="B435" s="3"/>
      <c r="C435" s="803"/>
      <c r="D435" s="817"/>
      <c r="E435" s="817"/>
      <c r="F435" s="806"/>
      <c r="G435" s="3"/>
      <c r="H435" s="806"/>
      <c r="I435" s="3"/>
      <c r="J435" s="806"/>
      <c r="K435" s="3"/>
      <c r="L435" s="806"/>
      <c r="M435" s="3"/>
      <c r="N435" s="817"/>
      <c r="O435" s="817"/>
    </row>
    <row r="436" spans="1:15">
      <c r="A436" s="3"/>
      <c r="B436" s="3"/>
      <c r="C436" s="803"/>
      <c r="D436" s="817"/>
      <c r="E436" s="817"/>
      <c r="F436" s="806"/>
      <c r="G436" s="3"/>
      <c r="H436" s="806"/>
      <c r="I436" s="3"/>
      <c r="J436" s="806"/>
      <c r="K436" s="3"/>
      <c r="L436" s="806"/>
      <c r="M436" s="3"/>
      <c r="N436" s="817"/>
      <c r="O436" s="817"/>
    </row>
    <row r="437" spans="1:15">
      <c r="A437" s="3"/>
      <c r="B437" s="3"/>
      <c r="C437" s="803"/>
      <c r="D437" s="817"/>
      <c r="E437" s="817"/>
      <c r="F437" s="806"/>
      <c r="G437" s="3"/>
      <c r="H437" s="806"/>
      <c r="I437" s="3"/>
      <c r="J437" s="806"/>
      <c r="K437" s="3"/>
      <c r="L437" s="806"/>
      <c r="M437" s="3"/>
      <c r="N437" s="817"/>
      <c r="O437" s="817"/>
    </row>
    <row r="438" spans="1:15">
      <c r="A438" s="3"/>
      <c r="B438" s="3"/>
      <c r="C438" s="803"/>
      <c r="D438" s="817"/>
      <c r="E438" s="817"/>
      <c r="F438" s="806"/>
      <c r="G438" s="3"/>
      <c r="H438" s="806"/>
      <c r="I438" s="3"/>
      <c r="J438" s="806"/>
      <c r="K438" s="3"/>
      <c r="L438" s="806"/>
      <c r="M438" s="3"/>
      <c r="N438" s="817"/>
      <c r="O438" s="817"/>
    </row>
    <row r="439" spans="1:15">
      <c r="A439" s="3"/>
      <c r="B439" s="3"/>
      <c r="C439" s="803"/>
      <c r="D439" s="817"/>
      <c r="E439" s="817"/>
      <c r="F439" s="806"/>
      <c r="G439" s="3"/>
      <c r="H439" s="806"/>
      <c r="I439" s="3"/>
      <c r="J439" s="806"/>
      <c r="K439" s="3"/>
      <c r="L439" s="806"/>
      <c r="M439" s="3"/>
      <c r="N439" s="817"/>
      <c r="O439" s="817"/>
    </row>
    <row r="440" spans="1:15">
      <c r="A440" s="3"/>
      <c r="B440" s="3"/>
      <c r="C440" s="803"/>
      <c r="D440" s="817"/>
      <c r="E440" s="817"/>
      <c r="F440" s="806"/>
      <c r="G440" s="3"/>
      <c r="H440" s="806"/>
      <c r="I440" s="3"/>
      <c r="J440" s="806"/>
      <c r="K440" s="3"/>
      <c r="L440" s="806"/>
      <c r="M440" s="3"/>
      <c r="N440" s="817"/>
      <c r="O440" s="817"/>
    </row>
    <row r="441" spans="1:15">
      <c r="A441" s="3"/>
      <c r="B441" s="3"/>
      <c r="C441" s="803"/>
      <c r="D441" s="817"/>
      <c r="E441" s="817"/>
      <c r="F441" s="806"/>
      <c r="G441" s="3"/>
      <c r="H441" s="806"/>
      <c r="I441" s="3"/>
      <c r="J441" s="806"/>
      <c r="K441" s="3"/>
      <c r="L441" s="806"/>
      <c r="M441" s="3"/>
      <c r="N441" s="817"/>
      <c r="O441" s="817"/>
    </row>
    <row r="442" spans="1:15">
      <c r="A442" s="3"/>
      <c r="B442" s="3"/>
      <c r="C442" s="803"/>
      <c r="D442" s="817"/>
      <c r="E442" s="817"/>
      <c r="F442" s="806"/>
      <c r="G442" s="3"/>
      <c r="H442" s="806"/>
      <c r="I442" s="3"/>
      <c r="J442" s="806"/>
      <c r="K442" s="3"/>
      <c r="L442" s="806"/>
      <c r="M442" s="3"/>
      <c r="N442" s="817"/>
      <c r="O442" s="817"/>
    </row>
    <row r="443" spans="1:15">
      <c r="A443" s="3"/>
      <c r="B443" s="3"/>
      <c r="C443" s="803"/>
      <c r="D443" s="817"/>
      <c r="E443" s="817"/>
      <c r="F443" s="806"/>
      <c r="G443" s="3"/>
      <c r="H443" s="806"/>
      <c r="I443" s="3"/>
      <c r="J443" s="806"/>
      <c r="K443" s="3"/>
      <c r="L443" s="806"/>
      <c r="M443" s="3"/>
      <c r="N443" s="817"/>
      <c r="O443" s="817"/>
    </row>
    <row r="444" spans="1:15">
      <c r="A444" s="3"/>
      <c r="B444" s="3"/>
      <c r="C444" s="803"/>
      <c r="D444" s="817"/>
      <c r="E444" s="817"/>
      <c r="F444" s="806"/>
      <c r="G444" s="3"/>
      <c r="H444" s="806"/>
      <c r="I444" s="3"/>
      <c r="J444" s="806"/>
      <c r="K444" s="3"/>
      <c r="L444" s="806"/>
      <c r="M444" s="3"/>
      <c r="N444" s="817"/>
      <c r="O444" s="817"/>
    </row>
    <row r="445" spans="1:15">
      <c r="A445" s="3"/>
      <c r="B445" s="3"/>
      <c r="C445" s="803"/>
      <c r="D445" s="817"/>
      <c r="E445" s="817"/>
      <c r="F445" s="806"/>
      <c r="G445" s="3"/>
      <c r="H445" s="806"/>
      <c r="I445" s="3"/>
      <c r="J445" s="806"/>
      <c r="K445" s="3"/>
      <c r="L445" s="806"/>
      <c r="M445" s="3"/>
      <c r="N445" s="817"/>
      <c r="O445" s="817"/>
    </row>
    <row r="446" spans="1:15">
      <c r="A446" s="3"/>
      <c r="B446" s="3"/>
      <c r="C446" s="803"/>
      <c r="D446" s="817"/>
      <c r="E446" s="817"/>
      <c r="F446" s="806"/>
      <c r="G446" s="3"/>
      <c r="H446" s="806"/>
      <c r="I446" s="3"/>
      <c r="J446" s="806"/>
      <c r="K446" s="3"/>
      <c r="L446" s="806"/>
      <c r="M446" s="3"/>
      <c r="N446" s="817"/>
      <c r="O446" s="817"/>
    </row>
    <row r="447" spans="1:15">
      <c r="A447" s="3"/>
      <c r="B447" s="3"/>
      <c r="C447" s="803"/>
      <c r="D447" s="817"/>
      <c r="E447" s="817"/>
      <c r="F447" s="806"/>
      <c r="G447" s="3"/>
      <c r="H447" s="806"/>
      <c r="I447" s="3"/>
      <c r="J447" s="806"/>
      <c r="K447" s="3"/>
      <c r="L447" s="806"/>
      <c r="M447" s="3"/>
      <c r="N447" s="817"/>
      <c r="O447" s="817"/>
    </row>
    <row r="448" spans="1:15">
      <c r="A448" s="3"/>
      <c r="B448" s="3"/>
      <c r="C448" s="803"/>
      <c r="D448" s="817"/>
      <c r="E448" s="817"/>
      <c r="F448" s="806"/>
      <c r="G448" s="3"/>
      <c r="H448" s="806"/>
      <c r="I448" s="3"/>
      <c r="J448" s="806"/>
      <c r="K448" s="3"/>
      <c r="L448" s="806"/>
      <c r="M448" s="3"/>
      <c r="N448" s="817"/>
      <c r="O448" s="817"/>
    </row>
    <row r="449" spans="1:15">
      <c r="A449" s="3"/>
      <c r="B449" s="3"/>
      <c r="C449" s="803"/>
      <c r="D449" s="817"/>
      <c r="E449" s="817"/>
      <c r="F449" s="806"/>
      <c r="G449" s="3"/>
      <c r="H449" s="806"/>
      <c r="I449" s="3"/>
      <c r="J449" s="806"/>
      <c r="K449" s="3"/>
      <c r="L449" s="806"/>
      <c r="M449" s="3"/>
      <c r="N449" s="817"/>
      <c r="O449" s="817"/>
    </row>
    <row r="450" spans="1:15">
      <c r="A450" s="3"/>
      <c r="B450" s="3"/>
      <c r="C450" s="803"/>
      <c r="D450" s="817"/>
      <c r="E450" s="817"/>
      <c r="F450" s="806"/>
      <c r="G450" s="3"/>
      <c r="H450" s="806"/>
      <c r="I450" s="3"/>
      <c r="J450" s="806"/>
      <c r="K450" s="3"/>
      <c r="L450" s="806"/>
      <c r="M450" s="3"/>
      <c r="N450" s="817"/>
      <c r="O450" s="817"/>
    </row>
    <row r="451" spans="1:15">
      <c r="A451" s="3"/>
      <c r="B451" s="3"/>
      <c r="C451" s="803"/>
      <c r="D451" s="817"/>
      <c r="E451" s="817"/>
      <c r="F451" s="806"/>
      <c r="G451" s="3"/>
      <c r="H451" s="806"/>
      <c r="I451" s="3"/>
      <c r="J451" s="806"/>
      <c r="K451" s="3"/>
      <c r="L451" s="806"/>
      <c r="M451" s="3"/>
      <c r="N451" s="817"/>
      <c r="O451" s="817"/>
    </row>
    <row r="452" spans="1:15">
      <c r="A452" s="3"/>
      <c r="B452" s="3"/>
      <c r="C452" s="803"/>
      <c r="D452" s="817"/>
      <c r="E452" s="817"/>
      <c r="F452" s="806"/>
      <c r="G452" s="3"/>
      <c r="H452" s="806"/>
      <c r="I452" s="3"/>
      <c r="J452" s="806"/>
      <c r="K452" s="3"/>
      <c r="L452" s="806"/>
      <c r="M452" s="3"/>
      <c r="N452" s="817"/>
      <c r="O452" s="817"/>
    </row>
    <row r="453" spans="1:15">
      <c r="A453" s="3"/>
      <c r="B453" s="3"/>
      <c r="C453" s="803"/>
      <c r="D453" s="817"/>
      <c r="E453" s="817"/>
      <c r="F453" s="806"/>
      <c r="G453" s="3"/>
      <c r="H453" s="806"/>
      <c r="I453" s="3"/>
      <c r="J453" s="806"/>
      <c r="K453" s="3"/>
      <c r="L453" s="806"/>
      <c r="M453" s="3"/>
      <c r="N453" s="817"/>
      <c r="O453" s="817"/>
    </row>
    <row r="454" spans="1:15">
      <c r="A454" s="3"/>
      <c r="B454" s="3"/>
      <c r="C454" s="803"/>
      <c r="D454" s="817"/>
      <c r="E454" s="817"/>
      <c r="F454" s="806"/>
      <c r="G454" s="3"/>
      <c r="H454" s="806"/>
      <c r="I454" s="3"/>
      <c r="J454" s="806"/>
      <c r="K454" s="3"/>
      <c r="L454" s="806"/>
      <c r="M454" s="3"/>
      <c r="N454" s="817"/>
      <c r="O454" s="817"/>
    </row>
    <row r="455" spans="1:15">
      <c r="A455" s="3"/>
      <c r="B455" s="3"/>
      <c r="C455" s="803"/>
      <c r="D455" s="817"/>
      <c r="E455" s="817"/>
      <c r="F455" s="806"/>
      <c r="G455" s="3"/>
      <c r="H455" s="806"/>
      <c r="I455" s="3"/>
      <c r="J455" s="806"/>
      <c r="K455" s="3"/>
      <c r="L455" s="806"/>
      <c r="M455" s="3"/>
      <c r="N455" s="817"/>
      <c r="O455" s="817"/>
    </row>
    <row r="456" spans="1:15">
      <c r="A456" s="3"/>
      <c r="B456" s="3"/>
      <c r="C456" s="803"/>
      <c r="D456" s="817"/>
      <c r="E456" s="817"/>
      <c r="F456" s="806"/>
      <c r="G456" s="3"/>
      <c r="H456" s="806"/>
      <c r="I456" s="3"/>
      <c r="J456" s="806"/>
      <c r="K456" s="3"/>
      <c r="L456" s="806"/>
      <c r="M456" s="3"/>
      <c r="N456" s="817"/>
      <c r="O456" s="817"/>
    </row>
    <row r="457" spans="1:15">
      <c r="A457" s="3"/>
      <c r="B457" s="3"/>
      <c r="C457" s="803"/>
      <c r="D457" s="817"/>
      <c r="E457" s="817"/>
      <c r="F457" s="806"/>
      <c r="G457" s="3"/>
      <c r="H457" s="806"/>
      <c r="I457" s="3"/>
      <c r="J457" s="806"/>
      <c r="K457" s="3"/>
      <c r="L457" s="806"/>
      <c r="M457" s="3"/>
      <c r="N457" s="817"/>
      <c r="O457" s="817"/>
    </row>
    <row r="458" spans="1:15">
      <c r="A458" s="3"/>
      <c r="B458" s="3"/>
      <c r="C458" s="803"/>
      <c r="D458" s="817"/>
      <c r="E458" s="817"/>
      <c r="F458" s="806"/>
      <c r="G458" s="3"/>
      <c r="H458" s="806"/>
      <c r="I458" s="3"/>
      <c r="J458" s="806"/>
      <c r="K458" s="3"/>
      <c r="L458" s="806"/>
      <c r="M458" s="3"/>
      <c r="N458" s="817"/>
      <c r="O458" s="817"/>
    </row>
    <row r="459" spans="1:15">
      <c r="A459" s="3"/>
      <c r="B459" s="3"/>
      <c r="C459" s="803"/>
      <c r="D459" s="817"/>
      <c r="E459" s="817"/>
      <c r="F459" s="806"/>
      <c r="G459" s="3"/>
      <c r="H459" s="806"/>
      <c r="I459" s="3"/>
      <c r="J459" s="806"/>
      <c r="K459" s="3"/>
      <c r="L459" s="806"/>
      <c r="M459" s="3"/>
      <c r="N459" s="817"/>
      <c r="O459" s="817"/>
    </row>
    <row r="460" spans="1:15">
      <c r="A460" s="3"/>
      <c r="B460" s="3"/>
      <c r="C460" s="803"/>
      <c r="D460" s="817"/>
      <c r="E460" s="817"/>
      <c r="F460" s="806"/>
      <c r="G460" s="3"/>
      <c r="H460" s="806"/>
      <c r="I460" s="3"/>
      <c r="J460" s="806"/>
      <c r="K460" s="3"/>
      <c r="L460" s="806"/>
      <c r="M460" s="3"/>
      <c r="N460" s="817"/>
      <c r="O460" s="817"/>
    </row>
    <row r="461" spans="1:15">
      <c r="A461" s="3"/>
      <c r="B461" s="3"/>
      <c r="C461" s="803"/>
      <c r="D461" s="817"/>
      <c r="E461" s="817"/>
      <c r="F461" s="806"/>
      <c r="G461" s="3"/>
      <c r="H461" s="806"/>
      <c r="I461" s="3"/>
      <c r="J461" s="806"/>
      <c r="K461" s="3"/>
      <c r="L461" s="806"/>
      <c r="M461" s="3"/>
      <c r="N461" s="817"/>
      <c r="O461" s="817"/>
    </row>
    <row r="462" spans="1:15">
      <c r="A462" s="3"/>
      <c r="B462" s="3"/>
      <c r="C462" s="803"/>
      <c r="D462" s="817"/>
      <c r="E462" s="817"/>
      <c r="F462" s="806"/>
      <c r="G462" s="3"/>
      <c r="H462" s="806"/>
      <c r="I462" s="3"/>
      <c r="J462" s="806"/>
      <c r="K462" s="3"/>
      <c r="L462" s="806"/>
      <c r="M462" s="3"/>
      <c r="N462" s="817"/>
      <c r="O462" s="817"/>
    </row>
    <row r="463" spans="1:15">
      <c r="A463" s="3"/>
      <c r="B463" s="3"/>
      <c r="C463" s="803"/>
      <c r="D463" s="817"/>
      <c r="E463" s="817"/>
      <c r="F463" s="806"/>
      <c r="G463" s="3"/>
      <c r="H463" s="806"/>
      <c r="I463" s="3"/>
      <c r="J463" s="806"/>
      <c r="K463" s="3"/>
      <c r="L463" s="806"/>
      <c r="M463" s="3"/>
      <c r="N463" s="817"/>
      <c r="O463" s="817"/>
    </row>
    <row r="464" spans="1:15">
      <c r="A464" s="3"/>
      <c r="B464" s="3"/>
      <c r="C464" s="803"/>
      <c r="D464" s="817"/>
      <c r="E464" s="817"/>
      <c r="F464" s="806"/>
      <c r="G464" s="3"/>
      <c r="H464" s="806"/>
      <c r="I464" s="3"/>
      <c r="J464" s="806"/>
      <c r="K464" s="3"/>
      <c r="L464" s="806"/>
      <c r="M464" s="3"/>
      <c r="N464" s="817"/>
      <c r="O464" s="817"/>
    </row>
    <row r="465" spans="1:15">
      <c r="A465" s="3"/>
      <c r="B465" s="3"/>
      <c r="C465" s="803"/>
      <c r="D465" s="817"/>
      <c r="E465" s="817"/>
      <c r="F465" s="806"/>
      <c r="G465" s="3"/>
      <c r="H465" s="806"/>
      <c r="I465" s="3"/>
      <c r="J465" s="806"/>
      <c r="K465" s="3"/>
      <c r="L465" s="806"/>
      <c r="M465" s="3"/>
      <c r="N465" s="817"/>
      <c r="O465" s="817"/>
    </row>
    <row r="466" spans="1:15">
      <c r="A466" s="3"/>
      <c r="B466" s="3"/>
      <c r="C466" s="803"/>
      <c r="D466" s="817"/>
      <c r="E466" s="817"/>
      <c r="F466" s="806"/>
      <c r="G466" s="3"/>
      <c r="H466" s="806"/>
      <c r="I466" s="3"/>
      <c r="J466" s="806"/>
      <c r="K466" s="3"/>
      <c r="L466" s="806"/>
      <c r="M466" s="3"/>
      <c r="N466" s="817"/>
      <c r="O466" s="817"/>
    </row>
    <row r="467" spans="1:15">
      <c r="A467" s="3"/>
      <c r="B467" s="3"/>
      <c r="C467" s="803"/>
      <c r="D467" s="817"/>
      <c r="E467" s="817"/>
      <c r="F467" s="806"/>
      <c r="G467" s="3"/>
      <c r="H467" s="806"/>
      <c r="I467" s="3"/>
      <c r="J467" s="806"/>
      <c r="K467" s="3"/>
      <c r="L467" s="806"/>
      <c r="M467" s="3"/>
      <c r="N467" s="817"/>
      <c r="O467" s="817"/>
    </row>
    <row r="468" spans="1:15">
      <c r="A468" s="3"/>
      <c r="B468" s="3"/>
      <c r="C468" s="803"/>
      <c r="D468" s="817"/>
      <c r="E468" s="817"/>
      <c r="F468" s="806"/>
      <c r="G468" s="3"/>
      <c r="H468" s="806"/>
      <c r="I468" s="3"/>
      <c r="J468" s="806"/>
      <c r="K468" s="3"/>
      <c r="L468" s="806"/>
      <c r="M468" s="3"/>
      <c r="N468" s="817"/>
      <c r="O468" s="817"/>
    </row>
    <row r="469" spans="1:15">
      <c r="A469" s="3"/>
      <c r="B469" s="3"/>
      <c r="C469" s="803"/>
      <c r="D469" s="817"/>
      <c r="E469" s="817"/>
      <c r="F469" s="806"/>
      <c r="G469" s="3"/>
      <c r="H469" s="806"/>
      <c r="I469" s="3"/>
      <c r="J469" s="806"/>
      <c r="K469" s="3"/>
      <c r="L469" s="806"/>
      <c r="M469" s="3"/>
      <c r="N469" s="817"/>
      <c r="O469" s="817"/>
    </row>
    <row r="470" spans="1:15">
      <c r="A470" s="3"/>
      <c r="B470" s="3"/>
      <c r="C470" s="803"/>
      <c r="D470" s="817"/>
      <c r="E470" s="817"/>
      <c r="F470" s="806"/>
      <c r="G470" s="3"/>
      <c r="H470" s="806"/>
      <c r="I470" s="3"/>
      <c r="J470" s="806"/>
      <c r="K470" s="3"/>
      <c r="L470" s="806"/>
      <c r="M470" s="3"/>
      <c r="N470" s="817"/>
      <c r="O470" s="817"/>
    </row>
    <row r="471" spans="1:15">
      <c r="A471" s="3"/>
      <c r="B471" s="3"/>
      <c r="C471" s="803"/>
      <c r="D471" s="817"/>
      <c r="E471" s="817"/>
      <c r="F471" s="806"/>
      <c r="G471" s="3"/>
      <c r="H471" s="806"/>
      <c r="I471" s="3"/>
      <c r="J471" s="806"/>
      <c r="K471" s="3"/>
      <c r="L471" s="806"/>
      <c r="M471" s="3"/>
      <c r="N471" s="817"/>
      <c r="O471" s="817"/>
    </row>
    <row r="472" spans="1:15">
      <c r="A472" s="3"/>
      <c r="B472" s="3"/>
      <c r="C472" s="803"/>
      <c r="D472" s="817"/>
      <c r="E472" s="817"/>
      <c r="F472" s="806"/>
      <c r="G472" s="3"/>
      <c r="H472" s="806"/>
      <c r="I472" s="3"/>
      <c r="J472" s="806"/>
      <c r="K472" s="3"/>
      <c r="L472" s="806"/>
      <c r="M472" s="3"/>
      <c r="N472" s="817"/>
      <c r="O472" s="817"/>
    </row>
    <row r="473" spans="1:15">
      <c r="A473" s="3"/>
      <c r="B473" s="3"/>
      <c r="C473" s="803"/>
      <c r="D473" s="817"/>
      <c r="E473" s="817"/>
      <c r="F473" s="806"/>
      <c r="G473" s="3"/>
      <c r="H473" s="806"/>
      <c r="I473" s="3"/>
      <c r="J473" s="806"/>
      <c r="K473" s="3"/>
      <c r="L473" s="806"/>
      <c r="M473" s="3"/>
      <c r="N473" s="817"/>
      <c r="O473" s="817"/>
    </row>
    <row r="474" spans="1:15">
      <c r="A474" s="3"/>
      <c r="B474" s="3"/>
      <c r="C474" s="803"/>
      <c r="D474" s="817"/>
      <c r="E474" s="817"/>
      <c r="F474" s="806"/>
      <c r="G474" s="3"/>
      <c r="H474" s="806"/>
      <c r="I474" s="3"/>
      <c r="J474" s="806"/>
      <c r="K474" s="3"/>
      <c r="L474" s="806"/>
      <c r="M474" s="3"/>
      <c r="N474" s="817"/>
      <c r="O474" s="817"/>
    </row>
    <row r="475" spans="1:15">
      <c r="A475" s="3"/>
      <c r="B475" s="3"/>
      <c r="C475" s="803"/>
      <c r="D475" s="817"/>
      <c r="E475" s="817"/>
      <c r="F475" s="806"/>
      <c r="G475" s="3"/>
      <c r="H475" s="806"/>
      <c r="I475" s="3"/>
      <c r="J475" s="806"/>
      <c r="K475" s="3"/>
      <c r="L475" s="806"/>
      <c r="M475" s="3"/>
      <c r="N475" s="817"/>
      <c r="O475" s="817"/>
    </row>
    <row r="476" spans="1:15">
      <c r="A476" s="3"/>
      <c r="B476" s="3"/>
      <c r="C476" s="803"/>
      <c r="D476" s="817"/>
      <c r="E476" s="817"/>
      <c r="F476" s="806"/>
      <c r="G476" s="3"/>
      <c r="H476" s="806"/>
      <c r="I476" s="3"/>
      <c r="J476" s="806"/>
      <c r="K476" s="3"/>
      <c r="L476" s="806"/>
      <c r="M476" s="3"/>
      <c r="N476" s="817"/>
      <c r="O476" s="817"/>
    </row>
    <row r="477" spans="1:15">
      <c r="A477" s="3"/>
      <c r="B477" s="3"/>
      <c r="C477" s="803"/>
      <c r="D477" s="817"/>
      <c r="E477" s="817"/>
      <c r="F477" s="806"/>
      <c r="G477" s="3"/>
      <c r="H477" s="806"/>
      <c r="I477" s="3"/>
      <c r="J477" s="806"/>
      <c r="K477" s="3"/>
      <c r="L477" s="806"/>
      <c r="M477" s="3"/>
      <c r="N477" s="817"/>
      <c r="O477" s="817"/>
    </row>
    <row r="478" spans="1:15">
      <c r="A478" s="3"/>
      <c r="B478" s="3"/>
      <c r="C478" s="803"/>
      <c r="D478" s="817"/>
      <c r="E478" s="817"/>
      <c r="F478" s="806"/>
      <c r="G478" s="3"/>
      <c r="H478" s="806"/>
      <c r="I478" s="3"/>
      <c r="J478" s="806"/>
      <c r="K478" s="3"/>
      <c r="L478" s="806"/>
      <c r="M478" s="3"/>
      <c r="N478" s="817"/>
      <c r="O478" s="817"/>
    </row>
    <row r="479" spans="1:15">
      <c r="A479" s="3"/>
      <c r="B479" s="3"/>
      <c r="C479" s="803"/>
      <c r="D479" s="817"/>
      <c r="E479" s="817"/>
      <c r="F479" s="806"/>
      <c r="G479" s="3"/>
      <c r="H479" s="806"/>
      <c r="I479" s="3"/>
      <c r="J479" s="806"/>
      <c r="K479" s="3"/>
      <c r="L479" s="806"/>
      <c r="M479" s="3"/>
      <c r="N479" s="817"/>
      <c r="O479" s="817"/>
    </row>
    <row r="480" spans="1:15">
      <c r="A480" s="3"/>
      <c r="B480" s="3"/>
      <c r="C480" s="803"/>
      <c r="D480" s="817"/>
      <c r="E480" s="817"/>
      <c r="F480" s="806"/>
      <c r="G480" s="3"/>
      <c r="H480" s="806"/>
      <c r="I480" s="3"/>
      <c r="J480" s="806"/>
      <c r="K480" s="3"/>
      <c r="L480" s="806"/>
      <c r="M480" s="3"/>
      <c r="N480" s="817"/>
      <c r="O480" s="817"/>
    </row>
    <row r="481" spans="1:15">
      <c r="A481" s="3"/>
      <c r="B481" s="3"/>
      <c r="C481" s="803"/>
      <c r="D481" s="817"/>
      <c r="E481" s="817"/>
      <c r="F481" s="806"/>
      <c r="G481" s="3"/>
      <c r="H481" s="806"/>
      <c r="I481" s="3"/>
      <c r="J481" s="806"/>
      <c r="K481" s="3"/>
      <c r="L481" s="806"/>
      <c r="M481" s="3"/>
      <c r="N481" s="817"/>
      <c r="O481" s="817"/>
    </row>
    <row r="482" spans="1:15">
      <c r="A482" s="3"/>
      <c r="B482" s="3"/>
      <c r="C482" s="803"/>
      <c r="D482" s="817"/>
      <c r="E482" s="817"/>
      <c r="F482" s="806"/>
      <c r="G482" s="3"/>
      <c r="H482" s="806"/>
      <c r="I482" s="3"/>
      <c r="J482" s="806"/>
      <c r="K482" s="3"/>
      <c r="L482" s="806"/>
      <c r="M482" s="3"/>
      <c r="N482" s="817"/>
      <c r="O482" s="817"/>
    </row>
    <row r="483" spans="1:15">
      <c r="A483" s="3"/>
      <c r="B483" s="3"/>
      <c r="C483" s="803"/>
      <c r="D483" s="817"/>
      <c r="E483" s="817"/>
      <c r="F483" s="806"/>
      <c r="G483" s="3"/>
      <c r="H483" s="806"/>
      <c r="I483" s="3"/>
      <c r="J483" s="806"/>
      <c r="K483" s="3"/>
      <c r="L483" s="806"/>
      <c r="M483" s="3"/>
      <c r="N483" s="817"/>
      <c r="O483" s="817"/>
    </row>
    <row r="484" spans="1:15">
      <c r="A484" s="3"/>
      <c r="B484" s="3"/>
      <c r="C484" s="803"/>
      <c r="D484" s="817"/>
      <c r="E484" s="817"/>
      <c r="F484" s="806"/>
      <c r="G484" s="3"/>
      <c r="H484" s="806"/>
      <c r="I484" s="3"/>
      <c r="J484" s="806"/>
      <c r="K484" s="3"/>
      <c r="L484" s="806"/>
      <c r="M484" s="3"/>
      <c r="N484" s="817"/>
      <c r="O484" s="817"/>
    </row>
    <row r="485" spans="1:15">
      <c r="A485" s="3"/>
      <c r="B485" s="3"/>
      <c r="C485" s="803"/>
      <c r="D485" s="817"/>
      <c r="E485" s="817"/>
      <c r="F485" s="806"/>
      <c r="G485" s="3"/>
      <c r="H485" s="806"/>
      <c r="I485" s="3"/>
      <c r="J485" s="806"/>
      <c r="K485" s="3"/>
      <c r="L485" s="806"/>
      <c r="M485" s="3"/>
      <c r="N485" s="817"/>
      <c r="O485" s="817"/>
    </row>
    <row r="486" spans="1:15">
      <c r="A486" s="3"/>
      <c r="B486" s="3"/>
      <c r="C486" s="803"/>
      <c r="D486" s="817"/>
      <c r="E486" s="817"/>
      <c r="F486" s="806"/>
      <c r="G486" s="3"/>
      <c r="H486" s="806"/>
      <c r="I486" s="3"/>
      <c r="J486" s="806"/>
      <c r="K486" s="3"/>
      <c r="L486" s="806"/>
      <c r="M486" s="3"/>
      <c r="N486" s="817"/>
      <c r="O486" s="817"/>
    </row>
    <row r="487" spans="1:15">
      <c r="A487" s="3"/>
      <c r="B487" s="3"/>
      <c r="C487" s="803"/>
      <c r="D487" s="817"/>
      <c r="E487" s="817"/>
      <c r="F487" s="806"/>
      <c r="G487" s="3"/>
      <c r="H487" s="806"/>
      <c r="I487" s="3"/>
      <c r="J487" s="806"/>
      <c r="K487" s="3"/>
      <c r="L487" s="806"/>
      <c r="M487" s="3"/>
      <c r="N487" s="817"/>
      <c r="O487" s="817"/>
    </row>
    <row r="488" spans="1:15">
      <c r="A488" s="3"/>
      <c r="B488" s="3"/>
      <c r="C488" s="803"/>
      <c r="D488" s="817"/>
      <c r="E488" s="817"/>
      <c r="F488" s="806"/>
      <c r="G488" s="3"/>
      <c r="H488" s="806"/>
      <c r="I488" s="3"/>
      <c r="J488" s="806"/>
      <c r="K488" s="3"/>
      <c r="L488" s="806"/>
      <c r="M488" s="3"/>
      <c r="N488" s="817"/>
      <c r="O488" s="817"/>
    </row>
    <row r="489" spans="1:15">
      <c r="A489" s="3"/>
      <c r="B489" s="3"/>
      <c r="C489" s="803"/>
      <c r="D489" s="817"/>
      <c r="E489" s="817"/>
      <c r="F489" s="806"/>
      <c r="G489" s="3"/>
      <c r="H489" s="806"/>
      <c r="I489" s="3"/>
      <c r="J489" s="806"/>
      <c r="K489" s="3"/>
      <c r="L489" s="806"/>
      <c r="M489" s="3"/>
      <c r="N489" s="817"/>
      <c r="O489" s="817"/>
    </row>
    <row r="490" spans="1:15">
      <c r="A490" s="3"/>
      <c r="B490" s="3"/>
      <c r="C490" s="803"/>
      <c r="D490" s="817"/>
      <c r="E490" s="817"/>
      <c r="F490" s="806"/>
      <c r="G490" s="3"/>
      <c r="H490" s="806"/>
      <c r="I490" s="3"/>
      <c r="J490" s="806"/>
      <c r="K490" s="3"/>
      <c r="L490" s="806"/>
      <c r="M490" s="3"/>
      <c r="N490" s="817"/>
      <c r="O490" s="817"/>
    </row>
    <row r="491" spans="1:15">
      <c r="A491" s="3"/>
      <c r="B491" s="3"/>
      <c r="C491" s="803"/>
      <c r="D491" s="817"/>
      <c r="E491" s="817"/>
      <c r="F491" s="806"/>
      <c r="G491" s="3"/>
      <c r="H491" s="806"/>
      <c r="I491" s="3"/>
      <c r="J491" s="806"/>
      <c r="K491" s="3"/>
      <c r="L491" s="806"/>
      <c r="M491" s="3"/>
      <c r="N491" s="817"/>
      <c r="O491" s="817"/>
    </row>
    <row r="492" spans="1:15">
      <c r="A492" s="3"/>
      <c r="B492" s="3"/>
      <c r="C492" s="803"/>
      <c r="D492" s="817"/>
      <c r="E492" s="817"/>
      <c r="F492" s="806"/>
      <c r="G492" s="3"/>
      <c r="H492" s="806"/>
      <c r="I492" s="3"/>
      <c r="J492" s="806"/>
      <c r="K492" s="3"/>
      <c r="L492" s="806"/>
      <c r="M492" s="3"/>
      <c r="N492" s="817"/>
      <c r="O492" s="817"/>
    </row>
    <row r="493" spans="1:15">
      <c r="A493" s="3"/>
      <c r="B493" s="3"/>
      <c r="C493" s="803"/>
      <c r="D493" s="817"/>
      <c r="E493" s="817"/>
      <c r="F493" s="806"/>
      <c r="G493" s="3"/>
      <c r="H493" s="806"/>
      <c r="I493" s="3"/>
      <c r="J493" s="806"/>
      <c r="K493" s="3"/>
      <c r="L493" s="806"/>
      <c r="M493" s="3"/>
      <c r="N493" s="817"/>
      <c r="O493" s="817"/>
    </row>
    <row r="494" spans="1:15">
      <c r="A494" s="3"/>
      <c r="B494" s="3"/>
      <c r="C494" s="803"/>
      <c r="D494" s="817"/>
      <c r="E494" s="817"/>
      <c r="F494" s="806"/>
      <c r="G494" s="3"/>
      <c r="H494" s="806"/>
      <c r="I494" s="3"/>
      <c r="J494" s="806"/>
      <c r="K494" s="3"/>
      <c r="L494" s="806"/>
      <c r="M494" s="3"/>
      <c r="N494" s="817"/>
      <c r="O494" s="817"/>
    </row>
    <row r="495" spans="1:15">
      <c r="A495" s="3"/>
      <c r="B495" s="3"/>
      <c r="C495" s="803"/>
      <c r="D495" s="817"/>
      <c r="E495" s="817"/>
      <c r="F495" s="806"/>
      <c r="G495" s="3"/>
      <c r="H495" s="806"/>
      <c r="I495" s="3"/>
      <c r="J495" s="806"/>
      <c r="K495" s="3"/>
      <c r="L495" s="806"/>
      <c r="M495" s="3"/>
      <c r="N495" s="817"/>
      <c r="O495" s="817"/>
    </row>
    <row r="496" spans="1:15">
      <c r="A496" s="3"/>
      <c r="B496" s="3"/>
      <c r="C496" s="803"/>
      <c r="D496" s="817"/>
      <c r="E496" s="817"/>
      <c r="F496" s="806"/>
      <c r="G496" s="3"/>
      <c r="H496" s="806"/>
      <c r="I496" s="3"/>
      <c r="J496" s="806"/>
      <c r="K496" s="3"/>
      <c r="L496" s="806"/>
      <c r="M496" s="3"/>
      <c r="N496" s="817"/>
      <c r="O496" s="817"/>
    </row>
    <row r="497" spans="1:15">
      <c r="A497" s="3"/>
      <c r="B497" s="3"/>
      <c r="C497" s="803"/>
      <c r="D497" s="817"/>
      <c r="E497" s="817"/>
      <c r="F497" s="806"/>
      <c r="G497" s="3"/>
      <c r="H497" s="806"/>
      <c r="I497" s="3"/>
      <c r="J497" s="806"/>
      <c r="K497" s="3"/>
      <c r="L497" s="806"/>
      <c r="M497" s="3"/>
      <c r="N497" s="817"/>
      <c r="O497" s="817"/>
    </row>
    <row r="498" spans="1:15">
      <c r="A498" s="3"/>
      <c r="B498" s="3"/>
      <c r="C498" s="803"/>
      <c r="D498" s="817"/>
      <c r="E498" s="817"/>
      <c r="F498" s="806"/>
      <c r="G498" s="3"/>
      <c r="H498" s="806"/>
      <c r="I498" s="3"/>
      <c r="J498" s="806"/>
      <c r="K498" s="3"/>
      <c r="L498" s="806"/>
      <c r="M498" s="3"/>
      <c r="N498" s="817"/>
      <c r="O498" s="817"/>
    </row>
    <row r="499" spans="1:15">
      <c r="A499" s="3"/>
      <c r="B499" s="3"/>
      <c r="C499" s="803"/>
      <c r="D499" s="817"/>
      <c r="E499" s="817"/>
      <c r="F499" s="806"/>
      <c r="G499" s="3"/>
      <c r="H499" s="806"/>
      <c r="I499" s="3"/>
      <c r="J499" s="806"/>
      <c r="K499" s="3"/>
      <c r="L499" s="806"/>
      <c r="M499" s="3"/>
      <c r="N499" s="817"/>
      <c r="O499" s="817"/>
    </row>
    <row r="500" spans="1:15">
      <c r="A500" s="3"/>
      <c r="B500" s="3"/>
      <c r="C500" s="803"/>
      <c r="D500" s="817"/>
      <c r="E500" s="817"/>
      <c r="F500" s="806"/>
      <c r="G500" s="3"/>
      <c r="H500" s="806"/>
      <c r="I500" s="3"/>
      <c r="J500" s="806"/>
      <c r="K500" s="3"/>
      <c r="L500" s="806"/>
      <c r="M500" s="3"/>
      <c r="N500" s="817"/>
      <c r="O500" s="817"/>
    </row>
    <row r="501" spans="1:15">
      <c r="A501" s="3"/>
      <c r="B501" s="3"/>
      <c r="C501" s="803"/>
      <c r="D501" s="817"/>
      <c r="E501" s="817"/>
      <c r="F501" s="806"/>
      <c r="G501" s="3"/>
      <c r="H501" s="806"/>
      <c r="I501" s="3"/>
      <c r="J501" s="806"/>
      <c r="K501" s="3"/>
      <c r="L501" s="806"/>
      <c r="M501" s="3"/>
      <c r="N501" s="817"/>
      <c r="O501" s="817"/>
    </row>
    <row r="502" spans="1:15">
      <c r="A502" s="3"/>
      <c r="B502" s="3"/>
      <c r="C502" s="803"/>
      <c r="D502" s="817"/>
      <c r="E502" s="817"/>
      <c r="F502" s="806"/>
      <c r="G502" s="3"/>
      <c r="H502" s="806"/>
      <c r="I502" s="3"/>
      <c r="J502" s="806"/>
      <c r="K502" s="3"/>
      <c r="L502" s="806"/>
      <c r="M502" s="3"/>
      <c r="N502" s="817"/>
      <c r="O502" s="817"/>
    </row>
    <row r="503" spans="1:15">
      <c r="A503" s="3"/>
      <c r="B503" s="3"/>
      <c r="C503" s="803"/>
      <c r="D503" s="817"/>
      <c r="E503" s="817"/>
      <c r="F503" s="806"/>
      <c r="G503" s="3"/>
      <c r="H503" s="806"/>
      <c r="I503" s="3"/>
      <c r="J503" s="806"/>
      <c r="K503" s="3"/>
      <c r="L503" s="806"/>
      <c r="M503" s="3"/>
      <c r="N503" s="817"/>
      <c r="O503" s="817"/>
    </row>
    <row r="504" spans="1:15">
      <c r="A504" s="3"/>
      <c r="B504" s="3"/>
      <c r="C504" s="803"/>
      <c r="D504" s="817"/>
      <c r="E504" s="817"/>
      <c r="F504" s="806"/>
      <c r="G504" s="3"/>
      <c r="H504" s="806"/>
      <c r="I504" s="3"/>
      <c r="J504" s="806"/>
      <c r="K504" s="3"/>
      <c r="L504" s="806"/>
      <c r="M504" s="3"/>
      <c r="N504" s="817"/>
      <c r="O504" s="817"/>
    </row>
    <row r="505" spans="1:15">
      <c r="A505" s="3"/>
      <c r="B505" s="3"/>
      <c r="C505" s="803"/>
      <c r="D505" s="817"/>
      <c r="E505" s="817"/>
      <c r="F505" s="806"/>
      <c r="G505" s="3"/>
      <c r="H505" s="806"/>
      <c r="I505" s="3"/>
      <c r="J505" s="806"/>
      <c r="K505" s="3"/>
      <c r="L505" s="806"/>
      <c r="M505" s="3"/>
      <c r="N505" s="817"/>
      <c r="O505" s="817"/>
    </row>
    <row r="506" spans="1:15">
      <c r="A506" s="3"/>
      <c r="B506" s="3"/>
      <c r="C506" s="803"/>
      <c r="D506" s="817"/>
      <c r="E506" s="817"/>
      <c r="F506" s="806"/>
      <c r="G506" s="3"/>
      <c r="H506" s="806"/>
      <c r="I506" s="3"/>
      <c r="J506" s="806"/>
      <c r="K506" s="3"/>
      <c r="L506" s="806"/>
      <c r="M506" s="3"/>
      <c r="N506" s="817"/>
      <c r="O506" s="817"/>
    </row>
    <row r="507" spans="1:15">
      <c r="A507" s="3"/>
      <c r="B507" s="3"/>
      <c r="C507" s="803"/>
      <c r="D507" s="817"/>
      <c r="E507" s="817"/>
      <c r="F507" s="806"/>
      <c r="G507" s="3"/>
      <c r="H507" s="806"/>
      <c r="I507" s="3"/>
      <c r="J507" s="806"/>
      <c r="K507" s="3"/>
      <c r="L507" s="806"/>
      <c r="M507" s="3"/>
      <c r="N507" s="817"/>
      <c r="O507" s="817"/>
    </row>
    <row r="508" spans="1:15">
      <c r="A508" s="3"/>
      <c r="B508" s="3"/>
      <c r="C508" s="803"/>
      <c r="D508" s="817"/>
      <c r="E508" s="817"/>
      <c r="F508" s="806"/>
      <c r="G508" s="3"/>
      <c r="H508" s="806"/>
      <c r="I508" s="3"/>
      <c r="J508" s="806"/>
      <c r="K508" s="3"/>
      <c r="L508" s="806"/>
      <c r="M508" s="3"/>
      <c r="N508" s="817"/>
      <c r="O508" s="817"/>
    </row>
    <row r="509" spans="1:15">
      <c r="A509" s="3"/>
      <c r="B509" s="3"/>
      <c r="C509" s="803"/>
      <c r="D509" s="817"/>
      <c r="E509" s="817"/>
      <c r="F509" s="806"/>
      <c r="G509" s="3"/>
      <c r="H509" s="806"/>
      <c r="I509" s="3"/>
      <c r="J509" s="806"/>
      <c r="K509" s="3"/>
      <c r="L509" s="806"/>
      <c r="M509" s="3"/>
      <c r="N509" s="817"/>
      <c r="O509" s="817"/>
    </row>
    <row r="510" spans="1:15">
      <c r="A510" s="3"/>
      <c r="B510" s="3"/>
      <c r="C510" s="803"/>
      <c r="D510" s="817"/>
      <c r="E510" s="817"/>
      <c r="F510" s="806"/>
      <c r="G510" s="3"/>
      <c r="H510" s="806"/>
      <c r="I510" s="3"/>
      <c r="J510" s="806"/>
      <c r="K510" s="3"/>
      <c r="L510" s="806"/>
      <c r="M510" s="3"/>
      <c r="N510" s="817"/>
      <c r="O510" s="817"/>
    </row>
    <row r="511" spans="1:15">
      <c r="A511" s="3"/>
      <c r="B511" s="3"/>
      <c r="C511" s="803"/>
      <c r="D511" s="817"/>
      <c r="E511" s="817"/>
      <c r="F511" s="806"/>
      <c r="G511" s="3"/>
      <c r="H511" s="806"/>
      <c r="I511" s="3"/>
      <c r="J511" s="806"/>
      <c r="K511" s="3"/>
      <c r="L511" s="806"/>
      <c r="M511" s="3"/>
      <c r="N511" s="817"/>
      <c r="O511" s="817"/>
    </row>
    <row r="512" spans="1:15">
      <c r="A512" s="3"/>
      <c r="B512" s="3"/>
      <c r="C512" s="803"/>
      <c r="D512" s="817"/>
      <c r="E512" s="817"/>
      <c r="F512" s="806"/>
      <c r="G512" s="3"/>
      <c r="H512" s="806"/>
      <c r="I512" s="3"/>
      <c r="J512" s="806"/>
      <c r="K512" s="3"/>
      <c r="L512" s="806"/>
      <c r="M512" s="3"/>
      <c r="N512" s="817"/>
      <c r="O512" s="817"/>
    </row>
    <row r="513" spans="1:15">
      <c r="A513" s="3"/>
      <c r="B513" s="3"/>
      <c r="C513" s="803"/>
      <c r="D513" s="817"/>
      <c r="E513" s="817"/>
      <c r="F513" s="806"/>
      <c r="G513" s="3"/>
      <c r="H513" s="806"/>
      <c r="I513" s="3"/>
      <c r="J513" s="806"/>
      <c r="K513" s="3"/>
      <c r="L513" s="806"/>
      <c r="M513" s="3"/>
      <c r="N513" s="817"/>
      <c r="O513" s="817"/>
    </row>
    <row r="514" spans="1:15">
      <c r="A514" s="3"/>
      <c r="B514" s="3"/>
      <c r="C514" s="803"/>
      <c r="D514" s="817"/>
      <c r="E514" s="817"/>
      <c r="F514" s="806"/>
      <c r="G514" s="3"/>
      <c r="H514" s="806"/>
      <c r="I514" s="3"/>
      <c r="J514" s="806"/>
      <c r="K514" s="3"/>
      <c r="L514" s="806"/>
      <c r="M514" s="3"/>
      <c r="N514" s="817"/>
      <c r="O514" s="817"/>
    </row>
    <row r="515" spans="1:15">
      <c r="A515" s="3"/>
      <c r="B515" s="3"/>
      <c r="C515" s="803"/>
      <c r="D515" s="817"/>
      <c r="E515" s="817"/>
      <c r="F515" s="806"/>
      <c r="G515" s="3"/>
      <c r="H515" s="806"/>
      <c r="I515" s="3"/>
      <c r="J515" s="806"/>
      <c r="K515" s="3"/>
      <c r="L515" s="806"/>
      <c r="M515" s="3"/>
      <c r="N515" s="817"/>
      <c r="O515" s="817"/>
    </row>
    <row r="516" spans="1:15">
      <c r="A516" s="3"/>
      <c r="B516" s="3"/>
      <c r="C516" s="803"/>
      <c r="D516" s="817"/>
      <c r="E516" s="817"/>
      <c r="F516" s="806"/>
      <c r="G516" s="3"/>
      <c r="H516" s="806"/>
      <c r="I516" s="3"/>
      <c r="J516" s="806"/>
      <c r="K516" s="3"/>
      <c r="L516" s="806"/>
      <c r="M516" s="3"/>
      <c r="N516" s="817"/>
      <c r="O516" s="817"/>
    </row>
    <row r="517" spans="1:15">
      <c r="A517" s="3"/>
      <c r="B517" s="3"/>
      <c r="C517" s="803"/>
      <c r="D517" s="817"/>
      <c r="E517" s="817"/>
      <c r="F517" s="806"/>
      <c r="G517" s="3"/>
      <c r="H517" s="806"/>
      <c r="I517" s="3"/>
      <c r="J517" s="806"/>
      <c r="K517" s="3"/>
      <c r="L517" s="806"/>
      <c r="M517" s="3"/>
      <c r="N517" s="817"/>
      <c r="O517" s="817"/>
    </row>
    <row r="518" spans="1:15">
      <c r="A518" s="3"/>
      <c r="B518" s="3"/>
      <c r="C518" s="803"/>
      <c r="D518" s="817"/>
      <c r="E518" s="817"/>
      <c r="F518" s="806"/>
      <c r="G518" s="3"/>
      <c r="H518" s="806"/>
      <c r="I518" s="3"/>
      <c r="J518" s="806"/>
      <c r="K518" s="3"/>
      <c r="L518" s="806"/>
      <c r="M518" s="3"/>
      <c r="N518" s="817"/>
      <c r="O518" s="817"/>
    </row>
    <row r="519" spans="1:15">
      <c r="A519" s="3"/>
      <c r="B519" s="3"/>
      <c r="C519" s="803"/>
      <c r="D519" s="817"/>
      <c r="E519" s="817"/>
      <c r="F519" s="806"/>
      <c r="G519" s="3"/>
      <c r="H519" s="806"/>
      <c r="I519" s="3"/>
      <c r="J519" s="806"/>
      <c r="K519" s="3"/>
      <c r="L519" s="806"/>
      <c r="M519" s="3"/>
      <c r="N519" s="817"/>
      <c r="O519" s="817"/>
    </row>
    <row r="520" spans="1:15">
      <c r="A520" s="3"/>
      <c r="B520" s="3"/>
      <c r="C520" s="803"/>
      <c r="D520" s="817"/>
      <c r="E520" s="817"/>
      <c r="F520" s="806"/>
      <c r="G520" s="3"/>
      <c r="H520" s="806"/>
      <c r="I520" s="3"/>
      <c r="J520" s="806"/>
      <c r="K520" s="3"/>
      <c r="L520" s="806"/>
      <c r="M520" s="3"/>
      <c r="N520" s="817"/>
      <c r="O520" s="817"/>
    </row>
    <row r="521" spans="1:15">
      <c r="A521" s="3"/>
      <c r="B521" s="3"/>
      <c r="C521" s="803"/>
      <c r="D521" s="817"/>
      <c r="E521" s="817"/>
      <c r="F521" s="806"/>
      <c r="G521" s="3"/>
      <c r="H521" s="806"/>
      <c r="I521" s="3"/>
      <c r="J521" s="806"/>
      <c r="K521" s="3"/>
      <c r="L521" s="806"/>
      <c r="M521" s="3"/>
      <c r="N521" s="817"/>
      <c r="O521" s="817"/>
    </row>
    <row r="522" spans="1:15">
      <c r="A522" s="3"/>
      <c r="B522" s="3"/>
      <c r="C522" s="803"/>
      <c r="D522" s="817"/>
      <c r="E522" s="817"/>
      <c r="F522" s="806"/>
      <c r="G522" s="3"/>
      <c r="H522" s="806"/>
      <c r="I522" s="3"/>
      <c r="J522" s="806"/>
      <c r="K522" s="3"/>
      <c r="L522" s="806"/>
      <c r="M522" s="3"/>
      <c r="N522" s="817"/>
      <c r="O522" s="817"/>
    </row>
    <row r="523" spans="1:15">
      <c r="A523" s="3"/>
      <c r="B523" s="3"/>
      <c r="C523" s="803"/>
      <c r="D523" s="817"/>
      <c r="E523" s="817"/>
      <c r="F523" s="806"/>
      <c r="G523" s="3"/>
      <c r="H523" s="806"/>
      <c r="I523" s="3"/>
      <c r="J523" s="806"/>
      <c r="K523" s="3"/>
      <c r="L523" s="806"/>
      <c r="M523" s="3"/>
      <c r="N523" s="817"/>
      <c r="O523" s="817"/>
    </row>
    <row r="524" spans="1:15">
      <c r="A524" s="3"/>
      <c r="B524" s="3"/>
      <c r="C524" s="803"/>
      <c r="D524" s="817"/>
      <c r="E524" s="817"/>
      <c r="F524" s="806"/>
      <c r="G524" s="3"/>
      <c r="H524" s="806"/>
      <c r="I524" s="3"/>
      <c r="J524" s="806"/>
      <c r="K524" s="3"/>
      <c r="L524" s="806"/>
      <c r="M524" s="3"/>
      <c r="N524" s="817"/>
      <c r="O524" s="817"/>
    </row>
    <row r="525" spans="1:15">
      <c r="A525" s="3"/>
      <c r="B525" s="3"/>
      <c r="C525" s="803"/>
      <c r="D525" s="817"/>
      <c r="E525" s="817"/>
      <c r="F525" s="806"/>
      <c r="G525" s="3"/>
      <c r="H525" s="806"/>
      <c r="I525" s="3"/>
      <c r="J525" s="806"/>
      <c r="K525" s="3"/>
      <c r="L525" s="806"/>
      <c r="M525" s="3"/>
      <c r="N525" s="817"/>
      <c r="O525" s="817"/>
    </row>
    <row r="526" spans="1:15">
      <c r="A526" s="3"/>
      <c r="B526" s="3"/>
      <c r="C526" s="803"/>
      <c r="D526" s="817"/>
      <c r="E526" s="817"/>
      <c r="F526" s="806"/>
      <c r="G526" s="3"/>
      <c r="H526" s="806"/>
      <c r="I526" s="3"/>
      <c r="J526" s="806"/>
      <c r="K526" s="3"/>
      <c r="L526" s="806"/>
      <c r="M526" s="3"/>
      <c r="N526" s="817"/>
      <c r="O526" s="817"/>
    </row>
    <row r="527" spans="1:15">
      <c r="A527" s="3"/>
      <c r="B527" s="3"/>
      <c r="C527" s="803"/>
      <c r="D527" s="817"/>
      <c r="E527" s="817"/>
      <c r="F527" s="806"/>
      <c r="G527" s="3"/>
      <c r="H527" s="806"/>
      <c r="I527" s="3"/>
      <c r="J527" s="806"/>
      <c r="K527" s="3"/>
      <c r="L527" s="806"/>
      <c r="M527" s="3"/>
      <c r="N527" s="817"/>
      <c r="O527" s="817"/>
    </row>
    <row r="528" spans="1:15">
      <c r="A528" s="3"/>
      <c r="B528" s="3"/>
      <c r="C528" s="803"/>
      <c r="D528" s="817"/>
      <c r="E528" s="817"/>
      <c r="F528" s="806"/>
      <c r="G528" s="3"/>
      <c r="H528" s="806"/>
      <c r="I528" s="3"/>
      <c r="J528" s="806"/>
      <c r="K528" s="3"/>
      <c r="L528" s="806"/>
      <c r="M528" s="3"/>
      <c r="N528" s="817"/>
      <c r="O528" s="817"/>
    </row>
    <row r="529" spans="1:15">
      <c r="A529" s="3"/>
      <c r="B529" s="3"/>
      <c r="C529" s="803"/>
      <c r="D529" s="817"/>
      <c r="E529" s="817"/>
      <c r="F529" s="806"/>
      <c r="G529" s="3"/>
      <c r="H529" s="806"/>
      <c r="I529" s="3"/>
      <c r="J529" s="806"/>
      <c r="K529" s="3"/>
      <c r="L529" s="806"/>
      <c r="M529" s="3"/>
      <c r="N529" s="817"/>
      <c r="O529" s="817"/>
    </row>
    <row r="530" spans="1:15">
      <c r="A530" s="3"/>
      <c r="B530" s="3"/>
      <c r="C530" s="803"/>
      <c r="D530" s="817"/>
      <c r="E530" s="817"/>
      <c r="F530" s="806"/>
      <c r="G530" s="3"/>
      <c r="H530" s="806"/>
      <c r="I530" s="3"/>
      <c r="J530" s="806"/>
      <c r="K530" s="3"/>
      <c r="L530" s="806"/>
      <c r="M530" s="3"/>
      <c r="N530" s="817"/>
      <c r="O530" s="817"/>
    </row>
    <row r="531" spans="1:15">
      <c r="A531" s="3"/>
      <c r="B531" s="3"/>
      <c r="C531" s="803"/>
      <c r="D531" s="817"/>
      <c r="E531" s="817"/>
      <c r="F531" s="806"/>
      <c r="G531" s="3"/>
      <c r="H531" s="806"/>
      <c r="I531" s="3"/>
      <c r="J531" s="806"/>
      <c r="K531" s="3"/>
      <c r="L531" s="806"/>
      <c r="M531" s="3"/>
      <c r="N531" s="817"/>
      <c r="O531" s="817"/>
    </row>
    <row r="532" spans="1:15">
      <c r="A532" s="3"/>
      <c r="B532" s="3"/>
      <c r="C532" s="803"/>
      <c r="D532" s="817"/>
      <c r="E532" s="817"/>
      <c r="F532" s="806"/>
      <c r="G532" s="3"/>
      <c r="H532" s="806"/>
      <c r="I532" s="3"/>
      <c r="J532" s="806"/>
      <c r="K532" s="3"/>
      <c r="L532" s="806"/>
      <c r="M532" s="3"/>
      <c r="N532" s="817"/>
      <c r="O532" s="817"/>
    </row>
    <row r="533" spans="1:15">
      <c r="A533" s="3"/>
      <c r="B533" s="3"/>
      <c r="C533" s="803"/>
      <c r="D533" s="817"/>
      <c r="E533" s="817"/>
      <c r="F533" s="806"/>
      <c r="G533" s="3"/>
      <c r="H533" s="806"/>
      <c r="I533" s="3"/>
      <c r="J533" s="806"/>
      <c r="K533" s="3"/>
      <c r="L533" s="806"/>
      <c r="M533" s="3"/>
      <c r="N533" s="817"/>
      <c r="O533" s="817"/>
    </row>
    <row r="534" spans="1:15">
      <c r="A534" s="3"/>
      <c r="B534" s="3"/>
      <c r="C534" s="803"/>
      <c r="D534" s="817"/>
      <c r="E534" s="817"/>
      <c r="F534" s="806"/>
      <c r="G534" s="3"/>
      <c r="H534" s="806"/>
      <c r="I534" s="3"/>
      <c r="J534" s="806"/>
      <c r="K534" s="3"/>
      <c r="L534" s="806"/>
      <c r="M534" s="3"/>
      <c r="N534" s="817"/>
      <c r="O534" s="817"/>
    </row>
    <row r="535" spans="1:15">
      <c r="A535" s="3"/>
      <c r="B535" s="3"/>
      <c r="C535" s="803"/>
      <c r="D535" s="817"/>
      <c r="E535" s="817"/>
      <c r="F535" s="806"/>
      <c r="G535" s="3"/>
      <c r="H535" s="806"/>
      <c r="I535" s="3"/>
      <c r="J535" s="806"/>
      <c r="K535" s="3"/>
      <c r="L535" s="806"/>
      <c r="M535" s="3"/>
      <c r="N535" s="817"/>
      <c r="O535" s="817"/>
    </row>
    <row r="536" spans="1:15">
      <c r="A536" s="3"/>
      <c r="B536" s="3"/>
      <c r="C536" s="803"/>
      <c r="D536" s="817"/>
      <c r="E536" s="817"/>
      <c r="F536" s="806"/>
      <c r="G536" s="3"/>
      <c r="H536" s="806"/>
      <c r="I536" s="3"/>
      <c r="J536" s="806"/>
      <c r="K536" s="3"/>
      <c r="L536" s="806"/>
      <c r="M536" s="3"/>
      <c r="N536" s="817"/>
      <c r="O536" s="817"/>
    </row>
    <row r="537" spans="1:15">
      <c r="A537" s="3"/>
      <c r="B537" s="3"/>
      <c r="C537" s="803"/>
      <c r="D537" s="817"/>
      <c r="E537" s="817"/>
      <c r="F537" s="806"/>
      <c r="G537" s="3"/>
      <c r="H537" s="806"/>
      <c r="I537" s="3"/>
      <c r="J537" s="806"/>
      <c r="K537" s="3"/>
      <c r="L537" s="806"/>
      <c r="M537" s="3"/>
      <c r="N537" s="817"/>
      <c r="O537" s="817"/>
    </row>
    <row r="538" spans="1:15">
      <c r="A538" s="3"/>
      <c r="B538" s="3"/>
      <c r="C538" s="803"/>
      <c r="D538" s="817"/>
      <c r="E538" s="817"/>
      <c r="F538" s="806"/>
      <c r="G538" s="3"/>
      <c r="H538" s="806"/>
      <c r="I538" s="3"/>
      <c r="J538" s="806"/>
      <c r="K538" s="3"/>
      <c r="L538" s="806"/>
      <c r="M538" s="3"/>
      <c r="N538" s="817"/>
      <c r="O538" s="817"/>
    </row>
    <row r="539" spans="1:15">
      <c r="A539" s="3"/>
      <c r="B539" s="3"/>
      <c r="C539" s="803"/>
      <c r="D539" s="817"/>
      <c r="E539" s="817"/>
      <c r="F539" s="806"/>
      <c r="G539" s="3"/>
      <c r="H539" s="806"/>
      <c r="I539" s="3"/>
      <c r="J539" s="806"/>
      <c r="K539" s="3"/>
      <c r="L539" s="806"/>
      <c r="M539" s="3"/>
      <c r="N539" s="817"/>
      <c r="O539" s="817"/>
    </row>
    <row r="540" spans="1:15">
      <c r="A540" s="3"/>
      <c r="B540" s="3"/>
      <c r="C540" s="803"/>
      <c r="D540" s="817"/>
      <c r="E540" s="817"/>
      <c r="F540" s="806"/>
      <c r="G540" s="3"/>
      <c r="H540" s="806"/>
      <c r="I540" s="3"/>
      <c r="J540" s="806"/>
      <c r="K540" s="3"/>
      <c r="L540" s="806"/>
      <c r="M540" s="3"/>
      <c r="N540" s="817"/>
      <c r="O540" s="817"/>
    </row>
    <row r="541" spans="1:15">
      <c r="A541" s="3"/>
      <c r="B541" s="3"/>
      <c r="C541" s="803"/>
      <c r="D541" s="817"/>
      <c r="E541" s="817"/>
      <c r="F541" s="806"/>
      <c r="G541" s="3"/>
      <c r="H541" s="806"/>
      <c r="I541" s="3"/>
      <c r="J541" s="806"/>
      <c r="K541" s="3"/>
      <c r="L541" s="806"/>
      <c r="M541" s="3"/>
      <c r="N541" s="817"/>
      <c r="O541" s="817"/>
    </row>
    <row r="542" spans="1:15">
      <c r="A542" s="3"/>
      <c r="B542" s="3"/>
      <c r="C542" s="803"/>
      <c r="D542" s="817"/>
      <c r="E542" s="817"/>
      <c r="F542" s="806"/>
      <c r="G542" s="3"/>
      <c r="H542" s="806"/>
      <c r="I542" s="3"/>
      <c r="J542" s="806"/>
      <c r="K542" s="3"/>
      <c r="L542" s="806"/>
      <c r="M542" s="3"/>
      <c r="N542" s="817"/>
      <c r="O542" s="817"/>
    </row>
    <row r="543" spans="1:15">
      <c r="A543" s="3"/>
      <c r="B543" s="3"/>
      <c r="C543" s="803"/>
      <c r="D543" s="817"/>
      <c r="E543" s="817"/>
      <c r="F543" s="806"/>
      <c r="G543" s="3"/>
      <c r="H543" s="806"/>
      <c r="I543" s="3"/>
      <c r="J543" s="806"/>
      <c r="K543" s="3"/>
      <c r="L543" s="806"/>
      <c r="M543" s="3"/>
      <c r="N543" s="817"/>
      <c r="O543" s="817"/>
    </row>
    <row r="544" spans="1:15">
      <c r="A544" s="3"/>
      <c r="B544" s="3"/>
      <c r="C544" s="803"/>
      <c r="D544" s="817"/>
      <c r="E544" s="817"/>
      <c r="F544" s="806"/>
      <c r="G544" s="3"/>
      <c r="H544" s="806"/>
      <c r="I544" s="3"/>
      <c r="J544" s="806"/>
      <c r="K544" s="3"/>
      <c r="L544" s="806"/>
      <c r="M544" s="3"/>
      <c r="N544" s="817"/>
      <c r="O544" s="817"/>
    </row>
    <row r="545" spans="1:15">
      <c r="A545" s="3"/>
      <c r="B545" s="3"/>
      <c r="C545" s="803"/>
      <c r="D545" s="817"/>
      <c r="E545" s="817"/>
      <c r="F545" s="806"/>
      <c r="G545" s="3"/>
      <c r="H545" s="806"/>
      <c r="I545" s="3"/>
      <c r="J545" s="806"/>
      <c r="K545" s="3"/>
      <c r="L545" s="806"/>
      <c r="M545" s="3"/>
      <c r="N545" s="817"/>
      <c r="O545" s="817"/>
    </row>
    <row r="546" spans="1:15">
      <c r="A546" s="3"/>
      <c r="B546" s="3"/>
      <c r="C546" s="803"/>
      <c r="D546" s="817"/>
      <c r="E546" s="817"/>
      <c r="F546" s="806"/>
      <c r="G546" s="3"/>
      <c r="H546" s="806"/>
      <c r="I546" s="3"/>
      <c r="J546" s="806"/>
      <c r="K546" s="3"/>
      <c r="L546" s="806"/>
      <c r="M546" s="3"/>
      <c r="N546" s="817"/>
      <c r="O546" s="817"/>
    </row>
    <row r="547" spans="1:15">
      <c r="A547" s="3"/>
      <c r="B547" s="3"/>
      <c r="C547" s="803"/>
      <c r="D547" s="817"/>
      <c r="E547" s="817"/>
      <c r="F547" s="806"/>
      <c r="G547" s="3"/>
      <c r="H547" s="806"/>
      <c r="I547" s="3"/>
      <c r="J547" s="806"/>
      <c r="K547" s="3"/>
      <c r="L547" s="806"/>
      <c r="M547" s="3"/>
      <c r="N547" s="817"/>
      <c r="O547" s="817"/>
    </row>
    <row r="548" spans="1:15">
      <c r="A548" s="3"/>
      <c r="B548" s="3"/>
      <c r="C548" s="803"/>
      <c r="D548" s="817"/>
      <c r="E548" s="817"/>
      <c r="F548" s="806"/>
      <c r="G548" s="3"/>
      <c r="H548" s="806"/>
      <c r="I548" s="3"/>
      <c r="J548" s="806"/>
      <c r="K548" s="3"/>
      <c r="L548" s="806"/>
      <c r="M548" s="3"/>
      <c r="N548" s="817"/>
      <c r="O548" s="817"/>
    </row>
    <row r="549" spans="1:15">
      <c r="A549" s="3"/>
      <c r="B549" s="3"/>
      <c r="C549" s="803"/>
      <c r="D549" s="817"/>
      <c r="E549" s="817"/>
      <c r="F549" s="806"/>
      <c r="G549" s="3"/>
      <c r="H549" s="806"/>
      <c r="I549" s="3"/>
      <c r="J549" s="806"/>
      <c r="K549" s="3"/>
      <c r="L549" s="806"/>
      <c r="M549" s="3"/>
      <c r="N549" s="817"/>
      <c r="O549" s="817"/>
    </row>
    <row r="550" spans="1:15">
      <c r="A550" s="3"/>
      <c r="B550" s="3"/>
      <c r="C550" s="803"/>
      <c r="D550" s="817"/>
      <c r="E550" s="817"/>
      <c r="F550" s="806"/>
      <c r="G550" s="3"/>
      <c r="H550" s="806"/>
      <c r="I550" s="3"/>
      <c r="J550" s="806"/>
      <c r="K550" s="3"/>
      <c r="L550" s="806"/>
      <c r="M550" s="3"/>
      <c r="N550" s="817"/>
      <c r="O550" s="817"/>
    </row>
    <row r="551" spans="1:15">
      <c r="A551" s="3"/>
      <c r="B551" s="3"/>
      <c r="C551" s="803"/>
      <c r="D551" s="817"/>
      <c r="E551" s="817"/>
      <c r="F551" s="806"/>
      <c r="G551" s="3"/>
      <c r="H551" s="806"/>
      <c r="I551" s="3"/>
      <c r="J551" s="806"/>
      <c r="K551" s="3"/>
      <c r="L551" s="806"/>
      <c r="M551" s="3"/>
      <c r="N551" s="817"/>
      <c r="O551" s="817"/>
    </row>
    <row r="552" spans="1:15">
      <c r="A552" s="3"/>
      <c r="B552" s="3"/>
      <c r="C552" s="803"/>
      <c r="D552" s="817"/>
      <c r="E552" s="817"/>
      <c r="F552" s="806"/>
      <c r="G552" s="3"/>
      <c r="H552" s="806"/>
      <c r="I552" s="3"/>
      <c r="J552" s="806"/>
      <c r="K552" s="3"/>
      <c r="L552" s="806"/>
      <c r="M552" s="3"/>
      <c r="N552" s="817"/>
      <c r="O552" s="817"/>
    </row>
    <row r="553" spans="1:15">
      <c r="A553" s="3"/>
      <c r="B553" s="3"/>
      <c r="C553" s="803"/>
      <c r="D553" s="817"/>
      <c r="E553" s="817"/>
      <c r="F553" s="806"/>
      <c r="G553" s="3"/>
      <c r="H553" s="806"/>
      <c r="I553" s="3"/>
      <c r="J553" s="806"/>
      <c r="K553" s="3"/>
      <c r="L553" s="806"/>
      <c r="M553" s="3"/>
      <c r="N553" s="817"/>
      <c r="O553" s="817"/>
    </row>
    <row r="554" spans="1:15">
      <c r="A554" s="3"/>
      <c r="B554" s="3"/>
      <c r="C554" s="803"/>
      <c r="D554" s="817"/>
      <c r="E554" s="817"/>
      <c r="F554" s="806"/>
      <c r="G554" s="3"/>
      <c r="H554" s="806"/>
      <c r="I554" s="3"/>
      <c r="J554" s="806"/>
      <c r="K554" s="3"/>
      <c r="L554" s="806"/>
      <c r="M554" s="3"/>
      <c r="N554" s="817"/>
      <c r="O554" s="817"/>
    </row>
    <row r="555" spans="1:15">
      <c r="A555" s="3"/>
      <c r="B555" s="3"/>
      <c r="C555" s="803"/>
      <c r="D555" s="817"/>
      <c r="E555" s="817"/>
      <c r="F555" s="806"/>
      <c r="G555" s="3"/>
      <c r="H555" s="806"/>
      <c r="I555" s="3"/>
      <c r="J555" s="806"/>
      <c r="K555" s="3"/>
      <c r="L555" s="806"/>
      <c r="M555" s="3"/>
      <c r="N555" s="817"/>
      <c r="O555" s="817"/>
    </row>
    <row r="556" spans="1:15">
      <c r="A556" s="3"/>
      <c r="B556" s="3"/>
      <c r="C556" s="803"/>
      <c r="D556" s="817"/>
      <c r="E556" s="817"/>
      <c r="F556" s="806"/>
      <c r="G556" s="3"/>
      <c r="H556" s="806"/>
      <c r="I556" s="3"/>
      <c r="J556" s="806"/>
      <c r="K556" s="3"/>
      <c r="L556" s="806"/>
      <c r="M556" s="3"/>
      <c r="N556" s="817"/>
      <c r="O556" s="817"/>
    </row>
    <row r="557" spans="1:15">
      <c r="A557" s="3"/>
      <c r="B557" s="3"/>
      <c r="C557" s="803"/>
      <c r="D557" s="817"/>
      <c r="E557" s="817"/>
      <c r="F557" s="806"/>
      <c r="G557" s="3"/>
      <c r="H557" s="806"/>
      <c r="I557" s="3"/>
      <c r="J557" s="806"/>
      <c r="K557" s="3"/>
      <c r="L557" s="806"/>
      <c r="M557" s="3"/>
      <c r="N557" s="817"/>
      <c r="O557" s="817"/>
    </row>
    <row r="558" spans="1:15">
      <c r="A558" s="3"/>
      <c r="B558" s="3"/>
      <c r="C558" s="803"/>
      <c r="D558" s="817"/>
      <c r="E558" s="817"/>
      <c r="F558" s="806"/>
      <c r="G558" s="3"/>
      <c r="H558" s="806"/>
      <c r="I558" s="3"/>
      <c r="J558" s="806"/>
      <c r="K558" s="3"/>
      <c r="L558" s="806"/>
      <c r="M558" s="3"/>
      <c r="N558" s="817"/>
      <c r="O558" s="817"/>
    </row>
    <row r="559" spans="1:15">
      <c r="A559" s="3"/>
      <c r="B559" s="3"/>
      <c r="C559" s="803"/>
      <c r="D559" s="817"/>
      <c r="E559" s="817"/>
      <c r="F559" s="806"/>
      <c r="G559" s="3"/>
      <c r="H559" s="806"/>
      <c r="I559" s="3"/>
      <c r="J559" s="806"/>
      <c r="K559" s="3"/>
      <c r="L559" s="806"/>
      <c r="M559" s="3"/>
      <c r="N559" s="817"/>
      <c r="O559" s="817"/>
    </row>
    <row r="560" spans="1:15">
      <c r="A560" s="3"/>
      <c r="B560" s="3"/>
      <c r="C560" s="803"/>
      <c r="D560" s="817"/>
      <c r="E560" s="817"/>
      <c r="F560" s="806"/>
      <c r="G560" s="3"/>
      <c r="H560" s="806"/>
      <c r="I560" s="3"/>
      <c r="J560" s="806"/>
      <c r="K560" s="3"/>
      <c r="L560" s="806"/>
      <c r="M560" s="3"/>
      <c r="N560" s="817"/>
      <c r="O560" s="817"/>
    </row>
    <row r="561" spans="1:15">
      <c r="A561" s="3"/>
      <c r="B561" s="3"/>
      <c r="C561" s="803"/>
      <c r="D561" s="817"/>
      <c r="E561" s="817"/>
      <c r="F561" s="806"/>
      <c r="G561" s="3"/>
      <c r="H561" s="806"/>
      <c r="I561" s="3"/>
      <c r="J561" s="806"/>
      <c r="K561" s="3"/>
      <c r="L561" s="806"/>
      <c r="M561" s="3"/>
      <c r="N561" s="817"/>
      <c r="O561" s="817"/>
    </row>
    <row r="562" spans="1:15">
      <c r="A562" s="3"/>
      <c r="B562" s="3"/>
      <c r="C562" s="803"/>
      <c r="D562" s="817"/>
      <c r="E562" s="817"/>
      <c r="F562" s="806"/>
      <c r="G562" s="3"/>
      <c r="H562" s="806"/>
      <c r="I562" s="3"/>
      <c r="J562" s="806"/>
      <c r="K562" s="3"/>
      <c r="L562" s="806"/>
      <c r="M562" s="3"/>
      <c r="N562" s="817"/>
      <c r="O562" s="817"/>
    </row>
    <row r="563" spans="1:15">
      <c r="A563" s="3"/>
      <c r="B563" s="3"/>
      <c r="C563" s="803"/>
      <c r="D563" s="817"/>
      <c r="E563" s="817"/>
      <c r="F563" s="806"/>
      <c r="G563" s="3"/>
      <c r="H563" s="806"/>
      <c r="I563" s="3"/>
      <c r="J563" s="806"/>
      <c r="K563" s="3"/>
      <c r="L563" s="806"/>
      <c r="M563" s="3"/>
      <c r="N563" s="817"/>
      <c r="O563" s="817"/>
    </row>
    <row r="564" spans="1:15">
      <c r="A564" s="3"/>
      <c r="B564" s="3"/>
      <c r="C564" s="803"/>
      <c r="D564" s="817"/>
      <c r="E564" s="817"/>
      <c r="F564" s="806"/>
      <c r="G564" s="3"/>
      <c r="H564" s="806"/>
      <c r="I564" s="3"/>
      <c r="J564" s="806"/>
      <c r="K564" s="3"/>
      <c r="L564" s="806"/>
      <c r="M564" s="3"/>
      <c r="N564" s="817"/>
      <c r="O564" s="817"/>
    </row>
    <row r="565" spans="1:15">
      <c r="A565" s="3"/>
      <c r="B565" s="3"/>
      <c r="C565" s="803"/>
      <c r="D565" s="817"/>
      <c r="E565" s="817"/>
      <c r="F565" s="806"/>
      <c r="G565" s="3"/>
      <c r="H565" s="806"/>
      <c r="I565" s="3"/>
      <c r="J565" s="806"/>
      <c r="K565" s="3"/>
      <c r="L565" s="806"/>
      <c r="M565" s="3"/>
      <c r="N565" s="817"/>
      <c r="O565" s="817"/>
    </row>
    <row r="566" spans="1:15">
      <c r="A566" s="3"/>
      <c r="B566" s="3"/>
      <c r="C566" s="803"/>
      <c r="D566" s="817"/>
      <c r="E566" s="817"/>
      <c r="F566" s="806"/>
      <c r="G566" s="3"/>
      <c r="H566" s="806"/>
      <c r="I566" s="3"/>
      <c r="J566" s="806"/>
      <c r="K566" s="3"/>
      <c r="L566" s="806"/>
      <c r="M566" s="3"/>
      <c r="N566" s="817"/>
      <c r="O566" s="817"/>
    </row>
    <row r="567" spans="1:15">
      <c r="A567" s="3"/>
      <c r="B567" s="3"/>
      <c r="C567" s="803"/>
      <c r="D567" s="817"/>
      <c r="E567" s="817"/>
      <c r="F567" s="806"/>
      <c r="G567" s="3"/>
      <c r="H567" s="806"/>
      <c r="I567" s="3"/>
      <c r="J567" s="806"/>
      <c r="K567" s="3"/>
      <c r="L567" s="806"/>
      <c r="M567" s="3"/>
      <c r="N567" s="817"/>
      <c r="O567" s="817"/>
    </row>
    <row r="568" spans="1:15">
      <c r="A568" s="3"/>
      <c r="B568" s="3"/>
      <c r="C568" s="803"/>
      <c r="D568" s="817"/>
      <c r="E568" s="817"/>
      <c r="F568" s="806"/>
      <c r="G568" s="3"/>
      <c r="H568" s="806"/>
      <c r="I568" s="3"/>
      <c r="J568" s="806"/>
      <c r="K568" s="3"/>
      <c r="L568" s="806"/>
      <c r="M568" s="3"/>
      <c r="N568" s="817"/>
      <c r="O568" s="817"/>
    </row>
    <row r="569" spans="1:15">
      <c r="A569" s="3"/>
      <c r="B569" s="3"/>
      <c r="C569" s="803"/>
      <c r="D569" s="817"/>
      <c r="E569" s="817"/>
      <c r="F569" s="806"/>
      <c r="G569" s="3"/>
      <c r="H569" s="806"/>
      <c r="I569" s="3"/>
      <c r="J569" s="806"/>
      <c r="K569" s="3"/>
      <c r="L569" s="806"/>
      <c r="M569" s="3"/>
      <c r="N569" s="817"/>
      <c r="O569" s="817"/>
    </row>
    <row r="570" spans="1:15">
      <c r="A570" s="3"/>
      <c r="B570" s="3"/>
      <c r="C570" s="803"/>
      <c r="D570" s="817"/>
      <c r="E570" s="817"/>
      <c r="F570" s="806"/>
      <c r="G570" s="3"/>
      <c r="H570" s="806"/>
      <c r="I570" s="3"/>
      <c r="J570" s="806"/>
      <c r="K570" s="3"/>
      <c r="L570" s="806"/>
      <c r="M570" s="3"/>
      <c r="N570" s="817"/>
      <c r="O570" s="817"/>
    </row>
    <row r="571" spans="1:15">
      <c r="A571" s="3"/>
      <c r="B571" s="3"/>
      <c r="C571" s="803"/>
      <c r="D571" s="817"/>
      <c r="E571" s="817"/>
      <c r="F571" s="806"/>
      <c r="G571" s="3"/>
      <c r="H571" s="806"/>
      <c r="I571" s="3"/>
      <c r="J571" s="806"/>
      <c r="K571" s="3"/>
      <c r="L571" s="806"/>
      <c r="M571" s="3"/>
      <c r="N571" s="817"/>
      <c r="O571" s="817"/>
    </row>
    <row r="572" spans="1:15">
      <c r="A572" s="3"/>
      <c r="B572" s="3"/>
      <c r="C572" s="803"/>
      <c r="D572" s="817"/>
      <c r="E572" s="817"/>
      <c r="F572" s="806"/>
      <c r="G572" s="3"/>
      <c r="H572" s="806"/>
      <c r="I572" s="3"/>
      <c r="J572" s="806"/>
      <c r="K572" s="3"/>
      <c r="L572" s="806"/>
      <c r="M572" s="3"/>
      <c r="N572" s="817"/>
      <c r="O572" s="817"/>
    </row>
    <row r="573" spans="1:15">
      <c r="A573" s="3"/>
      <c r="B573" s="3"/>
      <c r="C573" s="803"/>
      <c r="D573" s="817"/>
      <c r="E573" s="817"/>
      <c r="F573" s="806"/>
      <c r="G573" s="3"/>
      <c r="H573" s="806"/>
      <c r="I573" s="3"/>
      <c r="J573" s="806"/>
      <c r="K573" s="3"/>
      <c r="L573" s="806"/>
      <c r="M573" s="3"/>
      <c r="N573" s="817"/>
      <c r="O573" s="817"/>
    </row>
    <row r="574" spans="1:15">
      <c r="A574" s="3"/>
      <c r="B574" s="3"/>
      <c r="C574" s="803"/>
      <c r="D574" s="817"/>
      <c r="E574" s="817"/>
      <c r="F574" s="806"/>
      <c r="G574" s="3"/>
      <c r="H574" s="806"/>
      <c r="I574" s="3"/>
      <c r="J574" s="806"/>
      <c r="K574" s="3"/>
      <c r="L574" s="806"/>
      <c r="M574" s="3"/>
      <c r="N574" s="817"/>
      <c r="O574" s="817"/>
    </row>
    <row r="575" spans="1:15">
      <c r="A575" s="3"/>
      <c r="B575" s="3"/>
      <c r="C575" s="803"/>
      <c r="D575" s="817"/>
      <c r="E575" s="817"/>
      <c r="F575" s="806"/>
      <c r="G575" s="3"/>
      <c r="H575" s="806"/>
      <c r="I575" s="3"/>
      <c r="J575" s="806"/>
      <c r="K575" s="3"/>
      <c r="L575" s="806"/>
      <c r="M575" s="3"/>
      <c r="N575" s="817"/>
      <c r="O575" s="817"/>
    </row>
    <row r="576" spans="1:15">
      <c r="A576" s="3"/>
      <c r="B576" s="3"/>
      <c r="C576" s="803"/>
      <c r="D576" s="817"/>
      <c r="E576" s="817"/>
      <c r="F576" s="806"/>
      <c r="G576" s="3"/>
      <c r="H576" s="806"/>
      <c r="I576" s="3"/>
      <c r="J576" s="806"/>
      <c r="K576" s="3"/>
      <c r="L576" s="806"/>
      <c r="M576" s="3"/>
      <c r="N576" s="817"/>
      <c r="O576" s="817"/>
    </row>
    <row r="577" spans="1:15">
      <c r="A577" s="3"/>
      <c r="B577" s="3"/>
      <c r="C577" s="803"/>
      <c r="D577" s="817"/>
      <c r="E577" s="817"/>
      <c r="F577" s="806"/>
      <c r="G577" s="3"/>
      <c r="H577" s="806"/>
      <c r="I577" s="3"/>
      <c r="J577" s="806"/>
      <c r="K577" s="3"/>
      <c r="L577" s="806"/>
      <c r="M577" s="3"/>
      <c r="N577" s="817"/>
      <c r="O577" s="817"/>
    </row>
    <row r="578" spans="1:15">
      <c r="A578" s="3"/>
      <c r="B578" s="3"/>
      <c r="C578" s="803"/>
      <c r="D578" s="817"/>
      <c r="E578" s="817"/>
      <c r="F578" s="806"/>
      <c r="G578" s="3"/>
      <c r="H578" s="806"/>
      <c r="I578" s="3"/>
      <c r="J578" s="806"/>
      <c r="K578" s="3"/>
      <c r="L578" s="806"/>
      <c r="M578" s="3"/>
      <c r="N578" s="817"/>
      <c r="O578" s="817"/>
    </row>
    <row r="579" spans="1:15">
      <c r="A579" s="3"/>
      <c r="B579" s="3"/>
      <c r="C579" s="803"/>
      <c r="D579" s="817"/>
      <c r="E579" s="817"/>
      <c r="F579" s="806"/>
      <c r="G579" s="3"/>
      <c r="H579" s="806"/>
      <c r="I579" s="3"/>
      <c r="J579" s="806"/>
      <c r="K579" s="3"/>
      <c r="L579" s="806"/>
      <c r="M579" s="3"/>
      <c r="N579" s="817"/>
      <c r="O579" s="817"/>
    </row>
    <row r="580" spans="1:15">
      <c r="A580" s="3"/>
      <c r="B580" s="3"/>
      <c r="C580" s="803"/>
      <c r="D580" s="817"/>
      <c r="E580" s="817"/>
      <c r="F580" s="806"/>
      <c r="G580" s="3"/>
      <c r="H580" s="806"/>
      <c r="I580" s="3"/>
      <c r="J580" s="806"/>
      <c r="K580" s="3"/>
      <c r="L580" s="806"/>
      <c r="M580" s="3"/>
      <c r="N580" s="817"/>
      <c r="O580" s="817"/>
    </row>
    <row r="581" spans="1:15">
      <c r="A581" s="3"/>
      <c r="B581" s="3"/>
      <c r="C581" s="803"/>
      <c r="D581" s="817"/>
      <c r="E581" s="817"/>
      <c r="F581" s="806"/>
      <c r="G581" s="3"/>
      <c r="H581" s="806"/>
      <c r="I581" s="3"/>
      <c r="J581" s="806"/>
      <c r="K581" s="3"/>
      <c r="L581" s="806"/>
      <c r="M581" s="3"/>
      <c r="N581" s="817"/>
      <c r="O581" s="817"/>
    </row>
    <row r="582" spans="1:15">
      <c r="A582" s="3"/>
      <c r="B582" s="3"/>
      <c r="C582" s="803"/>
      <c r="D582" s="817"/>
      <c r="E582" s="817"/>
      <c r="F582" s="806"/>
      <c r="G582" s="3"/>
      <c r="H582" s="806"/>
      <c r="I582" s="3"/>
      <c r="J582" s="806"/>
      <c r="K582" s="3"/>
      <c r="L582" s="806"/>
      <c r="M582" s="3"/>
      <c r="N582" s="817"/>
      <c r="O582" s="817"/>
    </row>
    <row r="583" spans="1:15">
      <c r="A583" s="3"/>
      <c r="B583" s="3"/>
      <c r="C583" s="803"/>
      <c r="D583" s="817"/>
      <c r="E583" s="817"/>
      <c r="F583" s="806"/>
      <c r="G583" s="3"/>
      <c r="H583" s="806"/>
      <c r="I583" s="3"/>
      <c r="J583" s="806"/>
      <c r="K583" s="3"/>
      <c r="L583" s="806"/>
      <c r="M583" s="3"/>
      <c r="N583" s="817"/>
      <c r="O583" s="817"/>
    </row>
    <row r="584" spans="1:15">
      <c r="A584" s="3"/>
      <c r="B584" s="3"/>
      <c r="C584" s="803"/>
      <c r="D584" s="817"/>
      <c r="E584" s="817"/>
      <c r="F584" s="806"/>
      <c r="G584" s="3"/>
      <c r="H584" s="806"/>
      <c r="I584" s="3"/>
      <c r="J584" s="806"/>
      <c r="K584" s="3"/>
      <c r="L584" s="806"/>
      <c r="M584" s="3"/>
      <c r="N584" s="817"/>
      <c r="O584" s="817"/>
    </row>
    <row r="585" spans="1:15">
      <c r="A585" s="3"/>
      <c r="B585" s="3"/>
      <c r="C585" s="803"/>
      <c r="D585" s="817"/>
      <c r="E585" s="817"/>
      <c r="F585" s="806"/>
      <c r="G585" s="3"/>
      <c r="H585" s="806"/>
      <c r="I585" s="3"/>
      <c r="J585" s="806"/>
      <c r="K585" s="3"/>
      <c r="L585" s="806"/>
      <c r="M585" s="3"/>
      <c r="N585" s="817"/>
      <c r="O585" s="817"/>
    </row>
    <row r="586" spans="1:15">
      <c r="A586" s="3"/>
      <c r="B586" s="3"/>
      <c r="C586" s="803"/>
      <c r="D586" s="817"/>
      <c r="E586" s="817"/>
      <c r="F586" s="806"/>
      <c r="G586" s="3"/>
      <c r="H586" s="806"/>
      <c r="I586" s="3"/>
      <c r="J586" s="806"/>
      <c r="K586" s="3"/>
      <c r="L586" s="806"/>
      <c r="M586" s="3"/>
      <c r="N586" s="817"/>
      <c r="O586" s="817"/>
    </row>
    <row r="587" spans="1:15">
      <c r="A587" s="3"/>
      <c r="B587" s="3"/>
      <c r="C587" s="803"/>
      <c r="D587" s="817"/>
      <c r="E587" s="817"/>
      <c r="F587" s="806"/>
      <c r="G587" s="3"/>
      <c r="H587" s="806"/>
      <c r="I587" s="3"/>
      <c r="J587" s="806"/>
      <c r="K587" s="3"/>
      <c r="L587" s="806"/>
      <c r="M587" s="3"/>
      <c r="N587" s="817"/>
      <c r="O587" s="817"/>
    </row>
    <row r="588" spans="1:15">
      <c r="A588" s="3"/>
      <c r="B588" s="3"/>
      <c r="C588" s="803"/>
      <c r="D588" s="817"/>
      <c r="E588" s="817"/>
      <c r="F588" s="806"/>
      <c r="G588" s="3"/>
      <c r="H588" s="806"/>
      <c r="I588" s="3"/>
      <c r="J588" s="806"/>
      <c r="K588" s="3"/>
      <c r="L588" s="806"/>
      <c r="M588" s="3"/>
      <c r="N588" s="817"/>
      <c r="O588" s="817"/>
    </row>
    <row r="589" spans="1:15">
      <c r="A589" s="3"/>
      <c r="B589" s="3"/>
      <c r="C589" s="803"/>
      <c r="D589" s="817"/>
      <c r="E589" s="817"/>
      <c r="F589" s="806"/>
      <c r="G589" s="3"/>
      <c r="H589" s="806"/>
      <c r="I589" s="3"/>
      <c r="J589" s="806"/>
      <c r="K589" s="3"/>
      <c r="L589" s="806"/>
      <c r="M589" s="3"/>
      <c r="N589" s="817"/>
      <c r="O589" s="817"/>
    </row>
    <row r="590" spans="1:15">
      <c r="A590" s="3"/>
      <c r="B590" s="3"/>
      <c r="C590" s="803"/>
      <c r="D590" s="817"/>
      <c r="E590" s="817"/>
      <c r="F590" s="806"/>
      <c r="G590" s="3"/>
      <c r="H590" s="806"/>
      <c r="I590" s="3"/>
      <c r="J590" s="806"/>
      <c r="K590" s="3"/>
      <c r="L590" s="806"/>
      <c r="M590" s="3"/>
      <c r="N590" s="817"/>
      <c r="O590" s="817"/>
    </row>
    <row r="591" spans="1:15">
      <c r="A591" s="3"/>
      <c r="B591" s="3"/>
      <c r="C591" s="803"/>
      <c r="D591" s="817"/>
      <c r="E591" s="817"/>
      <c r="F591" s="806"/>
      <c r="G591" s="3"/>
      <c r="H591" s="806"/>
      <c r="I591" s="3"/>
      <c r="J591" s="806"/>
      <c r="K591" s="3"/>
      <c r="L591" s="806"/>
      <c r="M591" s="3"/>
      <c r="N591" s="817"/>
      <c r="O591" s="817"/>
    </row>
    <row r="592" spans="1:15">
      <c r="A592" s="3"/>
      <c r="B592" s="3"/>
      <c r="C592" s="803"/>
      <c r="D592" s="817"/>
      <c r="E592" s="817"/>
      <c r="F592" s="806"/>
      <c r="G592" s="3"/>
      <c r="H592" s="806"/>
      <c r="I592" s="3"/>
      <c r="J592" s="806"/>
      <c r="K592" s="3"/>
      <c r="L592" s="806"/>
      <c r="M592" s="3"/>
      <c r="N592" s="817"/>
      <c r="O592" s="817"/>
    </row>
    <row r="593" spans="1:15">
      <c r="A593" s="3"/>
      <c r="B593" s="3"/>
      <c r="C593" s="803"/>
      <c r="D593" s="817"/>
      <c r="E593" s="817"/>
      <c r="F593" s="806"/>
      <c r="G593" s="3"/>
      <c r="H593" s="806"/>
      <c r="I593" s="3"/>
      <c r="J593" s="806"/>
      <c r="K593" s="3"/>
      <c r="L593" s="806"/>
      <c r="M593" s="3"/>
      <c r="N593" s="817"/>
      <c r="O593" s="817"/>
    </row>
    <row r="594" spans="1:15">
      <c r="A594" s="3"/>
      <c r="B594" s="3"/>
      <c r="C594" s="803"/>
      <c r="D594" s="817"/>
      <c r="E594" s="817"/>
      <c r="F594" s="806"/>
      <c r="G594" s="3"/>
      <c r="H594" s="806"/>
      <c r="I594" s="3"/>
      <c r="J594" s="806"/>
      <c r="K594" s="3"/>
      <c r="L594" s="806"/>
      <c r="M594" s="3"/>
      <c r="N594" s="817"/>
      <c r="O594" s="817"/>
    </row>
    <row r="595" spans="1:15">
      <c r="A595" s="3"/>
      <c r="B595" s="3"/>
      <c r="C595" s="803"/>
      <c r="D595" s="817"/>
      <c r="E595" s="817"/>
      <c r="F595" s="806"/>
      <c r="G595" s="3"/>
      <c r="H595" s="806"/>
      <c r="I595" s="3"/>
      <c r="J595" s="806"/>
      <c r="K595" s="3"/>
      <c r="L595" s="806"/>
      <c r="M595" s="3"/>
      <c r="N595" s="817"/>
      <c r="O595" s="817"/>
    </row>
    <row r="596" spans="1:15">
      <c r="A596" s="3"/>
      <c r="B596" s="3"/>
      <c r="C596" s="803"/>
      <c r="D596" s="817"/>
      <c r="E596" s="817"/>
      <c r="F596" s="806"/>
      <c r="G596" s="3"/>
      <c r="H596" s="806"/>
      <c r="I596" s="3"/>
      <c r="J596" s="806"/>
      <c r="K596" s="3"/>
      <c r="L596" s="806"/>
      <c r="M596" s="3"/>
      <c r="N596" s="817"/>
      <c r="O596" s="817"/>
    </row>
    <row r="597" spans="1:15">
      <c r="A597" s="3"/>
      <c r="B597" s="3"/>
      <c r="C597" s="803"/>
      <c r="D597" s="817"/>
      <c r="E597" s="817"/>
      <c r="F597" s="806"/>
      <c r="G597" s="3"/>
      <c r="H597" s="806"/>
      <c r="I597" s="3"/>
      <c r="J597" s="806"/>
      <c r="K597" s="3"/>
      <c r="L597" s="806"/>
      <c r="M597" s="3"/>
      <c r="N597" s="817"/>
      <c r="O597" s="817"/>
    </row>
    <row r="598" spans="1:15">
      <c r="A598" s="3"/>
      <c r="B598" s="3"/>
      <c r="C598" s="803"/>
      <c r="D598" s="817"/>
      <c r="E598" s="817"/>
      <c r="F598" s="806"/>
      <c r="G598" s="3"/>
      <c r="H598" s="806"/>
      <c r="I598" s="3"/>
      <c r="J598" s="806"/>
      <c r="K598" s="3"/>
      <c r="L598" s="806"/>
      <c r="M598" s="3"/>
      <c r="N598" s="817"/>
      <c r="O598" s="817"/>
    </row>
    <row r="599" spans="1:15">
      <c r="A599" s="3"/>
      <c r="B599" s="3"/>
      <c r="C599" s="803"/>
      <c r="D599" s="817"/>
      <c r="E599" s="817"/>
      <c r="F599" s="806"/>
      <c r="G599" s="3"/>
      <c r="H599" s="806"/>
      <c r="I599" s="3"/>
      <c r="J599" s="806"/>
      <c r="K599" s="3"/>
      <c r="L599" s="806"/>
      <c r="M599" s="3"/>
      <c r="N599" s="817"/>
      <c r="O599" s="817"/>
    </row>
    <row r="600" spans="1:15">
      <c r="A600" s="3"/>
      <c r="B600" s="3"/>
      <c r="C600" s="803"/>
      <c r="D600" s="817"/>
      <c r="E600" s="817"/>
      <c r="F600" s="806"/>
      <c r="G600" s="3"/>
      <c r="H600" s="806"/>
      <c r="I600" s="3"/>
      <c r="J600" s="806"/>
      <c r="K600" s="3"/>
      <c r="L600" s="806"/>
      <c r="M600" s="3"/>
      <c r="N600" s="817"/>
      <c r="O600" s="817"/>
    </row>
    <row r="601" spans="1:15">
      <c r="A601" s="3"/>
      <c r="B601" s="3"/>
      <c r="C601" s="803"/>
      <c r="D601" s="817"/>
      <c r="E601" s="817"/>
      <c r="F601" s="806"/>
      <c r="G601" s="3"/>
      <c r="H601" s="806"/>
      <c r="I601" s="3"/>
      <c r="J601" s="806"/>
      <c r="K601" s="3"/>
      <c r="L601" s="806"/>
      <c r="M601" s="3"/>
      <c r="N601" s="817"/>
      <c r="O601" s="817"/>
    </row>
    <row r="602" spans="1:15">
      <c r="A602" s="3"/>
      <c r="B602" s="3"/>
      <c r="C602" s="803"/>
      <c r="D602" s="817"/>
      <c r="E602" s="817"/>
      <c r="F602" s="806"/>
      <c r="G602" s="3"/>
      <c r="H602" s="806"/>
      <c r="I602" s="3"/>
      <c r="J602" s="806"/>
      <c r="K602" s="3"/>
      <c r="L602" s="806"/>
      <c r="M602" s="3"/>
      <c r="N602" s="817"/>
      <c r="O602" s="817"/>
    </row>
    <row r="603" spans="1:15">
      <c r="A603" s="3"/>
      <c r="B603" s="3"/>
      <c r="C603" s="803"/>
      <c r="D603" s="817"/>
      <c r="E603" s="817"/>
      <c r="F603" s="806"/>
      <c r="G603" s="3"/>
      <c r="H603" s="806"/>
      <c r="I603" s="3"/>
      <c r="J603" s="806"/>
      <c r="K603" s="3"/>
      <c r="L603" s="806"/>
      <c r="M603" s="3"/>
      <c r="N603" s="817"/>
      <c r="O603" s="817"/>
    </row>
    <row r="604" spans="1:15">
      <c r="A604" s="3"/>
      <c r="B604" s="3"/>
      <c r="C604" s="803"/>
      <c r="D604" s="817"/>
      <c r="E604" s="817"/>
      <c r="F604" s="806"/>
      <c r="G604" s="3"/>
      <c r="H604" s="806"/>
      <c r="I604" s="3"/>
      <c r="J604" s="806"/>
      <c r="K604" s="3"/>
      <c r="L604" s="806"/>
      <c r="M604" s="3"/>
      <c r="N604" s="817"/>
      <c r="O604" s="817"/>
    </row>
    <row r="605" spans="1:15">
      <c r="A605" s="3"/>
      <c r="B605" s="3"/>
      <c r="C605" s="803"/>
      <c r="D605" s="817"/>
      <c r="E605" s="817"/>
      <c r="F605" s="806"/>
      <c r="G605" s="3"/>
      <c r="H605" s="806"/>
      <c r="I605" s="3"/>
      <c r="J605" s="806"/>
      <c r="K605" s="3"/>
      <c r="L605" s="806"/>
      <c r="M605" s="3"/>
      <c r="N605" s="817"/>
      <c r="O605" s="817"/>
    </row>
    <row r="606" spans="1:15">
      <c r="A606" s="3"/>
      <c r="B606" s="3"/>
      <c r="C606" s="803"/>
      <c r="D606" s="817"/>
      <c r="E606" s="817"/>
      <c r="F606" s="806"/>
      <c r="G606" s="3"/>
      <c r="H606" s="806"/>
      <c r="I606" s="3"/>
      <c r="J606" s="806"/>
      <c r="K606" s="3"/>
      <c r="L606" s="806"/>
      <c r="M606" s="3"/>
      <c r="N606" s="817"/>
      <c r="O606" s="817"/>
    </row>
    <row r="607" spans="1:15">
      <c r="A607" s="3"/>
      <c r="B607" s="3"/>
      <c r="C607" s="803"/>
      <c r="D607" s="817"/>
      <c r="E607" s="817"/>
      <c r="F607" s="806"/>
      <c r="G607" s="3"/>
      <c r="H607" s="806"/>
      <c r="I607" s="3"/>
      <c r="J607" s="806"/>
      <c r="K607" s="3"/>
      <c r="L607" s="806"/>
      <c r="M607" s="3"/>
      <c r="N607" s="817"/>
      <c r="O607" s="817"/>
    </row>
    <row r="608" spans="1:15">
      <c r="A608" s="3"/>
      <c r="B608" s="3"/>
      <c r="C608" s="803"/>
      <c r="D608" s="817"/>
      <c r="E608" s="817"/>
      <c r="F608" s="806"/>
      <c r="G608" s="3"/>
      <c r="H608" s="806"/>
      <c r="I608" s="3"/>
      <c r="J608" s="806"/>
      <c r="K608" s="3"/>
      <c r="L608" s="806"/>
      <c r="M608" s="3"/>
      <c r="N608" s="817"/>
      <c r="O608" s="817"/>
    </row>
    <row r="609" spans="1:15">
      <c r="A609" s="3"/>
      <c r="B609" s="3"/>
      <c r="C609" s="803"/>
      <c r="D609" s="817"/>
      <c r="E609" s="817"/>
      <c r="F609" s="806"/>
      <c r="G609" s="3"/>
      <c r="H609" s="806"/>
      <c r="I609" s="3"/>
      <c r="J609" s="806"/>
      <c r="K609" s="3"/>
      <c r="L609" s="806"/>
      <c r="M609" s="3"/>
      <c r="N609" s="817"/>
      <c r="O609" s="817"/>
    </row>
    <row r="610" spans="1:15">
      <c r="A610" s="3"/>
      <c r="B610" s="3"/>
      <c r="C610" s="803"/>
      <c r="D610" s="817"/>
      <c r="E610" s="817"/>
      <c r="F610" s="806"/>
      <c r="G610" s="3"/>
      <c r="H610" s="806"/>
      <c r="I610" s="3"/>
      <c r="J610" s="806"/>
      <c r="K610" s="3"/>
      <c r="L610" s="806"/>
      <c r="M610" s="3"/>
      <c r="N610" s="817"/>
      <c r="O610" s="817"/>
    </row>
    <row r="611" spans="1:15">
      <c r="A611" s="3"/>
      <c r="B611" s="3"/>
      <c r="C611" s="803"/>
      <c r="D611" s="817"/>
      <c r="E611" s="817"/>
      <c r="F611" s="806"/>
      <c r="G611" s="3"/>
      <c r="H611" s="806"/>
      <c r="I611" s="3"/>
      <c r="J611" s="806"/>
      <c r="K611" s="3"/>
      <c r="L611" s="806"/>
      <c r="M611" s="3"/>
      <c r="N611" s="817"/>
      <c r="O611" s="817"/>
    </row>
    <row r="612" spans="1:15">
      <c r="A612" s="3"/>
      <c r="B612" s="3"/>
      <c r="C612" s="803"/>
      <c r="D612" s="817"/>
      <c r="E612" s="817"/>
      <c r="F612" s="806"/>
      <c r="G612" s="3"/>
      <c r="H612" s="806"/>
      <c r="I612" s="3"/>
      <c r="J612" s="806"/>
      <c r="K612" s="3"/>
      <c r="L612" s="806"/>
      <c r="M612" s="3"/>
      <c r="N612" s="817"/>
      <c r="O612" s="817"/>
    </row>
    <row r="613" spans="1:15">
      <c r="A613" s="3"/>
      <c r="B613" s="3"/>
      <c r="C613" s="803"/>
      <c r="D613" s="817"/>
      <c r="E613" s="817"/>
      <c r="F613" s="806"/>
      <c r="G613" s="3"/>
      <c r="H613" s="806"/>
      <c r="I613" s="3"/>
      <c r="J613" s="806"/>
      <c r="K613" s="3"/>
      <c r="L613" s="806"/>
      <c r="M613" s="3"/>
      <c r="N613" s="817"/>
      <c r="O613" s="817"/>
    </row>
    <row r="614" spans="1:15">
      <c r="A614" s="3"/>
      <c r="B614" s="3"/>
      <c r="C614" s="803"/>
      <c r="D614" s="817"/>
      <c r="E614" s="817"/>
      <c r="F614" s="806"/>
      <c r="G614" s="3"/>
      <c r="H614" s="806"/>
      <c r="I614" s="3"/>
      <c r="J614" s="806"/>
      <c r="K614" s="3"/>
      <c r="L614" s="806"/>
      <c r="M614" s="3"/>
      <c r="N614" s="817"/>
      <c r="O614" s="817"/>
    </row>
    <row r="615" spans="1:15">
      <c r="A615" s="3"/>
      <c r="B615" s="3"/>
      <c r="C615" s="803"/>
      <c r="D615" s="817"/>
      <c r="E615" s="817"/>
      <c r="F615" s="806"/>
      <c r="G615" s="3"/>
      <c r="H615" s="806"/>
      <c r="I615" s="3"/>
      <c r="J615" s="806"/>
      <c r="K615" s="3"/>
      <c r="L615" s="806"/>
      <c r="M615" s="3"/>
      <c r="N615" s="817"/>
      <c r="O615" s="817"/>
    </row>
    <row r="616" spans="1:15">
      <c r="A616" s="3"/>
      <c r="B616" s="3"/>
      <c r="C616" s="803"/>
      <c r="D616" s="817"/>
      <c r="E616" s="817"/>
      <c r="F616" s="806"/>
      <c r="G616" s="3"/>
      <c r="H616" s="806"/>
      <c r="I616" s="3"/>
      <c r="J616" s="806"/>
      <c r="K616" s="3"/>
      <c r="L616" s="806"/>
      <c r="M616" s="3"/>
      <c r="N616" s="817"/>
      <c r="O616" s="817"/>
    </row>
    <row r="617" spans="1:15">
      <c r="A617" s="3"/>
      <c r="B617" s="3"/>
      <c r="C617" s="803"/>
      <c r="D617" s="817"/>
      <c r="E617" s="817"/>
      <c r="F617" s="806"/>
      <c r="G617" s="3"/>
      <c r="H617" s="806"/>
      <c r="I617" s="3"/>
      <c r="J617" s="806"/>
      <c r="K617" s="3"/>
      <c r="L617" s="806"/>
      <c r="M617" s="3"/>
      <c r="N617" s="817"/>
      <c r="O617" s="817"/>
    </row>
    <row r="618" spans="1:15">
      <c r="A618" s="3"/>
      <c r="B618" s="3"/>
      <c r="C618" s="803"/>
      <c r="D618" s="817"/>
      <c r="E618" s="817"/>
      <c r="F618" s="806"/>
      <c r="G618" s="3"/>
      <c r="H618" s="806"/>
      <c r="I618" s="3"/>
      <c r="J618" s="806"/>
      <c r="K618" s="3"/>
      <c r="L618" s="806"/>
      <c r="M618" s="3"/>
      <c r="N618" s="817"/>
      <c r="O618" s="817"/>
    </row>
    <row r="619" spans="1:15">
      <c r="A619" s="3"/>
      <c r="B619" s="3"/>
      <c r="C619" s="803"/>
      <c r="D619" s="817"/>
      <c r="E619" s="817"/>
      <c r="F619" s="806"/>
      <c r="G619" s="3"/>
      <c r="H619" s="806"/>
      <c r="I619" s="3"/>
      <c r="J619" s="806"/>
      <c r="K619" s="3"/>
      <c r="L619" s="806"/>
      <c r="M619" s="3"/>
      <c r="N619" s="817"/>
      <c r="O619" s="817"/>
    </row>
    <row r="620" spans="1:15">
      <c r="A620" s="3"/>
      <c r="B620" s="3"/>
      <c r="C620" s="803"/>
      <c r="D620" s="817"/>
      <c r="E620" s="817"/>
      <c r="F620" s="806"/>
      <c r="G620" s="3"/>
      <c r="H620" s="806"/>
      <c r="I620" s="3"/>
      <c r="J620" s="806"/>
      <c r="K620" s="3"/>
      <c r="L620" s="806"/>
      <c r="M620" s="3"/>
      <c r="N620" s="817"/>
      <c r="O620" s="817"/>
    </row>
    <row r="621" spans="1:15">
      <c r="A621" s="3"/>
      <c r="B621" s="3"/>
      <c r="C621" s="803"/>
      <c r="D621" s="817"/>
      <c r="E621" s="817"/>
      <c r="F621" s="806"/>
      <c r="G621" s="3"/>
      <c r="H621" s="806"/>
      <c r="I621" s="3"/>
      <c r="J621" s="806"/>
      <c r="K621" s="3"/>
      <c r="L621" s="806"/>
      <c r="M621" s="3"/>
      <c r="N621" s="817"/>
      <c r="O621" s="817"/>
    </row>
    <row r="622" spans="1:15">
      <c r="A622" s="3"/>
      <c r="B622" s="3"/>
      <c r="C622" s="803"/>
      <c r="D622" s="817"/>
      <c r="E622" s="817"/>
      <c r="F622" s="806"/>
      <c r="G622" s="3"/>
      <c r="H622" s="806"/>
      <c r="I622" s="3"/>
      <c r="J622" s="806"/>
      <c r="K622" s="3"/>
      <c r="L622" s="806"/>
      <c r="M622" s="3"/>
      <c r="N622" s="817"/>
      <c r="O622" s="817"/>
    </row>
    <row r="623" spans="1:15">
      <c r="A623" s="3"/>
      <c r="B623" s="3"/>
      <c r="C623" s="803"/>
      <c r="D623" s="817"/>
      <c r="E623" s="817"/>
      <c r="F623" s="806"/>
      <c r="G623" s="3"/>
      <c r="H623" s="806"/>
      <c r="I623" s="3"/>
      <c r="J623" s="806"/>
      <c r="K623" s="3"/>
      <c r="L623" s="806"/>
      <c r="M623" s="3"/>
      <c r="N623" s="817"/>
      <c r="O623" s="817"/>
    </row>
    <row r="624" spans="1:15">
      <c r="A624" s="3"/>
      <c r="B624" s="3"/>
      <c r="C624" s="803"/>
      <c r="D624" s="817"/>
      <c r="E624" s="817"/>
      <c r="F624" s="806"/>
      <c r="G624" s="3"/>
      <c r="H624" s="806"/>
      <c r="I624" s="3"/>
      <c r="J624" s="806"/>
      <c r="K624" s="3"/>
      <c r="L624" s="806"/>
      <c r="M624" s="3"/>
      <c r="N624" s="817"/>
      <c r="O624" s="817"/>
    </row>
    <row r="625" spans="1:15">
      <c r="A625" s="3"/>
      <c r="B625" s="3"/>
      <c r="C625" s="803"/>
      <c r="D625" s="817"/>
      <c r="E625" s="817"/>
      <c r="F625" s="806"/>
      <c r="G625" s="3"/>
      <c r="H625" s="806"/>
      <c r="I625" s="3"/>
      <c r="J625" s="806"/>
      <c r="K625" s="3"/>
      <c r="L625" s="806"/>
      <c r="M625" s="3"/>
      <c r="N625" s="817"/>
      <c r="O625" s="817"/>
    </row>
    <row r="626" spans="1:15">
      <c r="A626" s="3"/>
      <c r="B626" s="3"/>
      <c r="C626" s="803"/>
      <c r="D626" s="817"/>
      <c r="E626" s="817"/>
      <c r="F626" s="806"/>
      <c r="G626" s="3"/>
      <c r="H626" s="806"/>
      <c r="I626" s="3"/>
      <c r="J626" s="806"/>
      <c r="K626" s="3"/>
      <c r="L626" s="806"/>
      <c r="M626" s="3"/>
      <c r="N626" s="817"/>
      <c r="O626" s="817"/>
    </row>
    <row r="627" spans="1:15">
      <c r="A627" s="3"/>
      <c r="B627" s="3"/>
      <c r="C627" s="803"/>
      <c r="D627" s="817"/>
      <c r="E627" s="817"/>
      <c r="F627" s="806"/>
      <c r="G627" s="3"/>
      <c r="H627" s="806"/>
      <c r="I627" s="3"/>
      <c r="J627" s="806"/>
      <c r="K627" s="3"/>
      <c r="L627" s="806"/>
      <c r="M627" s="3"/>
      <c r="N627" s="817"/>
      <c r="O627" s="817"/>
    </row>
    <row r="628" spans="1:15">
      <c r="A628" s="3"/>
      <c r="B628" s="3"/>
      <c r="C628" s="803"/>
      <c r="D628" s="817"/>
      <c r="E628" s="817"/>
      <c r="F628" s="806"/>
      <c r="G628" s="3"/>
      <c r="H628" s="806"/>
      <c r="I628" s="3"/>
      <c r="J628" s="806"/>
      <c r="K628" s="3"/>
      <c r="L628" s="806"/>
      <c r="M628" s="3"/>
      <c r="N628" s="817"/>
      <c r="O628" s="817"/>
    </row>
    <row r="629" spans="1:15">
      <c r="A629" s="3"/>
      <c r="B629" s="3"/>
      <c r="C629" s="803"/>
      <c r="D629" s="817"/>
      <c r="E629" s="817"/>
      <c r="F629" s="806"/>
      <c r="G629" s="3"/>
      <c r="H629" s="806"/>
      <c r="I629" s="3"/>
      <c r="J629" s="806"/>
      <c r="K629" s="3"/>
      <c r="L629" s="806"/>
      <c r="M629" s="3"/>
      <c r="N629" s="817"/>
      <c r="O629" s="817"/>
    </row>
    <row r="630" spans="1:15">
      <c r="A630" s="3"/>
      <c r="B630" s="3"/>
      <c r="C630" s="803"/>
      <c r="D630" s="817"/>
      <c r="E630" s="817"/>
      <c r="F630" s="806"/>
      <c r="G630" s="3"/>
      <c r="H630" s="806"/>
      <c r="I630" s="3"/>
      <c r="J630" s="806"/>
      <c r="K630" s="3"/>
      <c r="L630" s="806"/>
      <c r="M630" s="3"/>
      <c r="N630" s="817"/>
      <c r="O630" s="817"/>
    </row>
    <row r="631" spans="1:15">
      <c r="A631" s="3"/>
      <c r="B631" s="3"/>
      <c r="C631" s="803"/>
      <c r="D631" s="817"/>
      <c r="E631" s="817"/>
      <c r="F631" s="806"/>
      <c r="G631" s="3"/>
      <c r="H631" s="806"/>
      <c r="I631" s="3"/>
      <c r="J631" s="806"/>
      <c r="K631" s="3"/>
      <c r="L631" s="806"/>
      <c r="M631" s="3"/>
      <c r="N631" s="817"/>
      <c r="O631" s="817"/>
    </row>
    <row r="632" spans="1:15">
      <c r="A632" s="3"/>
      <c r="B632" s="3"/>
      <c r="C632" s="803"/>
      <c r="D632" s="817"/>
      <c r="E632" s="817"/>
      <c r="F632" s="806"/>
      <c r="G632" s="3"/>
      <c r="H632" s="806"/>
      <c r="I632" s="3"/>
      <c r="J632" s="806"/>
      <c r="K632" s="3"/>
      <c r="L632" s="806"/>
      <c r="M632" s="3"/>
      <c r="N632" s="817"/>
      <c r="O632" s="817"/>
    </row>
    <row r="633" spans="1:15">
      <c r="A633" s="3"/>
      <c r="B633" s="3"/>
      <c r="C633" s="803"/>
      <c r="D633" s="817"/>
      <c r="E633" s="817"/>
      <c r="F633" s="806"/>
      <c r="G633" s="3"/>
      <c r="H633" s="806"/>
      <c r="I633" s="3"/>
      <c r="J633" s="806"/>
      <c r="K633" s="3"/>
      <c r="L633" s="806"/>
      <c r="M633" s="3"/>
      <c r="N633" s="817"/>
      <c r="O633" s="817"/>
    </row>
    <row r="634" spans="1:15">
      <c r="A634" s="3"/>
      <c r="B634" s="3"/>
      <c r="C634" s="803"/>
      <c r="D634" s="817"/>
      <c r="E634" s="817"/>
      <c r="F634" s="806"/>
      <c r="G634" s="3"/>
      <c r="H634" s="806"/>
      <c r="I634" s="3"/>
      <c r="J634" s="806"/>
      <c r="K634" s="3"/>
      <c r="L634" s="806"/>
      <c r="M634" s="3"/>
      <c r="N634" s="817"/>
      <c r="O634" s="817"/>
    </row>
    <row r="635" spans="1:15">
      <c r="A635" s="3"/>
      <c r="B635" s="3"/>
      <c r="C635" s="803"/>
      <c r="D635" s="817"/>
      <c r="E635" s="817"/>
      <c r="F635" s="806"/>
      <c r="G635" s="3"/>
      <c r="H635" s="806"/>
      <c r="I635" s="3"/>
      <c r="J635" s="806"/>
      <c r="K635" s="3"/>
      <c r="L635" s="806"/>
      <c r="M635" s="3"/>
      <c r="N635" s="817"/>
      <c r="O635" s="817"/>
    </row>
    <row r="636" spans="1:15">
      <c r="A636" s="3"/>
      <c r="B636" s="3"/>
      <c r="C636" s="803"/>
      <c r="D636" s="817"/>
      <c r="E636" s="817"/>
      <c r="F636" s="806"/>
      <c r="G636" s="3"/>
      <c r="H636" s="806"/>
      <c r="I636" s="3"/>
      <c r="J636" s="806"/>
      <c r="K636" s="3"/>
      <c r="L636" s="806"/>
      <c r="M636" s="3"/>
      <c r="N636" s="817"/>
      <c r="O636" s="817"/>
    </row>
    <row r="637" spans="1:15">
      <c r="A637" s="3"/>
      <c r="B637" s="3"/>
      <c r="C637" s="803"/>
      <c r="D637" s="817"/>
      <c r="E637" s="817"/>
      <c r="F637" s="806"/>
      <c r="G637" s="3"/>
      <c r="H637" s="806"/>
      <c r="I637" s="3"/>
      <c r="J637" s="806"/>
      <c r="K637" s="3"/>
      <c r="L637" s="806"/>
      <c r="M637" s="3"/>
      <c r="N637" s="817"/>
      <c r="O637" s="817"/>
    </row>
    <row r="638" spans="1:15">
      <c r="A638" s="3"/>
      <c r="B638" s="3"/>
      <c r="C638" s="803"/>
      <c r="D638" s="817"/>
      <c r="E638" s="817"/>
      <c r="F638" s="806"/>
      <c r="G638" s="3"/>
      <c r="H638" s="806"/>
      <c r="I638" s="3"/>
      <c r="J638" s="806"/>
      <c r="K638" s="3"/>
      <c r="L638" s="806"/>
      <c r="M638" s="3"/>
      <c r="N638" s="817"/>
      <c r="O638" s="817"/>
    </row>
    <row r="639" spans="1:15">
      <c r="A639" s="3"/>
      <c r="B639" s="3"/>
      <c r="C639" s="803"/>
      <c r="D639" s="817"/>
      <c r="E639" s="817"/>
      <c r="F639" s="806"/>
      <c r="G639" s="3"/>
      <c r="H639" s="806"/>
      <c r="I639" s="3"/>
      <c r="J639" s="806"/>
      <c r="K639" s="3"/>
      <c r="L639" s="806"/>
      <c r="M639" s="3"/>
      <c r="N639" s="817"/>
      <c r="O639" s="817"/>
    </row>
    <row r="640" spans="1:15">
      <c r="A640" s="3"/>
      <c r="B640" s="3"/>
      <c r="C640" s="803"/>
      <c r="D640" s="817"/>
      <c r="E640" s="817"/>
      <c r="F640" s="806"/>
      <c r="G640" s="3"/>
      <c r="H640" s="806"/>
      <c r="I640" s="3"/>
      <c r="J640" s="806"/>
      <c r="K640" s="3"/>
      <c r="L640" s="806"/>
      <c r="M640" s="3"/>
      <c r="N640" s="817"/>
      <c r="O640" s="817"/>
    </row>
    <row r="641" spans="1:15">
      <c r="A641" s="3"/>
      <c r="B641" s="3"/>
      <c r="C641" s="803"/>
      <c r="D641" s="817"/>
      <c r="E641" s="817"/>
      <c r="F641" s="806"/>
      <c r="G641" s="3"/>
      <c r="H641" s="806"/>
      <c r="I641" s="3"/>
      <c r="J641" s="806"/>
      <c r="K641" s="3"/>
      <c r="L641" s="806"/>
      <c r="M641" s="3"/>
      <c r="N641" s="817"/>
      <c r="O641" s="817"/>
    </row>
    <row r="642" spans="1:15">
      <c r="A642" s="3"/>
      <c r="B642" s="3"/>
      <c r="C642" s="803"/>
      <c r="D642" s="817"/>
      <c r="E642" s="817"/>
      <c r="F642" s="806"/>
      <c r="G642" s="3"/>
      <c r="H642" s="806"/>
      <c r="I642" s="3"/>
      <c r="J642" s="806"/>
      <c r="K642" s="3"/>
      <c r="L642" s="806"/>
      <c r="M642" s="3"/>
      <c r="N642" s="817"/>
      <c r="O642" s="817"/>
    </row>
    <row r="643" spans="1:15">
      <c r="A643" s="3"/>
      <c r="B643" s="3"/>
      <c r="C643" s="803"/>
      <c r="D643" s="817"/>
      <c r="E643" s="817"/>
      <c r="F643" s="806"/>
      <c r="G643" s="3"/>
      <c r="H643" s="806"/>
      <c r="I643" s="3"/>
      <c r="J643" s="806"/>
      <c r="K643" s="3"/>
      <c r="L643" s="806"/>
      <c r="M643" s="3"/>
      <c r="N643" s="817"/>
      <c r="O643" s="817"/>
    </row>
    <row r="644" spans="1:15">
      <c r="A644" s="3"/>
      <c r="B644" s="3"/>
      <c r="C644" s="803"/>
      <c r="D644" s="817"/>
      <c r="E644" s="817"/>
      <c r="F644" s="806"/>
      <c r="G644" s="3"/>
      <c r="H644" s="806"/>
      <c r="I644" s="3"/>
      <c r="J644" s="806"/>
      <c r="K644" s="3"/>
      <c r="L644" s="806"/>
      <c r="M644" s="3"/>
      <c r="N644" s="817"/>
      <c r="O644" s="817"/>
    </row>
    <row r="645" spans="1:15">
      <c r="A645" s="3"/>
      <c r="B645" s="3"/>
      <c r="C645" s="803"/>
      <c r="D645" s="817"/>
      <c r="E645" s="817"/>
      <c r="F645" s="806"/>
      <c r="G645" s="3"/>
      <c r="H645" s="806"/>
      <c r="I645" s="3"/>
      <c r="J645" s="806"/>
      <c r="K645" s="3"/>
      <c r="L645" s="806"/>
      <c r="M645" s="3"/>
      <c r="N645" s="817"/>
      <c r="O645" s="817"/>
    </row>
    <row r="646" spans="1:15">
      <c r="A646" s="3"/>
      <c r="B646" s="3"/>
      <c r="C646" s="803"/>
      <c r="D646" s="817"/>
      <c r="E646" s="817"/>
      <c r="F646" s="806"/>
      <c r="G646" s="3"/>
      <c r="H646" s="806"/>
      <c r="I646" s="3"/>
      <c r="J646" s="806"/>
      <c r="K646" s="3"/>
      <c r="L646" s="806"/>
      <c r="M646" s="3"/>
      <c r="N646" s="817"/>
      <c r="O646" s="817"/>
    </row>
    <row r="647" spans="1:15">
      <c r="A647" s="3"/>
      <c r="B647" s="3"/>
      <c r="C647" s="803"/>
      <c r="D647" s="817"/>
      <c r="E647" s="817"/>
      <c r="F647" s="806"/>
      <c r="G647" s="3"/>
      <c r="H647" s="806"/>
      <c r="I647" s="3"/>
      <c r="J647" s="806"/>
      <c r="K647" s="3"/>
      <c r="L647" s="806"/>
      <c r="M647" s="3"/>
      <c r="N647" s="817"/>
      <c r="O647" s="817"/>
    </row>
    <row r="648" spans="1:15">
      <c r="A648" s="3"/>
      <c r="B648" s="3"/>
      <c r="C648" s="803"/>
      <c r="D648" s="817"/>
      <c r="E648" s="817"/>
      <c r="F648" s="806"/>
      <c r="G648" s="3"/>
      <c r="H648" s="806"/>
      <c r="I648" s="3"/>
      <c r="J648" s="806"/>
      <c r="K648" s="3"/>
      <c r="L648" s="806"/>
      <c r="M648" s="3"/>
      <c r="N648" s="817"/>
      <c r="O648" s="817"/>
    </row>
    <row r="649" spans="1:15">
      <c r="A649" s="3"/>
      <c r="B649" s="3"/>
      <c r="C649" s="803"/>
      <c r="D649" s="817"/>
      <c r="E649" s="817"/>
      <c r="F649" s="806"/>
      <c r="G649" s="3"/>
      <c r="H649" s="806"/>
      <c r="I649" s="3"/>
      <c r="J649" s="806"/>
      <c r="K649" s="3"/>
      <c r="L649" s="806"/>
      <c r="M649" s="3"/>
      <c r="N649" s="817"/>
      <c r="O649" s="817"/>
    </row>
    <row r="650" spans="1:15">
      <c r="A650" s="3"/>
      <c r="B650" s="3"/>
      <c r="C650" s="803"/>
      <c r="D650" s="817"/>
      <c r="E650" s="817"/>
      <c r="F650" s="806"/>
      <c r="G650" s="3"/>
      <c r="H650" s="806"/>
      <c r="I650" s="3"/>
      <c r="J650" s="806"/>
      <c r="K650" s="3"/>
      <c r="L650" s="806"/>
      <c r="M650" s="3"/>
      <c r="N650" s="817"/>
      <c r="O650" s="817"/>
    </row>
    <row r="651" spans="1:15">
      <c r="A651" s="3"/>
      <c r="B651" s="3"/>
      <c r="C651" s="803"/>
      <c r="D651" s="817"/>
      <c r="E651" s="817"/>
      <c r="F651" s="806"/>
      <c r="G651" s="3"/>
      <c r="H651" s="806"/>
      <c r="I651" s="3"/>
      <c r="J651" s="806"/>
      <c r="K651" s="3"/>
      <c r="L651" s="806"/>
      <c r="M651" s="3"/>
      <c r="N651" s="817"/>
      <c r="O651" s="817"/>
    </row>
    <row r="652" spans="1:15">
      <c r="A652" s="3"/>
      <c r="B652" s="3"/>
      <c r="C652" s="803"/>
      <c r="D652" s="817"/>
      <c r="E652" s="817"/>
      <c r="F652" s="806"/>
      <c r="G652" s="3"/>
      <c r="H652" s="806"/>
      <c r="I652" s="3"/>
      <c r="J652" s="806"/>
      <c r="K652" s="3"/>
      <c r="L652" s="806"/>
      <c r="M652" s="3"/>
      <c r="N652" s="817"/>
      <c r="O652" s="817"/>
    </row>
    <row r="653" spans="1:15">
      <c r="A653" s="3"/>
      <c r="B653" s="3"/>
      <c r="C653" s="803"/>
      <c r="D653" s="817"/>
      <c r="E653" s="817"/>
      <c r="F653" s="806"/>
      <c r="G653" s="3"/>
      <c r="H653" s="806"/>
      <c r="I653" s="3"/>
      <c r="J653" s="806"/>
      <c r="K653" s="3"/>
      <c r="L653" s="806"/>
      <c r="M653" s="3"/>
      <c r="N653" s="817"/>
      <c r="O653" s="817"/>
    </row>
    <row r="654" spans="1:15">
      <c r="A654" s="3"/>
      <c r="B654" s="3"/>
      <c r="C654" s="803"/>
      <c r="D654" s="817"/>
      <c r="E654" s="817"/>
      <c r="F654" s="806"/>
      <c r="G654" s="3"/>
      <c r="H654" s="806"/>
      <c r="I654" s="3"/>
      <c r="J654" s="806"/>
      <c r="K654" s="3"/>
      <c r="L654" s="806"/>
      <c r="M654" s="3"/>
      <c r="N654" s="817"/>
      <c r="O654" s="817"/>
    </row>
    <row r="655" spans="1:15">
      <c r="A655" s="3"/>
      <c r="B655" s="3"/>
      <c r="C655" s="803"/>
      <c r="D655" s="817"/>
      <c r="E655" s="817"/>
      <c r="F655" s="806"/>
      <c r="G655" s="3"/>
      <c r="H655" s="806"/>
      <c r="I655" s="3"/>
      <c r="J655" s="806"/>
      <c r="K655" s="3"/>
      <c r="L655" s="806"/>
      <c r="M655" s="3"/>
      <c r="N655" s="817"/>
      <c r="O655" s="817"/>
    </row>
    <row r="656" spans="1:15">
      <c r="A656" s="3"/>
      <c r="B656" s="3"/>
      <c r="C656" s="803"/>
      <c r="D656" s="817"/>
      <c r="E656" s="817"/>
      <c r="F656" s="806"/>
      <c r="G656" s="3"/>
      <c r="H656" s="806"/>
      <c r="I656" s="3"/>
      <c r="J656" s="806"/>
      <c r="K656" s="3"/>
      <c r="L656" s="806"/>
      <c r="M656" s="3"/>
      <c r="N656" s="817"/>
      <c r="O656" s="817"/>
    </row>
    <row r="657" spans="1:15">
      <c r="A657" s="3"/>
      <c r="B657" s="3"/>
      <c r="C657" s="803"/>
      <c r="D657" s="817"/>
      <c r="E657" s="817"/>
      <c r="F657" s="806"/>
      <c r="G657" s="3"/>
      <c r="H657" s="806"/>
      <c r="I657" s="3"/>
      <c r="J657" s="806"/>
      <c r="K657" s="3"/>
      <c r="L657" s="806"/>
      <c r="M657" s="3"/>
      <c r="N657" s="817"/>
      <c r="O657" s="817"/>
    </row>
    <row r="658" spans="1:15">
      <c r="A658" s="3"/>
      <c r="B658" s="3"/>
      <c r="C658" s="803"/>
      <c r="D658" s="817"/>
      <c r="E658" s="817"/>
      <c r="F658" s="806"/>
      <c r="G658" s="3"/>
      <c r="H658" s="806"/>
      <c r="I658" s="3"/>
      <c r="J658" s="806"/>
      <c r="K658" s="3"/>
      <c r="L658" s="806"/>
      <c r="M658" s="3"/>
      <c r="N658" s="817"/>
      <c r="O658" s="817"/>
    </row>
    <row r="659" spans="1:15">
      <c r="A659" s="3"/>
      <c r="B659" s="3"/>
      <c r="C659" s="803"/>
      <c r="D659" s="817"/>
      <c r="E659" s="817"/>
      <c r="F659" s="806"/>
      <c r="G659" s="3"/>
      <c r="H659" s="806"/>
      <c r="I659" s="3"/>
      <c r="J659" s="806"/>
      <c r="K659" s="3"/>
      <c r="L659" s="806"/>
      <c r="M659" s="3"/>
      <c r="N659" s="817"/>
      <c r="O659" s="817"/>
    </row>
    <row r="660" spans="1:15">
      <c r="A660" s="3"/>
      <c r="B660" s="3"/>
      <c r="C660" s="803"/>
      <c r="D660" s="817"/>
      <c r="E660" s="817"/>
      <c r="F660" s="806"/>
      <c r="G660" s="3"/>
      <c r="H660" s="806"/>
      <c r="I660" s="3"/>
      <c r="J660" s="806"/>
      <c r="K660" s="3"/>
      <c r="L660" s="806"/>
      <c r="M660" s="3"/>
      <c r="N660" s="817"/>
      <c r="O660" s="817"/>
    </row>
    <row r="661" spans="1:15">
      <c r="A661" s="3"/>
      <c r="B661" s="3"/>
      <c r="C661" s="803"/>
      <c r="D661" s="817"/>
      <c r="E661" s="817"/>
      <c r="F661" s="806"/>
      <c r="G661" s="3"/>
      <c r="H661" s="806"/>
      <c r="I661" s="3"/>
      <c r="J661" s="806"/>
      <c r="K661" s="3"/>
      <c r="L661" s="806"/>
      <c r="M661" s="3"/>
      <c r="N661" s="817"/>
      <c r="O661" s="817"/>
    </row>
    <row r="662" spans="1:15">
      <c r="A662" s="3"/>
      <c r="B662" s="3"/>
      <c r="C662" s="803"/>
      <c r="D662" s="817"/>
      <c r="E662" s="817"/>
      <c r="F662" s="806"/>
      <c r="G662" s="3"/>
      <c r="H662" s="806"/>
      <c r="I662" s="3"/>
      <c r="J662" s="806"/>
      <c r="K662" s="3"/>
      <c r="L662" s="806"/>
      <c r="M662" s="3"/>
      <c r="N662" s="817"/>
      <c r="O662" s="817"/>
    </row>
    <row r="663" spans="1:15">
      <c r="A663" s="3"/>
      <c r="B663" s="3"/>
      <c r="C663" s="803"/>
      <c r="D663" s="817"/>
      <c r="E663" s="817"/>
      <c r="F663" s="806"/>
      <c r="G663" s="3"/>
      <c r="H663" s="806"/>
      <c r="I663" s="3"/>
      <c r="J663" s="806"/>
      <c r="K663" s="3"/>
      <c r="L663" s="806"/>
      <c r="M663" s="3"/>
      <c r="N663" s="817"/>
      <c r="O663" s="817"/>
    </row>
    <row r="664" spans="1:15">
      <c r="A664" s="3"/>
      <c r="B664" s="3"/>
      <c r="C664" s="803"/>
      <c r="D664" s="817"/>
      <c r="E664" s="817"/>
      <c r="F664" s="806"/>
      <c r="G664" s="3"/>
      <c r="H664" s="806"/>
      <c r="I664" s="3"/>
      <c r="J664" s="806"/>
      <c r="K664" s="3"/>
      <c r="L664" s="806"/>
      <c r="M664" s="3"/>
      <c r="N664" s="817"/>
      <c r="O664" s="817"/>
    </row>
    <row r="665" spans="1:15">
      <c r="A665" s="3"/>
      <c r="B665" s="3"/>
      <c r="C665" s="803"/>
      <c r="D665" s="817"/>
      <c r="E665" s="817"/>
      <c r="F665" s="806"/>
      <c r="G665" s="3"/>
      <c r="H665" s="806"/>
      <c r="I665" s="3"/>
      <c r="J665" s="806"/>
      <c r="K665" s="3"/>
      <c r="L665" s="806"/>
      <c r="M665" s="3"/>
      <c r="N665" s="817"/>
      <c r="O665" s="817"/>
    </row>
    <row r="666" spans="1:15">
      <c r="A666" s="3"/>
      <c r="B666" s="3"/>
      <c r="C666" s="803"/>
      <c r="D666" s="817"/>
      <c r="E666" s="817"/>
      <c r="F666" s="806"/>
      <c r="G666" s="3"/>
      <c r="H666" s="806"/>
      <c r="I666" s="3"/>
      <c r="J666" s="806"/>
      <c r="K666" s="3"/>
      <c r="L666" s="806"/>
      <c r="M666" s="3"/>
      <c r="N666" s="817"/>
      <c r="O666" s="817"/>
    </row>
    <row r="667" spans="1:15">
      <c r="A667" s="3"/>
      <c r="B667" s="3"/>
      <c r="C667" s="803"/>
      <c r="D667" s="817"/>
      <c r="E667" s="817"/>
      <c r="F667" s="806"/>
      <c r="G667" s="3"/>
      <c r="H667" s="806"/>
      <c r="I667" s="3"/>
      <c r="J667" s="806"/>
      <c r="K667" s="3"/>
      <c r="L667" s="806"/>
      <c r="M667" s="3"/>
      <c r="N667" s="817"/>
      <c r="O667" s="817"/>
    </row>
    <row r="668" spans="1:15">
      <c r="A668" s="3"/>
      <c r="B668" s="3"/>
      <c r="C668" s="803"/>
      <c r="D668" s="817"/>
      <c r="E668" s="817"/>
      <c r="F668" s="806"/>
      <c r="G668" s="3"/>
      <c r="H668" s="806"/>
      <c r="I668" s="3"/>
      <c r="J668" s="806"/>
      <c r="K668" s="3"/>
      <c r="L668" s="806"/>
      <c r="M668" s="3"/>
      <c r="N668" s="817"/>
      <c r="O668" s="817"/>
    </row>
    <row r="669" spans="1:15">
      <c r="A669" s="3"/>
      <c r="B669" s="3"/>
      <c r="C669" s="803"/>
      <c r="D669" s="817"/>
      <c r="E669" s="817"/>
      <c r="F669" s="806"/>
      <c r="G669" s="3"/>
      <c r="H669" s="806"/>
      <c r="I669" s="3"/>
      <c r="J669" s="806"/>
      <c r="K669" s="3"/>
      <c r="L669" s="806"/>
      <c r="M669" s="3"/>
      <c r="N669" s="817"/>
      <c r="O669" s="817"/>
    </row>
    <row r="670" spans="1:15">
      <c r="A670" s="3"/>
      <c r="B670" s="3"/>
      <c r="C670" s="803"/>
      <c r="D670" s="817"/>
      <c r="E670" s="817"/>
      <c r="F670" s="806"/>
      <c r="G670" s="3"/>
      <c r="H670" s="806"/>
      <c r="I670" s="3"/>
      <c r="J670" s="806"/>
      <c r="K670" s="3"/>
      <c r="L670" s="806"/>
      <c r="M670" s="3"/>
      <c r="N670" s="817"/>
      <c r="O670" s="817"/>
    </row>
    <row r="671" spans="1:15">
      <c r="A671" s="3"/>
      <c r="B671" s="3"/>
      <c r="C671" s="803"/>
      <c r="D671" s="817"/>
      <c r="E671" s="817"/>
      <c r="F671" s="806"/>
      <c r="G671" s="3"/>
      <c r="H671" s="806"/>
      <c r="I671" s="3"/>
      <c r="J671" s="806"/>
      <c r="K671" s="3"/>
      <c r="L671" s="806"/>
      <c r="M671" s="3"/>
      <c r="N671" s="817"/>
      <c r="O671" s="817"/>
    </row>
    <row r="672" spans="1:15">
      <c r="A672" s="3"/>
      <c r="B672" s="3"/>
      <c r="C672" s="803"/>
      <c r="D672" s="817"/>
      <c r="E672" s="817"/>
      <c r="F672" s="806"/>
      <c r="G672" s="3"/>
      <c r="H672" s="806"/>
      <c r="I672" s="3"/>
      <c r="J672" s="806"/>
      <c r="K672" s="3"/>
      <c r="L672" s="806"/>
      <c r="M672" s="3"/>
      <c r="N672" s="817"/>
      <c r="O672" s="817"/>
    </row>
    <row r="673" spans="1:15">
      <c r="A673" s="3"/>
      <c r="B673" s="3"/>
      <c r="C673" s="803"/>
      <c r="D673" s="817"/>
      <c r="E673" s="817"/>
      <c r="F673" s="806"/>
      <c r="G673" s="3"/>
      <c r="H673" s="806"/>
      <c r="I673" s="3"/>
      <c r="J673" s="806"/>
      <c r="K673" s="3"/>
      <c r="L673" s="806"/>
      <c r="M673" s="3"/>
      <c r="N673" s="817"/>
      <c r="O673" s="817"/>
    </row>
    <row r="674" spans="1:15">
      <c r="A674" s="3"/>
      <c r="B674" s="3"/>
      <c r="C674" s="803"/>
      <c r="D674" s="817"/>
      <c r="E674" s="817"/>
      <c r="F674" s="806"/>
      <c r="G674" s="3"/>
      <c r="H674" s="806"/>
      <c r="I674" s="3"/>
      <c r="J674" s="806"/>
      <c r="K674" s="3"/>
      <c r="L674" s="806"/>
      <c r="M674" s="3"/>
      <c r="N674" s="817"/>
      <c r="O674" s="817"/>
    </row>
    <row r="675" spans="1:15">
      <c r="A675" s="3"/>
      <c r="B675" s="3"/>
      <c r="C675" s="803"/>
      <c r="D675" s="817"/>
      <c r="E675" s="817"/>
      <c r="F675" s="806"/>
      <c r="G675" s="3"/>
      <c r="H675" s="806"/>
      <c r="I675" s="3"/>
      <c r="J675" s="806"/>
      <c r="K675" s="3"/>
      <c r="L675" s="806"/>
      <c r="M675" s="3"/>
      <c r="N675" s="817"/>
      <c r="O675" s="817"/>
    </row>
    <row r="676" spans="1:15">
      <c r="A676" s="3"/>
      <c r="B676" s="3"/>
      <c r="C676" s="803"/>
      <c r="D676" s="817"/>
      <c r="E676" s="817"/>
      <c r="F676" s="806"/>
      <c r="G676" s="3"/>
      <c r="H676" s="806"/>
      <c r="I676" s="3"/>
      <c r="J676" s="806"/>
      <c r="K676" s="3"/>
      <c r="L676" s="806"/>
      <c r="M676" s="3"/>
      <c r="N676" s="817"/>
      <c r="O676" s="817"/>
    </row>
    <row r="677" spans="1:15">
      <c r="A677" s="3"/>
      <c r="B677" s="3"/>
      <c r="C677" s="803"/>
      <c r="D677" s="817"/>
      <c r="E677" s="817"/>
      <c r="F677" s="806"/>
      <c r="G677" s="3"/>
      <c r="H677" s="806"/>
      <c r="I677" s="3"/>
      <c r="J677" s="806"/>
      <c r="K677" s="3"/>
      <c r="L677" s="806"/>
      <c r="M677" s="3"/>
      <c r="N677" s="817"/>
      <c r="O677" s="817"/>
    </row>
    <row r="678" spans="1:15">
      <c r="A678" s="3"/>
      <c r="B678" s="3"/>
      <c r="C678" s="803"/>
      <c r="D678" s="817"/>
      <c r="E678" s="817"/>
      <c r="F678" s="806"/>
      <c r="G678" s="3"/>
      <c r="H678" s="806"/>
      <c r="I678" s="3"/>
      <c r="J678" s="806"/>
      <c r="K678" s="3"/>
      <c r="L678" s="806"/>
      <c r="M678" s="3"/>
      <c r="N678" s="817"/>
      <c r="O678" s="817"/>
    </row>
    <row r="679" spans="1:15">
      <c r="A679" s="3"/>
      <c r="B679" s="3"/>
      <c r="C679" s="803"/>
      <c r="D679" s="817"/>
      <c r="E679" s="817"/>
      <c r="F679" s="806"/>
      <c r="G679" s="3"/>
      <c r="H679" s="806"/>
      <c r="I679" s="3"/>
      <c r="J679" s="806"/>
      <c r="K679" s="3"/>
      <c r="L679" s="806"/>
      <c r="M679" s="3"/>
      <c r="N679" s="817"/>
      <c r="O679" s="817"/>
    </row>
    <row r="680" spans="1:15">
      <c r="A680" s="3"/>
      <c r="B680" s="3"/>
      <c r="C680" s="803"/>
      <c r="D680" s="817"/>
      <c r="E680" s="817"/>
      <c r="F680" s="806"/>
      <c r="G680" s="3"/>
      <c r="H680" s="806"/>
      <c r="I680" s="3"/>
      <c r="J680" s="806"/>
      <c r="K680" s="3"/>
      <c r="L680" s="806"/>
      <c r="M680" s="3"/>
      <c r="N680" s="817"/>
      <c r="O680" s="817"/>
    </row>
    <row r="681" spans="1:15">
      <c r="A681" s="3"/>
      <c r="B681" s="3"/>
      <c r="C681" s="803"/>
      <c r="D681" s="817"/>
      <c r="E681" s="817"/>
      <c r="F681" s="806"/>
      <c r="G681" s="3"/>
      <c r="H681" s="806"/>
      <c r="I681" s="3"/>
      <c r="J681" s="806"/>
      <c r="K681" s="3"/>
      <c r="L681" s="806"/>
      <c r="M681" s="3"/>
      <c r="N681" s="817"/>
      <c r="O681" s="817"/>
    </row>
    <row r="682" spans="1:15">
      <c r="A682" s="3"/>
      <c r="B682" s="3"/>
      <c r="C682" s="803"/>
      <c r="D682" s="817"/>
      <c r="E682" s="817"/>
      <c r="F682" s="806"/>
      <c r="G682" s="3"/>
      <c r="H682" s="806"/>
      <c r="I682" s="3"/>
      <c r="J682" s="806"/>
      <c r="K682" s="3"/>
      <c r="L682" s="806"/>
      <c r="M682" s="3"/>
      <c r="N682" s="817"/>
      <c r="O682" s="817"/>
    </row>
    <row r="683" spans="1:15">
      <c r="A683" s="3"/>
      <c r="B683" s="3"/>
      <c r="C683" s="803"/>
      <c r="D683" s="817"/>
      <c r="E683" s="817"/>
      <c r="F683" s="806"/>
      <c r="G683" s="3"/>
      <c r="H683" s="806"/>
      <c r="I683" s="3"/>
      <c r="J683" s="806"/>
      <c r="K683" s="3"/>
      <c r="L683" s="806"/>
      <c r="M683" s="3"/>
      <c r="N683" s="817"/>
      <c r="O683" s="817"/>
    </row>
    <row r="684" spans="1:15">
      <c r="A684" s="3"/>
      <c r="B684" s="3"/>
      <c r="C684" s="803"/>
      <c r="D684" s="817"/>
      <c r="E684" s="817"/>
      <c r="F684" s="806"/>
      <c r="G684" s="3"/>
      <c r="H684" s="806"/>
      <c r="I684" s="3"/>
      <c r="J684" s="806"/>
      <c r="K684" s="3"/>
      <c r="L684" s="806"/>
      <c r="M684" s="3"/>
      <c r="N684" s="817"/>
      <c r="O684" s="817"/>
    </row>
    <row r="685" spans="1:15">
      <c r="A685" s="3"/>
      <c r="B685" s="3"/>
      <c r="C685" s="803"/>
      <c r="D685" s="817"/>
      <c r="E685" s="817"/>
      <c r="F685" s="806"/>
      <c r="G685" s="3"/>
      <c r="H685" s="806"/>
      <c r="I685" s="3"/>
      <c r="J685" s="806"/>
      <c r="K685" s="3"/>
      <c r="L685" s="806"/>
      <c r="M685" s="3"/>
      <c r="N685" s="817"/>
      <c r="O685" s="817"/>
    </row>
    <row r="686" spans="1:15">
      <c r="A686" s="3"/>
      <c r="B686" s="3"/>
      <c r="C686" s="803"/>
      <c r="D686" s="817"/>
      <c r="E686" s="817"/>
      <c r="F686" s="806"/>
      <c r="G686" s="3"/>
      <c r="H686" s="806"/>
      <c r="I686" s="3"/>
      <c r="J686" s="806"/>
      <c r="K686" s="3"/>
      <c r="L686" s="806"/>
      <c r="M686" s="3"/>
      <c r="N686" s="817"/>
      <c r="O686" s="817"/>
    </row>
    <row r="687" spans="1:15">
      <c r="A687" s="3"/>
      <c r="B687" s="3"/>
      <c r="C687" s="803"/>
      <c r="D687" s="817"/>
      <c r="E687" s="817"/>
      <c r="F687" s="806"/>
      <c r="G687" s="3"/>
      <c r="H687" s="806"/>
      <c r="I687" s="3"/>
      <c r="J687" s="806"/>
      <c r="K687" s="3"/>
      <c r="L687" s="806"/>
      <c r="M687" s="3"/>
      <c r="N687" s="817"/>
      <c r="O687" s="817"/>
    </row>
    <row r="688" spans="1:15">
      <c r="A688" s="3"/>
      <c r="B688" s="3"/>
      <c r="C688" s="803"/>
      <c r="D688" s="817"/>
      <c r="E688" s="817"/>
      <c r="F688" s="806"/>
      <c r="G688" s="3"/>
      <c r="H688" s="806"/>
      <c r="I688" s="3"/>
      <c r="J688" s="806"/>
      <c r="K688" s="3"/>
      <c r="L688" s="806"/>
      <c r="M688" s="3"/>
      <c r="N688" s="817"/>
      <c r="O688" s="817"/>
    </row>
    <row r="689" spans="1:15">
      <c r="A689" s="3"/>
      <c r="B689" s="3"/>
      <c r="C689" s="803"/>
      <c r="D689" s="817"/>
      <c r="E689" s="817"/>
      <c r="F689" s="806"/>
      <c r="G689" s="3"/>
      <c r="H689" s="806"/>
      <c r="I689" s="3"/>
      <c r="J689" s="806"/>
      <c r="K689" s="3"/>
      <c r="L689" s="806"/>
      <c r="M689" s="3"/>
      <c r="N689" s="817"/>
      <c r="O689" s="817"/>
    </row>
    <row r="690" spans="1:15">
      <c r="A690" s="3"/>
      <c r="B690" s="3"/>
      <c r="C690" s="803"/>
      <c r="D690" s="817"/>
      <c r="E690" s="817"/>
      <c r="F690" s="806"/>
      <c r="G690" s="3"/>
      <c r="H690" s="806"/>
      <c r="I690" s="3"/>
      <c r="J690" s="806"/>
      <c r="K690" s="3"/>
      <c r="L690" s="806"/>
      <c r="M690" s="3"/>
      <c r="N690" s="817"/>
      <c r="O690" s="817"/>
    </row>
    <row r="691" spans="1:15">
      <c r="A691" s="3"/>
      <c r="B691" s="3"/>
      <c r="C691" s="803"/>
      <c r="D691" s="817"/>
      <c r="E691" s="817"/>
      <c r="F691" s="806"/>
      <c r="G691" s="3"/>
      <c r="H691" s="806"/>
      <c r="I691" s="3"/>
      <c r="J691" s="806"/>
      <c r="K691" s="3"/>
      <c r="L691" s="806"/>
      <c r="M691" s="3"/>
      <c r="N691" s="817"/>
      <c r="O691" s="817"/>
    </row>
    <row r="692" spans="1:15">
      <c r="A692" s="3"/>
      <c r="B692" s="3"/>
      <c r="C692" s="803"/>
      <c r="D692" s="817"/>
      <c r="E692" s="817"/>
      <c r="F692" s="806"/>
      <c r="G692" s="3"/>
      <c r="H692" s="806"/>
      <c r="I692" s="3"/>
      <c r="J692" s="806"/>
      <c r="K692" s="3"/>
      <c r="L692" s="806"/>
      <c r="M692" s="3"/>
      <c r="N692" s="817"/>
      <c r="O692" s="817"/>
    </row>
    <row r="693" spans="1:15">
      <c r="A693" s="3"/>
      <c r="B693" s="3"/>
      <c r="C693" s="803"/>
      <c r="D693" s="817"/>
      <c r="E693" s="817"/>
      <c r="F693" s="806"/>
      <c r="G693" s="3"/>
      <c r="H693" s="806"/>
      <c r="I693" s="3"/>
      <c r="J693" s="806"/>
      <c r="K693" s="3"/>
      <c r="L693" s="806"/>
      <c r="M693" s="3"/>
      <c r="N693" s="817"/>
      <c r="O693" s="817"/>
    </row>
    <row r="694" spans="1:15">
      <c r="A694" s="3"/>
      <c r="B694" s="3"/>
      <c r="C694" s="803"/>
      <c r="D694" s="817"/>
      <c r="E694" s="817"/>
      <c r="F694" s="806"/>
      <c r="G694" s="3"/>
      <c r="H694" s="806"/>
      <c r="I694" s="3"/>
      <c r="J694" s="806"/>
      <c r="K694" s="3"/>
      <c r="L694" s="806"/>
      <c r="M694" s="3"/>
      <c r="N694" s="817"/>
      <c r="O694" s="817"/>
    </row>
    <row r="695" spans="1:15">
      <c r="A695" s="3"/>
      <c r="B695" s="3"/>
      <c r="C695" s="803"/>
      <c r="D695" s="817"/>
      <c r="E695" s="817"/>
      <c r="F695" s="806"/>
      <c r="G695" s="3"/>
      <c r="H695" s="806"/>
      <c r="I695" s="3"/>
      <c r="J695" s="806"/>
      <c r="K695" s="3"/>
      <c r="L695" s="806"/>
      <c r="M695" s="3"/>
      <c r="N695" s="817"/>
      <c r="O695" s="817"/>
    </row>
    <row r="696" spans="1:15">
      <c r="A696" s="3"/>
      <c r="B696" s="3"/>
      <c r="C696" s="803"/>
      <c r="D696" s="817"/>
      <c r="E696" s="817"/>
      <c r="F696" s="806"/>
      <c r="G696" s="3"/>
      <c r="H696" s="806"/>
      <c r="I696" s="3"/>
      <c r="J696" s="806"/>
      <c r="K696" s="3"/>
      <c r="L696" s="806"/>
      <c r="M696" s="3"/>
      <c r="N696" s="817"/>
      <c r="O696" s="817"/>
    </row>
    <row r="697" spans="1:15">
      <c r="A697" s="3"/>
      <c r="B697" s="3"/>
      <c r="C697" s="803"/>
      <c r="D697" s="817"/>
      <c r="E697" s="817"/>
      <c r="F697" s="806"/>
      <c r="G697" s="3"/>
      <c r="H697" s="806"/>
      <c r="I697" s="3"/>
      <c r="J697" s="806"/>
      <c r="K697" s="3"/>
      <c r="L697" s="806"/>
      <c r="M697" s="3"/>
      <c r="N697" s="817"/>
      <c r="O697" s="817"/>
    </row>
    <row r="698" spans="1:15">
      <c r="A698" s="3"/>
      <c r="B698" s="3"/>
      <c r="C698" s="803"/>
      <c r="D698" s="817"/>
      <c r="E698" s="817"/>
      <c r="F698" s="806"/>
      <c r="G698" s="3"/>
      <c r="H698" s="806"/>
      <c r="I698" s="3"/>
      <c r="J698" s="806"/>
      <c r="K698" s="3"/>
      <c r="L698" s="806"/>
      <c r="M698" s="3"/>
      <c r="N698" s="817"/>
      <c r="O698" s="817"/>
    </row>
    <row r="699" spans="1:15">
      <c r="A699" s="3"/>
      <c r="B699" s="3"/>
      <c r="C699" s="803"/>
      <c r="D699" s="817"/>
      <c r="E699" s="817"/>
      <c r="F699" s="806"/>
      <c r="G699" s="3"/>
      <c r="H699" s="806"/>
      <c r="I699" s="3"/>
      <c r="J699" s="806"/>
      <c r="K699" s="3"/>
      <c r="L699" s="806"/>
      <c r="M699" s="3"/>
      <c r="N699" s="817"/>
      <c r="O699" s="817"/>
    </row>
    <row r="700" spans="1:15">
      <c r="A700" s="3"/>
      <c r="B700" s="3"/>
      <c r="C700" s="803"/>
      <c r="D700" s="817"/>
      <c r="E700" s="817"/>
      <c r="F700" s="806"/>
      <c r="G700" s="3"/>
      <c r="H700" s="806"/>
      <c r="I700" s="3"/>
      <c r="J700" s="806"/>
      <c r="K700" s="3"/>
      <c r="L700" s="806"/>
      <c r="M700" s="3"/>
      <c r="N700" s="817"/>
      <c r="O700" s="817"/>
    </row>
    <row r="701" spans="1:15">
      <c r="A701" s="3"/>
      <c r="B701" s="3"/>
      <c r="C701" s="803"/>
      <c r="D701" s="817"/>
      <c r="E701" s="817"/>
      <c r="F701" s="806"/>
      <c r="G701" s="3"/>
      <c r="H701" s="806"/>
      <c r="I701" s="3"/>
      <c r="J701" s="806"/>
      <c r="K701" s="3"/>
      <c r="L701" s="806"/>
      <c r="M701" s="3"/>
      <c r="N701" s="817"/>
      <c r="O701" s="817"/>
    </row>
    <row r="702" spans="1:15">
      <c r="A702" s="3"/>
      <c r="B702" s="3"/>
      <c r="C702" s="803"/>
      <c r="D702" s="817"/>
      <c r="E702" s="817"/>
      <c r="F702" s="806"/>
      <c r="G702" s="3"/>
      <c r="H702" s="806"/>
      <c r="I702" s="3"/>
      <c r="J702" s="806"/>
      <c r="K702" s="3"/>
      <c r="L702" s="806"/>
      <c r="M702" s="3"/>
      <c r="N702" s="817"/>
      <c r="O702" s="817"/>
    </row>
    <row r="703" spans="1:15">
      <c r="A703" s="3"/>
      <c r="B703" s="3"/>
      <c r="C703" s="803"/>
      <c r="D703" s="817"/>
      <c r="E703" s="817"/>
      <c r="F703" s="806"/>
      <c r="G703" s="3"/>
      <c r="H703" s="806"/>
      <c r="I703" s="3"/>
      <c r="J703" s="806"/>
      <c r="K703" s="3"/>
      <c r="L703" s="806"/>
      <c r="M703" s="3"/>
      <c r="N703" s="817"/>
      <c r="O703" s="817"/>
    </row>
    <row r="704" spans="1:15">
      <c r="A704" s="3"/>
      <c r="B704" s="3"/>
      <c r="C704" s="803"/>
      <c r="D704" s="817"/>
      <c r="E704" s="817"/>
      <c r="F704" s="806"/>
      <c r="G704" s="3"/>
      <c r="H704" s="806"/>
      <c r="I704" s="3"/>
      <c r="J704" s="806"/>
      <c r="K704" s="3"/>
      <c r="L704" s="806"/>
      <c r="M704" s="3"/>
      <c r="N704" s="817"/>
      <c r="O704" s="817"/>
    </row>
    <row r="705" spans="1:15">
      <c r="A705" s="3"/>
      <c r="B705" s="3"/>
      <c r="C705" s="803"/>
      <c r="D705" s="817"/>
      <c r="E705" s="817"/>
      <c r="F705" s="806"/>
      <c r="G705" s="3"/>
      <c r="H705" s="806"/>
      <c r="I705" s="3"/>
      <c r="J705" s="806"/>
      <c r="K705" s="3"/>
      <c r="L705" s="806"/>
      <c r="M705" s="3"/>
      <c r="N705" s="817"/>
      <c r="O705" s="817"/>
    </row>
    <row r="706" spans="1:15">
      <c r="A706" s="3"/>
      <c r="B706" s="3"/>
      <c r="C706" s="803"/>
      <c r="D706" s="817"/>
      <c r="E706" s="817"/>
      <c r="F706" s="806"/>
      <c r="G706" s="3"/>
      <c r="H706" s="806"/>
      <c r="I706" s="3"/>
      <c r="J706" s="806"/>
      <c r="K706" s="3"/>
      <c r="L706" s="806"/>
      <c r="M706" s="3"/>
      <c r="N706" s="817"/>
      <c r="O706" s="817"/>
    </row>
    <row r="707" spans="1:15">
      <c r="A707" s="3"/>
      <c r="B707" s="3"/>
      <c r="C707" s="803"/>
      <c r="D707" s="817"/>
      <c r="E707" s="817"/>
      <c r="F707" s="806"/>
      <c r="G707" s="3"/>
      <c r="H707" s="806"/>
      <c r="I707" s="3"/>
      <c r="J707" s="806"/>
      <c r="K707" s="3"/>
      <c r="L707" s="806"/>
      <c r="M707" s="3"/>
      <c r="N707" s="817"/>
      <c r="O707" s="817"/>
    </row>
    <row r="708" spans="1:15">
      <c r="A708" s="3"/>
      <c r="B708" s="3"/>
      <c r="C708" s="803"/>
      <c r="D708" s="817"/>
      <c r="E708" s="817"/>
      <c r="F708" s="806"/>
      <c r="G708" s="3"/>
      <c r="H708" s="806"/>
      <c r="I708" s="3"/>
      <c r="J708" s="806"/>
      <c r="K708" s="3"/>
      <c r="L708" s="806"/>
      <c r="M708" s="3"/>
      <c r="N708" s="817"/>
      <c r="O708" s="817"/>
    </row>
    <row r="709" spans="1:15">
      <c r="A709" s="3"/>
      <c r="B709" s="3"/>
      <c r="C709" s="803"/>
      <c r="D709" s="817"/>
      <c r="E709" s="817"/>
      <c r="F709" s="806"/>
      <c r="G709" s="3"/>
      <c r="H709" s="806"/>
      <c r="I709" s="3"/>
      <c r="J709" s="806"/>
      <c r="K709" s="3"/>
      <c r="L709" s="806"/>
      <c r="M709" s="3"/>
      <c r="N709" s="817"/>
      <c r="O709" s="817"/>
    </row>
    <row r="710" spans="1:15">
      <c r="A710" s="3"/>
      <c r="B710" s="3"/>
      <c r="C710" s="803"/>
      <c r="D710" s="817"/>
      <c r="E710" s="817"/>
      <c r="F710" s="806"/>
      <c r="G710" s="3"/>
      <c r="H710" s="806"/>
      <c r="I710" s="3"/>
      <c r="J710" s="806"/>
      <c r="K710" s="3"/>
      <c r="L710" s="806"/>
      <c r="M710" s="3"/>
      <c r="N710" s="817"/>
      <c r="O710" s="817"/>
    </row>
    <row r="711" spans="1:15">
      <c r="A711" s="3"/>
      <c r="B711" s="3"/>
      <c r="C711" s="803"/>
      <c r="D711" s="817"/>
      <c r="E711" s="817"/>
      <c r="F711" s="806"/>
      <c r="G711" s="3"/>
      <c r="H711" s="806"/>
      <c r="I711" s="3"/>
      <c r="J711" s="806"/>
      <c r="K711" s="3"/>
      <c r="L711" s="806"/>
      <c r="M711" s="3"/>
      <c r="N711" s="817"/>
      <c r="O711" s="817"/>
    </row>
    <row r="712" spans="1:15">
      <c r="A712" s="3"/>
      <c r="B712" s="3"/>
      <c r="C712" s="803"/>
      <c r="D712" s="817"/>
      <c r="E712" s="817"/>
      <c r="F712" s="806"/>
      <c r="G712" s="3"/>
      <c r="H712" s="806"/>
      <c r="I712" s="3"/>
      <c r="J712" s="806"/>
      <c r="K712" s="3"/>
      <c r="L712" s="806"/>
      <c r="M712" s="3"/>
      <c r="N712" s="817"/>
      <c r="O712" s="817"/>
    </row>
    <row r="713" spans="1:15">
      <c r="A713" s="3"/>
      <c r="B713" s="3"/>
      <c r="C713" s="803"/>
      <c r="D713" s="817"/>
      <c r="E713" s="817"/>
      <c r="F713" s="806"/>
      <c r="G713" s="3"/>
      <c r="H713" s="806"/>
      <c r="I713" s="3"/>
      <c r="J713" s="806"/>
      <c r="K713" s="3"/>
      <c r="L713" s="806"/>
      <c r="M713" s="3"/>
      <c r="N713" s="817"/>
      <c r="O713" s="817"/>
    </row>
    <row r="714" spans="1:15">
      <c r="A714" s="3"/>
      <c r="B714" s="3"/>
      <c r="C714" s="803"/>
      <c r="D714" s="817"/>
      <c r="E714" s="817"/>
      <c r="F714" s="806"/>
      <c r="G714" s="3"/>
      <c r="H714" s="806"/>
      <c r="I714" s="3"/>
      <c r="J714" s="806"/>
      <c r="K714" s="3"/>
      <c r="L714" s="806"/>
      <c r="M714" s="3"/>
      <c r="N714" s="817"/>
      <c r="O714" s="817"/>
    </row>
    <row r="715" spans="1:15">
      <c r="A715" s="3"/>
      <c r="B715" s="3"/>
      <c r="C715" s="803"/>
      <c r="D715" s="817"/>
      <c r="E715" s="817"/>
      <c r="F715" s="806"/>
      <c r="G715" s="3"/>
      <c r="H715" s="806"/>
      <c r="I715" s="3"/>
      <c r="J715" s="806"/>
      <c r="K715" s="3"/>
      <c r="L715" s="806"/>
      <c r="M715" s="3"/>
      <c r="N715" s="817"/>
      <c r="O715" s="817"/>
    </row>
    <row r="716" spans="1:15">
      <c r="A716" s="3"/>
      <c r="B716" s="3"/>
      <c r="C716" s="803"/>
      <c r="D716" s="817"/>
      <c r="E716" s="817"/>
      <c r="F716" s="806"/>
      <c r="G716" s="3"/>
      <c r="H716" s="806"/>
      <c r="I716" s="3"/>
      <c r="J716" s="806"/>
      <c r="K716" s="3"/>
      <c r="L716" s="806"/>
      <c r="M716" s="3"/>
      <c r="N716" s="817"/>
      <c r="O716" s="817"/>
    </row>
    <row r="717" spans="1:15">
      <c r="A717" s="3"/>
      <c r="B717" s="3"/>
      <c r="C717" s="803"/>
      <c r="D717" s="817"/>
      <c r="E717" s="817"/>
      <c r="F717" s="806"/>
      <c r="G717" s="3"/>
      <c r="H717" s="806"/>
      <c r="I717" s="3"/>
      <c r="J717" s="806"/>
      <c r="K717" s="3"/>
      <c r="L717" s="806"/>
      <c r="M717" s="3"/>
      <c r="N717" s="817"/>
      <c r="O717" s="817"/>
    </row>
    <row r="718" spans="1:15">
      <c r="A718" s="3"/>
      <c r="B718" s="3"/>
      <c r="C718" s="803"/>
      <c r="D718" s="817"/>
      <c r="E718" s="817"/>
      <c r="F718" s="806"/>
      <c r="G718" s="3"/>
      <c r="H718" s="806"/>
      <c r="I718" s="3"/>
      <c r="J718" s="806"/>
      <c r="K718" s="3"/>
      <c r="L718" s="806"/>
      <c r="M718" s="3"/>
      <c r="N718" s="817"/>
      <c r="O718" s="817"/>
    </row>
    <row r="719" spans="1:15">
      <c r="A719" s="3"/>
      <c r="B719" s="3"/>
      <c r="C719" s="803"/>
      <c r="D719" s="817"/>
      <c r="E719" s="817"/>
      <c r="F719" s="806"/>
      <c r="G719" s="3"/>
      <c r="H719" s="806"/>
      <c r="I719" s="3"/>
      <c r="J719" s="806"/>
      <c r="K719" s="3"/>
      <c r="L719" s="806"/>
      <c r="M719" s="3"/>
      <c r="N719" s="817"/>
      <c r="O719" s="817"/>
    </row>
    <row r="720" spans="1:15">
      <c r="A720" s="3"/>
      <c r="B720" s="3"/>
      <c r="C720" s="803"/>
      <c r="D720" s="817"/>
      <c r="E720" s="817"/>
      <c r="F720" s="806"/>
      <c r="G720" s="3"/>
      <c r="H720" s="806"/>
      <c r="I720" s="3"/>
      <c r="J720" s="806"/>
      <c r="K720" s="3"/>
      <c r="L720" s="806"/>
      <c r="M720" s="3"/>
      <c r="N720" s="817"/>
      <c r="O720" s="817"/>
    </row>
    <row r="721" spans="1:15">
      <c r="A721" s="3"/>
      <c r="B721" s="3"/>
      <c r="C721" s="803"/>
      <c r="D721" s="817"/>
      <c r="E721" s="817"/>
      <c r="F721" s="806"/>
      <c r="G721" s="3"/>
      <c r="H721" s="806"/>
      <c r="I721" s="3"/>
      <c r="J721" s="806"/>
      <c r="K721" s="3"/>
      <c r="L721" s="806"/>
      <c r="M721" s="3"/>
      <c r="N721" s="817"/>
      <c r="O721" s="817"/>
    </row>
    <row r="722" spans="1:15">
      <c r="A722" s="3"/>
      <c r="B722" s="3"/>
      <c r="C722" s="803"/>
      <c r="D722" s="817"/>
      <c r="E722" s="817"/>
      <c r="F722" s="806"/>
      <c r="G722" s="3"/>
      <c r="H722" s="806"/>
      <c r="I722" s="3"/>
      <c r="J722" s="806"/>
      <c r="K722" s="3"/>
      <c r="L722" s="806"/>
      <c r="M722" s="3"/>
      <c r="N722" s="817"/>
      <c r="O722" s="817"/>
    </row>
    <row r="723" spans="1:15">
      <c r="A723" s="3"/>
      <c r="B723" s="3"/>
      <c r="C723" s="803"/>
      <c r="D723" s="817"/>
      <c r="E723" s="817"/>
      <c r="F723" s="806"/>
      <c r="G723" s="3"/>
      <c r="H723" s="806"/>
      <c r="I723" s="3"/>
      <c r="J723" s="806"/>
      <c r="K723" s="3"/>
      <c r="L723" s="806"/>
      <c r="M723" s="3"/>
      <c r="N723" s="817"/>
      <c r="O723" s="817"/>
    </row>
    <row r="724" spans="1:15">
      <c r="A724" s="3"/>
      <c r="B724" s="3"/>
      <c r="C724" s="803"/>
      <c r="D724" s="817"/>
      <c r="E724" s="817"/>
      <c r="F724" s="806"/>
      <c r="G724" s="3"/>
      <c r="H724" s="806"/>
      <c r="I724" s="3"/>
      <c r="J724" s="806"/>
      <c r="K724" s="3"/>
      <c r="L724" s="806"/>
      <c r="M724" s="3"/>
      <c r="N724" s="817"/>
      <c r="O724" s="817"/>
    </row>
    <row r="725" spans="1:15">
      <c r="A725" s="3"/>
      <c r="B725" s="3"/>
      <c r="C725" s="803"/>
      <c r="D725" s="817"/>
      <c r="E725" s="817"/>
      <c r="F725" s="806"/>
      <c r="G725" s="3"/>
      <c r="H725" s="806"/>
      <c r="I725" s="3"/>
      <c r="J725" s="806"/>
      <c r="K725" s="3"/>
      <c r="L725" s="806"/>
      <c r="M725" s="3"/>
      <c r="N725" s="817"/>
      <c r="O725" s="817"/>
    </row>
    <row r="726" spans="1:15">
      <c r="A726" s="3"/>
      <c r="B726" s="3"/>
      <c r="C726" s="803"/>
      <c r="D726" s="817"/>
      <c r="E726" s="817"/>
      <c r="F726" s="806"/>
      <c r="G726" s="3"/>
      <c r="H726" s="806"/>
      <c r="I726" s="3"/>
      <c r="J726" s="806"/>
      <c r="K726" s="3"/>
      <c r="L726" s="806"/>
      <c r="M726" s="3"/>
      <c r="N726" s="817"/>
      <c r="O726" s="817"/>
    </row>
    <row r="727" spans="1:15">
      <c r="A727" s="3"/>
      <c r="B727" s="3"/>
      <c r="C727" s="803"/>
      <c r="D727" s="817"/>
      <c r="E727" s="817"/>
      <c r="F727" s="806"/>
      <c r="G727" s="3"/>
      <c r="H727" s="806"/>
      <c r="I727" s="3"/>
      <c r="J727" s="806"/>
      <c r="K727" s="3"/>
      <c r="L727" s="806"/>
      <c r="M727" s="3"/>
      <c r="N727" s="817"/>
      <c r="O727" s="817"/>
    </row>
    <row r="728" spans="1:15">
      <c r="A728" s="3"/>
      <c r="B728" s="3"/>
      <c r="C728" s="803"/>
      <c r="D728" s="817"/>
      <c r="E728" s="817"/>
      <c r="F728" s="806"/>
      <c r="G728" s="3"/>
      <c r="H728" s="806"/>
      <c r="I728" s="3"/>
      <c r="J728" s="806"/>
      <c r="K728" s="3"/>
      <c r="L728" s="806"/>
      <c r="M728" s="3"/>
      <c r="N728" s="817"/>
      <c r="O728" s="817"/>
    </row>
    <row r="729" spans="1:15">
      <c r="A729" s="3"/>
      <c r="B729" s="3"/>
      <c r="C729" s="803"/>
      <c r="D729" s="817"/>
      <c r="E729" s="817"/>
      <c r="F729" s="806"/>
      <c r="G729" s="3"/>
      <c r="H729" s="806"/>
      <c r="I729" s="3"/>
      <c r="J729" s="806"/>
      <c r="K729" s="3"/>
      <c r="L729" s="806"/>
      <c r="M729" s="3"/>
      <c r="N729" s="817"/>
      <c r="O729" s="817"/>
    </row>
    <row r="730" spans="1:15">
      <c r="A730" s="3"/>
      <c r="B730" s="3"/>
      <c r="C730" s="803"/>
      <c r="D730" s="817"/>
      <c r="E730" s="817"/>
      <c r="F730" s="806"/>
      <c r="G730" s="3"/>
      <c r="H730" s="806"/>
      <c r="I730" s="3"/>
      <c r="J730" s="806"/>
      <c r="K730" s="3"/>
      <c r="L730" s="806"/>
      <c r="M730" s="3"/>
      <c r="N730" s="817"/>
      <c r="O730" s="817"/>
    </row>
    <row r="731" spans="1:15">
      <c r="A731" s="3"/>
      <c r="B731" s="3"/>
      <c r="C731" s="803"/>
      <c r="D731" s="817"/>
      <c r="E731" s="817"/>
      <c r="F731" s="806"/>
      <c r="G731" s="3"/>
      <c r="H731" s="806"/>
      <c r="I731" s="3"/>
      <c r="J731" s="806"/>
      <c r="K731" s="3"/>
      <c r="L731" s="806"/>
      <c r="M731" s="3"/>
      <c r="N731" s="817"/>
      <c r="O731" s="817"/>
    </row>
    <row r="732" spans="1:15">
      <c r="A732" s="3"/>
      <c r="B732" s="3"/>
      <c r="C732" s="803"/>
      <c r="D732" s="817"/>
      <c r="E732" s="817"/>
      <c r="F732" s="806"/>
      <c r="G732" s="3"/>
      <c r="H732" s="806"/>
      <c r="I732" s="3"/>
      <c r="J732" s="806"/>
      <c r="K732" s="3"/>
      <c r="L732" s="806"/>
      <c r="M732" s="3"/>
      <c r="N732" s="817"/>
      <c r="O732" s="817"/>
    </row>
    <row r="733" spans="1:15">
      <c r="A733" s="3"/>
      <c r="B733" s="3"/>
      <c r="C733" s="803"/>
      <c r="D733" s="817"/>
      <c r="E733" s="817"/>
      <c r="F733" s="806"/>
      <c r="G733" s="3"/>
      <c r="H733" s="806"/>
      <c r="I733" s="3"/>
      <c r="J733" s="806"/>
      <c r="K733" s="3"/>
      <c r="L733" s="806"/>
      <c r="M733" s="3"/>
      <c r="N733" s="817"/>
      <c r="O733" s="817"/>
    </row>
    <row r="734" spans="1:15">
      <c r="A734" s="3"/>
      <c r="B734" s="3"/>
      <c r="C734" s="803"/>
      <c r="D734" s="817"/>
      <c r="E734" s="817"/>
      <c r="F734" s="806"/>
      <c r="G734" s="3"/>
      <c r="H734" s="806"/>
      <c r="I734" s="3"/>
      <c r="J734" s="806"/>
      <c r="K734" s="3"/>
      <c r="L734" s="806"/>
      <c r="M734" s="3"/>
      <c r="N734" s="817"/>
      <c r="O734" s="817"/>
    </row>
    <row r="735" spans="1:15">
      <c r="A735" s="3"/>
      <c r="B735" s="3"/>
      <c r="C735" s="803"/>
      <c r="D735" s="817"/>
      <c r="E735" s="817"/>
      <c r="F735" s="806"/>
      <c r="G735" s="3"/>
      <c r="H735" s="806"/>
      <c r="I735" s="3"/>
      <c r="J735" s="806"/>
      <c r="K735" s="3"/>
      <c r="L735" s="806"/>
      <c r="M735" s="3"/>
      <c r="N735" s="817"/>
      <c r="O735" s="817"/>
    </row>
    <row r="736" spans="1:15">
      <c r="A736" s="3"/>
      <c r="B736" s="3"/>
      <c r="C736" s="803"/>
      <c r="D736" s="817"/>
      <c r="E736" s="817"/>
      <c r="F736" s="806"/>
      <c r="G736" s="3"/>
      <c r="H736" s="806"/>
      <c r="I736" s="3"/>
      <c r="J736" s="806"/>
      <c r="K736" s="3"/>
      <c r="L736" s="806"/>
      <c r="M736" s="3"/>
      <c r="N736" s="817"/>
      <c r="O736" s="817"/>
    </row>
    <row r="737" spans="1:15">
      <c r="A737" s="3"/>
      <c r="B737" s="3"/>
      <c r="C737" s="803"/>
      <c r="D737" s="817"/>
      <c r="E737" s="817"/>
      <c r="F737" s="806"/>
      <c r="G737" s="3"/>
      <c r="H737" s="806"/>
      <c r="I737" s="3"/>
      <c r="J737" s="806"/>
      <c r="K737" s="3"/>
      <c r="L737" s="806"/>
      <c r="M737" s="3"/>
      <c r="N737" s="817"/>
      <c r="O737" s="817"/>
    </row>
    <row r="738" spans="1:15">
      <c r="A738" s="3"/>
      <c r="B738" s="3"/>
      <c r="C738" s="803"/>
      <c r="D738" s="817"/>
      <c r="E738" s="817"/>
      <c r="F738" s="806"/>
      <c r="G738" s="3"/>
      <c r="H738" s="806"/>
      <c r="I738" s="3"/>
      <c r="J738" s="806"/>
      <c r="K738" s="3"/>
      <c r="L738" s="806"/>
      <c r="M738" s="3"/>
      <c r="N738" s="817"/>
      <c r="O738" s="817"/>
    </row>
    <row r="739" spans="1:15">
      <c r="A739" s="3"/>
      <c r="B739" s="3"/>
      <c r="C739" s="803"/>
      <c r="D739" s="817"/>
      <c r="E739" s="817"/>
      <c r="F739" s="806"/>
      <c r="G739" s="3"/>
      <c r="H739" s="806"/>
      <c r="I739" s="3"/>
      <c r="J739" s="806"/>
      <c r="K739" s="3"/>
      <c r="L739" s="806"/>
      <c r="M739" s="3"/>
      <c r="N739" s="817"/>
      <c r="O739" s="817"/>
    </row>
    <row r="740" spans="1:15">
      <c r="A740" s="3"/>
      <c r="B740" s="3"/>
      <c r="C740" s="803"/>
      <c r="D740" s="817"/>
      <c r="E740" s="817"/>
      <c r="F740" s="806"/>
      <c r="G740" s="3"/>
      <c r="H740" s="806"/>
      <c r="I740" s="3"/>
      <c r="J740" s="806"/>
      <c r="K740" s="3"/>
      <c r="L740" s="806"/>
      <c r="M740" s="3"/>
      <c r="N740" s="817"/>
      <c r="O740" s="817"/>
    </row>
    <row r="741" spans="1:15">
      <c r="A741" s="3"/>
      <c r="B741" s="3"/>
      <c r="C741" s="803"/>
      <c r="D741" s="817"/>
      <c r="E741" s="817"/>
      <c r="F741" s="806"/>
      <c r="G741" s="3"/>
      <c r="H741" s="806"/>
      <c r="I741" s="3"/>
      <c r="J741" s="806"/>
      <c r="K741" s="3"/>
      <c r="L741" s="806"/>
      <c r="M741" s="3"/>
      <c r="N741" s="817"/>
      <c r="O741" s="817"/>
    </row>
    <row r="742" spans="1:15">
      <c r="A742" s="3"/>
      <c r="B742" s="3"/>
      <c r="C742" s="803"/>
      <c r="D742" s="817"/>
      <c r="E742" s="817"/>
      <c r="F742" s="806"/>
      <c r="G742" s="3"/>
      <c r="H742" s="806"/>
      <c r="I742" s="3"/>
      <c r="J742" s="806"/>
      <c r="K742" s="3"/>
      <c r="L742" s="806"/>
      <c r="M742" s="3"/>
      <c r="N742" s="817"/>
      <c r="O742" s="817"/>
    </row>
    <row r="743" spans="1:15">
      <c r="A743" s="3"/>
      <c r="B743" s="3"/>
      <c r="C743" s="803"/>
      <c r="D743" s="817"/>
      <c r="E743" s="817"/>
      <c r="F743" s="806"/>
      <c r="G743" s="3"/>
      <c r="H743" s="806"/>
      <c r="I743" s="3"/>
      <c r="J743" s="806"/>
      <c r="K743" s="3"/>
      <c r="L743" s="806"/>
      <c r="M743" s="3"/>
      <c r="N743" s="817"/>
      <c r="O743" s="817"/>
    </row>
    <row r="744" spans="1:15">
      <c r="A744" s="3"/>
      <c r="B744" s="3"/>
      <c r="C744" s="803"/>
      <c r="D744" s="817"/>
      <c r="E744" s="817"/>
      <c r="F744" s="806"/>
      <c r="G744" s="3"/>
      <c r="H744" s="806"/>
      <c r="I744" s="3"/>
      <c r="J744" s="806"/>
      <c r="K744" s="3"/>
      <c r="L744" s="806"/>
      <c r="M744" s="3"/>
      <c r="N744" s="817"/>
      <c r="O744" s="817"/>
    </row>
    <row r="745" spans="1:15">
      <c r="A745" s="3"/>
      <c r="B745" s="3"/>
      <c r="C745" s="803"/>
      <c r="D745" s="817"/>
      <c r="E745" s="817"/>
      <c r="F745" s="806"/>
      <c r="G745" s="3"/>
      <c r="H745" s="806"/>
      <c r="I745" s="3"/>
      <c r="J745" s="806"/>
      <c r="K745" s="3"/>
      <c r="L745" s="806"/>
      <c r="M745" s="3"/>
      <c r="N745" s="817"/>
      <c r="O745" s="817"/>
    </row>
    <row r="746" spans="1:15">
      <c r="A746" s="3"/>
      <c r="B746" s="3"/>
      <c r="C746" s="803"/>
      <c r="D746" s="817"/>
      <c r="E746" s="817"/>
      <c r="F746" s="806"/>
      <c r="G746" s="3"/>
      <c r="H746" s="806"/>
      <c r="I746" s="3"/>
      <c r="J746" s="806"/>
      <c r="K746" s="3"/>
      <c r="L746" s="806"/>
      <c r="M746" s="3"/>
      <c r="N746" s="817"/>
      <c r="O746" s="817"/>
    </row>
    <row r="747" spans="1:15">
      <c r="A747" s="3"/>
      <c r="B747" s="3"/>
      <c r="C747" s="803"/>
      <c r="D747" s="817"/>
      <c r="E747" s="817"/>
      <c r="F747" s="806"/>
      <c r="G747" s="3"/>
      <c r="H747" s="806"/>
      <c r="I747" s="3"/>
      <c r="J747" s="806"/>
      <c r="K747" s="3"/>
      <c r="L747" s="806"/>
      <c r="M747" s="3"/>
      <c r="N747" s="817"/>
      <c r="O747" s="817"/>
    </row>
    <row r="748" spans="1:15">
      <c r="A748" s="3"/>
      <c r="B748" s="3"/>
      <c r="C748" s="803"/>
      <c r="D748" s="817"/>
      <c r="E748" s="817"/>
      <c r="F748" s="806"/>
      <c r="G748" s="3"/>
      <c r="H748" s="806"/>
      <c r="I748" s="3"/>
      <c r="J748" s="806"/>
      <c r="K748" s="3"/>
      <c r="L748" s="806"/>
      <c r="M748" s="3"/>
      <c r="N748" s="817"/>
      <c r="O748" s="817"/>
    </row>
    <row r="749" spans="1:15">
      <c r="A749" s="3"/>
      <c r="B749" s="3"/>
      <c r="C749" s="803"/>
      <c r="D749" s="817"/>
      <c r="E749" s="817"/>
      <c r="F749" s="806"/>
      <c r="G749" s="3"/>
      <c r="H749" s="806"/>
      <c r="I749" s="3"/>
      <c r="J749" s="806"/>
      <c r="K749" s="3"/>
      <c r="L749" s="806"/>
      <c r="M749" s="3"/>
      <c r="N749" s="817"/>
      <c r="O749" s="817"/>
    </row>
    <row r="750" spans="1:15">
      <c r="A750" s="3"/>
      <c r="B750" s="3"/>
      <c r="C750" s="803"/>
      <c r="D750" s="817"/>
      <c r="E750" s="817"/>
      <c r="F750" s="806"/>
      <c r="G750" s="3"/>
      <c r="H750" s="806"/>
      <c r="I750" s="3"/>
      <c r="J750" s="806"/>
      <c r="K750" s="3"/>
      <c r="L750" s="806"/>
      <c r="M750" s="3"/>
      <c r="N750" s="817"/>
      <c r="O750" s="817"/>
    </row>
    <row r="751" spans="1:15">
      <c r="A751" s="3"/>
      <c r="B751" s="3"/>
      <c r="C751" s="803"/>
      <c r="D751" s="817"/>
      <c r="E751" s="817"/>
      <c r="F751" s="806"/>
      <c r="G751" s="3"/>
      <c r="H751" s="806"/>
      <c r="I751" s="3"/>
      <c r="J751" s="806"/>
      <c r="K751" s="3"/>
      <c r="L751" s="806"/>
      <c r="M751" s="3"/>
      <c r="N751" s="817"/>
      <c r="O751" s="817"/>
    </row>
    <row r="752" spans="1:15">
      <c r="A752" s="3"/>
      <c r="B752" s="3"/>
      <c r="C752" s="803"/>
      <c r="D752" s="817"/>
      <c r="E752" s="817"/>
      <c r="F752" s="806"/>
      <c r="G752" s="3"/>
      <c r="H752" s="806"/>
      <c r="I752" s="3"/>
      <c r="J752" s="806"/>
      <c r="K752" s="3"/>
      <c r="L752" s="806"/>
      <c r="M752" s="3"/>
      <c r="N752" s="817"/>
      <c r="O752" s="817"/>
    </row>
    <row r="753" spans="1:15">
      <c r="A753" s="3"/>
      <c r="B753" s="3"/>
      <c r="C753" s="803"/>
      <c r="D753" s="817"/>
      <c r="E753" s="817"/>
      <c r="F753" s="806"/>
      <c r="G753" s="3"/>
      <c r="H753" s="806"/>
      <c r="I753" s="3"/>
      <c r="J753" s="806"/>
      <c r="K753" s="3"/>
      <c r="L753" s="806"/>
      <c r="M753" s="3"/>
      <c r="N753" s="817"/>
      <c r="O753" s="817"/>
    </row>
    <row r="754" spans="1:15">
      <c r="A754" s="3"/>
      <c r="B754" s="3"/>
      <c r="C754" s="803"/>
      <c r="D754" s="817"/>
      <c r="E754" s="817"/>
      <c r="F754" s="806"/>
      <c r="G754" s="3"/>
      <c r="H754" s="806"/>
      <c r="I754" s="3"/>
      <c r="J754" s="806"/>
      <c r="K754" s="3"/>
      <c r="L754" s="806"/>
      <c r="M754" s="3"/>
      <c r="N754" s="817"/>
      <c r="O754" s="817"/>
    </row>
    <row r="755" spans="1:15">
      <c r="A755" s="3"/>
      <c r="B755" s="3"/>
      <c r="C755" s="803"/>
      <c r="D755" s="817"/>
      <c r="E755" s="817"/>
      <c r="F755" s="806"/>
      <c r="G755" s="3"/>
      <c r="H755" s="806"/>
      <c r="I755" s="3"/>
      <c r="J755" s="806"/>
      <c r="K755" s="3"/>
      <c r="L755" s="806"/>
      <c r="M755" s="3"/>
      <c r="N755" s="817"/>
      <c r="O755" s="817"/>
    </row>
    <row r="756" spans="1:15">
      <c r="A756" s="3"/>
      <c r="B756" s="3"/>
      <c r="C756" s="803"/>
      <c r="D756" s="817"/>
      <c r="E756" s="817"/>
      <c r="F756" s="806"/>
      <c r="G756" s="3"/>
      <c r="H756" s="806"/>
      <c r="I756" s="3"/>
      <c r="J756" s="806"/>
      <c r="K756" s="3"/>
      <c r="L756" s="806"/>
      <c r="M756" s="3"/>
      <c r="N756" s="817"/>
      <c r="O756" s="817"/>
    </row>
    <row r="757" spans="1:15">
      <c r="A757" s="3"/>
      <c r="B757" s="3"/>
      <c r="C757" s="803"/>
      <c r="D757" s="817"/>
      <c r="E757" s="817"/>
      <c r="F757" s="806"/>
      <c r="G757" s="3"/>
      <c r="H757" s="806"/>
      <c r="I757" s="3"/>
      <c r="J757" s="806"/>
      <c r="K757" s="3"/>
      <c r="L757" s="806"/>
      <c r="M757" s="3"/>
      <c r="N757" s="817"/>
      <c r="O757" s="817"/>
    </row>
    <row r="758" spans="1:15">
      <c r="A758" s="3"/>
      <c r="B758" s="3"/>
      <c r="C758" s="803"/>
      <c r="D758" s="817"/>
      <c r="E758" s="817"/>
      <c r="F758" s="806"/>
      <c r="G758" s="3"/>
      <c r="H758" s="806"/>
      <c r="I758" s="3"/>
      <c r="J758" s="806"/>
      <c r="K758" s="3"/>
      <c r="L758" s="806"/>
      <c r="M758" s="3"/>
      <c r="N758" s="817"/>
      <c r="O758" s="817"/>
    </row>
    <row r="759" spans="1:15">
      <c r="A759" s="3"/>
      <c r="B759" s="3"/>
      <c r="C759" s="803"/>
      <c r="D759" s="817"/>
      <c r="E759" s="817"/>
      <c r="F759" s="806"/>
      <c r="G759" s="3"/>
      <c r="H759" s="806"/>
      <c r="I759" s="3"/>
      <c r="J759" s="806"/>
      <c r="K759" s="3"/>
      <c r="L759" s="806"/>
      <c r="M759" s="3"/>
      <c r="N759" s="817"/>
      <c r="O759" s="817"/>
    </row>
    <row r="760" spans="1:15">
      <c r="A760" s="3"/>
      <c r="B760" s="3"/>
      <c r="C760" s="803"/>
      <c r="D760" s="817"/>
      <c r="E760" s="817"/>
      <c r="F760" s="806"/>
      <c r="G760" s="3"/>
      <c r="H760" s="806"/>
      <c r="I760" s="3"/>
      <c r="J760" s="806"/>
      <c r="K760" s="3"/>
      <c r="L760" s="806"/>
      <c r="M760" s="3"/>
      <c r="N760" s="817"/>
      <c r="O760" s="817"/>
    </row>
    <row r="761" spans="1:15">
      <c r="A761" s="3"/>
      <c r="B761" s="3"/>
      <c r="C761" s="803"/>
      <c r="D761" s="817"/>
      <c r="E761" s="817"/>
      <c r="F761" s="806"/>
      <c r="G761" s="3"/>
      <c r="H761" s="806"/>
      <c r="I761" s="3"/>
      <c r="J761" s="806"/>
      <c r="K761" s="3"/>
      <c r="L761" s="806"/>
      <c r="M761" s="3"/>
      <c r="N761" s="817"/>
      <c r="O761" s="817"/>
    </row>
    <row r="762" spans="1:15">
      <c r="A762" s="3"/>
      <c r="B762" s="3"/>
      <c r="C762" s="803"/>
      <c r="D762" s="817"/>
      <c r="E762" s="817"/>
      <c r="F762" s="806"/>
      <c r="G762" s="3"/>
      <c r="H762" s="806"/>
      <c r="I762" s="3"/>
      <c r="J762" s="806"/>
      <c r="K762" s="3"/>
      <c r="L762" s="806"/>
      <c r="M762" s="3"/>
      <c r="N762" s="817"/>
      <c r="O762" s="817"/>
    </row>
    <row r="763" spans="1:15">
      <c r="A763" s="3"/>
      <c r="B763" s="3"/>
      <c r="C763" s="803"/>
      <c r="D763" s="817"/>
      <c r="E763" s="817"/>
      <c r="F763" s="806"/>
      <c r="G763" s="3"/>
      <c r="H763" s="806"/>
      <c r="I763" s="3"/>
      <c r="J763" s="806"/>
      <c r="K763" s="3"/>
      <c r="L763" s="806"/>
      <c r="M763" s="3"/>
      <c r="N763" s="817"/>
      <c r="O763" s="817"/>
    </row>
    <row r="764" spans="1:15">
      <c r="A764" s="3"/>
      <c r="B764" s="3"/>
      <c r="C764" s="803"/>
      <c r="D764" s="817"/>
      <c r="E764" s="817"/>
      <c r="F764" s="806"/>
      <c r="G764" s="3"/>
      <c r="H764" s="806"/>
      <c r="I764" s="3"/>
      <c r="J764" s="806"/>
      <c r="K764" s="3"/>
      <c r="L764" s="806"/>
      <c r="M764" s="3"/>
      <c r="N764" s="817"/>
      <c r="O764" s="817"/>
    </row>
    <row r="765" spans="1:15">
      <c r="A765" s="3"/>
      <c r="B765" s="3"/>
      <c r="C765" s="803"/>
      <c r="D765" s="817"/>
      <c r="E765" s="817"/>
      <c r="F765" s="806"/>
      <c r="G765" s="3"/>
      <c r="H765" s="806"/>
      <c r="I765" s="3"/>
      <c r="J765" s="806"/>
      <c r="K765" s="3"/>
      <c r="L765" s="806"/>
      <c r="M765" s="3"/>
      <c r="N765" s="817"/>
      <c r="O765" s="817"/>
    </row>
    <row r="766" spans="1:15">
      <c r="A766" s="3"/>
      <c r="B766" s="3"/>
      <c r="C766" s="803"/>
      <c r="D766" s="817"/>
      <c r="E766" s="817"/>
      <c r="F766" s="806"/>
      <c r="G766" s="3"/>
      <c r="H766" s="806"/>
      <c r="I766" s="3"/>
      <c r="J766" s="806"/>
      <c r="K766" s="3"/>
      <c r="L766" s="806"/>
      <c r="M766" s="3"/>
      <c r="N766" s="817"/>
      <c r="O766" s="817"/>
    </row>
    <row r="767" spans="1:15">
      <c r="A767" s="3"/>
      <c r="B767" s="3"/>
      <c r="C767" s="803"/>
      <c r="D767" s="817"/>
      <c r="E767" s="817"/>
      <c r="F767" s="806"/>
      <c r="G767" s="3"/>
      <c r="H767" s="806"/>
      <c r="I767" s="3"/>
      <c r="J767" s="806"/>
      <c r="K767" s="3"/>
      <c r="L767" s="806"/>
      <c r="M767" s="3"/>
      <c r="N767" s="817"/>
      <c r="O767" s="817"/>
    </row>
    <row r="768" spans="1:15">
      <c r="A768" s="3"/>
      <c r="B768" s="3"/>
      <c r="C768" s="803"/>
      <c r="D768" s="817"/>
      <c r="E768" s="817"/>
      <c r="F768" s="806"/>
      <c r="G768" s="3"/>
      <c r="H768" s="806"/>
      <c r="I768" s="3"/>
      <c r="J768" s="806"/>
      <c r="K768" s="3"/>
      <c r="L768" s="806"/>
      <c r="M768" s="3"/>
      <c r="N768" s="817"/>
      <c r="O768" s="817"/>
    </row>
    <row r="769" spans="1:15">
      <c r="A769" s="3"/>
      <c r="B769" s="3"/>
      <c r="C769" s="803"/>
      <c r="D769" s="817"/>
      <c r="E769" s="817"/>
      <c r="F769" s="806"/>
      <c r="G769" s="3"/>
      <c r="H769" s="806"/>
      <c r="I769" s="3"/>
      <c r="J769" s="806"/>
      <c r="K769" s="3"/>
      <c r="L769" s="806"/>
      <c r="M769" s="3"/>
      <c r="N769" s="817"/>
      <c r="O769" s="817"/>
    </row>
    <row r="770" spans="1:15">
      <c r="A770" s="3"/>
      <c r="B770" s="3"/>
      <c r="C770" s="803"/>
      <c r="D770" s="817"/>
      <c r="E770" s="817"/>
      <c r="F770" s="806"/>
      <c r="G770" s="3"/>
      <c r="H770" s="806"/>
      <c r="I770" s="3"/>
      <c r="J770" s="806"/>
      <c r="K770" s="3"/>
      <c r="L770" s="806"/>
      <c r="M770" s="3"/>
      <c r="N770" s="817"/>
      <c r="O770" s="817"/>
    </row>
    <row r="771" spans="1:15">
      <c r="A771" s="3"/>
      <c r="B771" s="3"/>
      <c r="C771" s="803"/>
      <c r="D771" s="817"/>
      <c r="E771" s="817"/>
      <c r="F771" s="806"/>
      <c r="G771" s="3"/>
      <c r="H771" s="806"/>
      <c r="I771" s="3"/>
      <c r="J771" s="806"/>
      <c r="K771" s="3"/>
      <c r="L771" s="806"/>
      <c r="M771" s="3"/>
      <c r="N771" s="817"/>
      <c r="O771" s="817"/>
    </row>
    <row r="772" spans="1:15">
      <c r="A772" s="3"/>
      <c r="B772" s="3"/>
      <c r="C772" s="803"/>
      <c r="D772" s="817"/>
      <c r="E772" s="817"/>
      <c r="F772" s="806"/>
      <c r="G772" s="3"/>
      <c r="H772" s="806"/>
      <c r="I772" s="3"/>
      <c r="J772" s="806"/>
      <c r="K772" s="3"/>
      <c r="L772" s="806"/>
      <c r="M772" s="3"/>
      <c r="N772" s="817"/>
      <c r="O772" s="817"/>
    </row>
    <row r="773" spans="1:15">
      <c r="A773" s="3"/>
      <c r="B773" s="3"/>
      <c r="C773" s="803"/>
      <c r="D773" s="817"/>
      <c r="E773" s="817"/>
      <c r="F773" s="806"/>
      <c r="G773" s="3"/>
      <c r="H773" s="806"/>
      <c r="I773" s="3"/>
      <c r="J773" s="806"/>
      <c r="K773" s="3"/>
      <c r="L773" s="806"/>
      <c r="M773" s="3"/>
      <c r="N773" s="817"/>
      <c r="O773" s="817"/>
    </row>
    <row r="774" spans="1:15">
      <c r="A774" s="3"/>
      <c r="B774" s="3"/>
      <c r="C774" s="803"/>
      <c r="D774" s="817"/>
      <c r="E774" s="817"/>
      <c r="F774" s="806"/>
      <c r="G774" s="3"/>
      <c r="H774" s="806"/>
      <c r="I774" s="3"/>
      <c r="J774" s="806"/>
      <c r="K774" s="3"/>
      <c r="L774" s="806"/>
      <c r="M774" s="3"/>
      <c r="N774" s="817"/>
      <c r="O774" s="817"/>
    </row>
    <row r="775" spans="1:15">
      <c r="A775" s="3"/>
      <c r="B775" s="3"/>
      <c r="C775" s="803"/>
      <c r="D775" s="817"/>
      <c r="E775" s="817"/>
      <c r="F775" s="806"/>
      <c r="G775" s="3"/>
      <c r="H775" s="806"/>
      <c r="I775" s="3"/>
      <c r="J775" s="806"/>
      <c r="K775" s="3"/>
      <c r="L775" s="806"/>
      <c r="M775" s="3"/>
      <c r="N775" s="817"/>
      <c r="O775" s="817"/>
    </row>
    <row r="776" spans="1:15">
      <c r="A776" s="3"/>
      <c r="B776" s="3"/>
      <c r="C776" s="803"/>
      <c r="D776" s="817"/>
      <c r="E776" s="817"/>
      <c r="F776" s="806"/>
      <c r="G776" s="3"/>
      <c r="H776" s="806"/>
      <c r="I776" s="3"/>
      <c r="J776" s="806"/>
      <c r="K776" s="3"/>
      <c r="L776" s="806"/>
      <c r="M776" s="3"/>
      <c r="N776" s="817"/>
      <c r="O776" s="817"/>
    </row>
    <row r="777" spans="1:15">
      <c r="A777" s="3"/>
      <c r="B777" s="3"/>
      <c r="C777" s="803"/>
      <c r="D777" s="817"/>
      <c r="E777" s="817"/>
      <c r="F777" s="806"/>
      <c r="G777" s="3"/>
      <c r="H777" s="806"/>
      <c r="I777" s="3"/>
      <c r="J777" s="806"/>
      <c r="K777" s="3"/>
      <c r="L777" s="806"/>
      <c r="M777" s="3"/>
      <c r="N777" s="817"/>
      <c r="O777" s="817"/>
    </row>
    <row r="778" spans="1:15">
      <c r="A778" s="3"/>
      <c r="B778" s="3"/>
      <c r="C778" s="803"/>
      <c r="D778" s="817"/>
      <c r="E778" s="817"/>
      <c r="F778" s="806"/>
      <c r="G778" s="3"/>
      <c r="H778" s="806"/>
      <c r="I778" s="3"/>
      <c r="J778" s="806"/>
      <c r="K778" s="3"/>
      <c r="L778" s="806"/>
      <c r="M778" s="3"/>
      <c r="N778" s="817"/>
      <c r="O778" s="817"/>
    </row>
    <row r="779" spans="1:15">
      <c r="A779" s="3"/>
      <c r="B779" s="3"/>
      <c r="C779" s="803"/>
      <c r="D779" s="817"/>
      <c r="E779" s="817"/>
      <c r="F779" s="806"/>
      <c r="G779" s="3"/>
      <c r="H779" s="806"/>
      <c r="I779" s="3"/>
      <c r="J779" s="806"/>
      <c r="K779" s="3"/>
      <c r="L779" s="806"/>
      <c r="M779" s="3"/>
      <c r="N779" s="817"/>
      <c r="O779" s="817"/>
    </row>
    <row r="780" spans="1:15">
      <c r="A780" s="3"/>
      <c r="B780" s="3"/>
      <c r="C780" s="803"/>
      <c r="D780" s="817"/>
      <c r="E780" s="817"/>
      <c r="F780" s="806"/>
      <c r="G780" s="3"/>
      <c r="H780" s="806"/>
      <c r="I780" s="3"/>
      <c r="J780" s="806"/>
      <c r="K780" s="3"/>
      <c r="L780" s="806"/>
      <c r="M780" s="3"/>
      <c r="N780" s="817"/>
      <c r="O780" s="817"/>
    </row>
    <row r="781" spans="1:15">
      <c r="A781" s="3"/>
      <c r="B781" s="3"/>
      <c r="C781" s="803"/>
      <c r="D781" s="817"/>
      <c r="E781" s="817"/>
      <c r="F781" s="806"/>
      <c r="G781" s="3"/>
      <c r="H781" s="806"/>
      <c r="I781" s="3"/>
      <c r="J781" s="806"/>
      <c r="K781" s="3"/>
      <c r="L781" s="806"/>
      <c r="M781" s="3"/>
      <c r="N781" s="817"/>
      <c r="O781" s="817"/>
    </row>
    <row r="782" spans="1:15">
      <c r="A782" s="3"/>
      <c r="B782" s="3"/>
      <c r="C782" s="803"/>
      <c r="D782" s="817"/>
      <c r="E782" s="817"/>
      <c r="F782" s="806"/>
      <c r="G782" s="3"/>
      <c r="H782" s="806"/>
      <c r="I782" s="3"/>
      <c r="J782" s="806"/>
      <c r="K782" s="3"/>
      <c r="L782" s="806"/>
      <c r="M782" s="3"/>
      <c r="N782" s="817"/>
      <c r="O782" s="817"/>
    </row>
    <row r="783" spans="1:15">
      <c r="A783" s="3"/>
      <c r="B783" s="3"/>
      <c r="C783" s="803"/>
      <c r="D783" s="817"/>
      <c r="E783" s="817"/>
      <c r="F783" s="806"/>
      <c r="G783" s="3"/>
      <c r="H783" s="806"/>
      <c r="I783" s="3"/>
      <c r="J783" s="806"/>
      <c r="K783" s="3"/>
      <c r="L783" s="806"/>
      <c r="M783" s="3"/>
      <c r="N783" s="817"/>
      <c r="O783" s="817"/>
    </row>
    <row r="784" spans="1:15">
      <c r="A784" s="3"/>
      <c r="B784" s="3"/>
      <c r="C784" s="803"/>
      <c r="D784" s="817"/>
      <c r="E784" s="817"/>
      <c r="F784" s="806"/>
      <c r="G784" s="3"/>
      <c r="H784" s="806"/>
      <c r="I784" s="3"/>
      <c r="J784" s="806"/>
      <c r="K784" s="3"/>
      <c r="L784" s="806"/>
      <c r="M784" s="3"/>
      <c r="N784" s="817"/>
      <c r="O784" s="817"/>
    </row>
    <row r="785" spans="1:15">
      <c r="A785" s="3"/>
      <c r="B785" s="3"/>
      <c r="C785" s="803"/>
      <c r="D785" s="817"/>
      <c r="E785" s="817"/>
      <c r="F785" s="806"/>
      <c r="G785" s="3"/>
      <c r="H785" s="806"/>
      <c r="I785" s="3"/>
      <c r="J785" s="806"/>
      <c r="K785" s="3"/>
      <c r="L785" s="806"/>
      <c r="M785" s="3"/>
      <c r="N785" s="817"/>
      <c r="O785" s="817"/>
    </row>
    <row r="786" spans="1:15">
      <c r="A786" s="3"/>
      <c r="B786" s="3"/>
      <c r="C786" s="803"/>
      <c r="D786" s="817"/>
      <c r="E786" s="817"/>
      <c r="F786" s="806"/>
      <c r="G786" s="3"/>
      <c r="H786" s="806"/>
      <c r="I786" s="3"/>
      <c r="J786" s="806"/>
      <c r="K786" s="3"/>
      <c r="L786" s="806"/>
      <c r="M786" s="3"/>
      <c r="N786" s="817"/>
      <c r="O786" s="817"/>
    </row>
    <row r="787" spans="1:15">
      <c r="A787" s="3"/>
      <c r="B787" s="3"/>
      <c r="C787" s="803"/>
      <c r="D787" s="817"/>
      <c r="E787" s="817"/>
      <c r="F787" s="806"/>
      <c r="G787" s="3"/>
      <c r="H787" s="806"/>
      <c r="I787" s="3"/>
      <c r="J787" s="806"/>
      <c r="K787" s="3"/>
      <c r="L787" s="806"/>
      <c r="M787" s="3"/>
      <c r="N787" s="817"/>
      <c r="O787" s="817"/>
    </row>
    <row r="788" spans="1:15">
      <c r="A788" s="3"/>
      <c r="B788" s="3"/>
      <c r="C788" s="803"/>
      <c r="D788" s="817"/>
      <c r="E788" s="817"/>
      <c r="F788" s="806"/>
      <c r="G788" s="3"/>
      <c r="H788" s="806"/>
      <c r="I788" s="3"/>
      <c r="J788" s="806"/>
      <c r="K788" s="3"/>
      <c r="L788" s="806"/>
      <c r="M788" s="3"/>
      <c r="N788" s="817"/>
      <c r="O788" s="817"/>
    </row>
    <row r="789" spans="1:15">
      <c r="A789" s="3"/>
      <c r="B789" s="3"/>
      <c r="C789" s="803"/>
      <c r="D789" s="817"/>
      <c r="E789" s="817"/>
      <c r="F789" s="806"/>
      <c r="G789" s="3"/>
      <c r="H789" s="806"/>
      <c r="I789" s="3"/>
      <c r="J789" s="806"/>
      <c r="K789" s="3"/>
      <c r="L789" s="806"/>
      <c r="M789" s="3"/>
      <c r="N789" s="817"/>
      <c r="O789" s="817"/>
    </row>
    <row r="790" spans="1:15">
      <c r="A790" s="3"/>
      <c r="B790" s="3"/>
      <c r="C790" s="803"/>
      <c r="D790" s="817"/>
      <c r="E790" s="817"/>
      <c r="F790" s="806"/>
      <c r="G790" s="3"/>
      <c r="H790" s="806"/>
      <c r="I790" s="3"/>
      <c r="J790" s="806"/>
      <c r="K790" s="3"/>
      <c r="L790" s="806"/>
      <c r="M790" s="3"/>
      <c r="N790" s="817"/>
      <c r="O790" s="817"/>
    </row>
    <row r="791" spans="1:15">
      <c r="A791" s="3"/>
      <c r="B791" s="3"/>
      <c r="C791" s="803"/>
      <c r="D791" s="817"/>
      <c r="E791" s="817"/>
      <c r="F791" s="806"/>
      <c r="G791" s="3"/>
      <c r="H791" s="806"/>
      <c r="I791" s="3"/>
      <c r="J791" s="806"/>
      <c r="K791" s="3"/>
      <c r="L791" s="806"/>
      <c r="M791" s="3"/>
      <c r="N791" s="817"/>
      <c r="O791" s="817"/>
    </row>
    <row r="792" spans="1:15">
      <c r="A792" s="3"/>
      <c r="B792" s="3"/>
      <c r="C792" s="803"/>
      <c r="D792" s="817"/>
      <c r="E792" s="817"/>
      <c r="F792" s="806"/>
      <c r="G792" s="3"/>
      <c r="H792" s="806"/>
      <c r="I792" s="3"/>
      <c r="J792" s="806"/>
      <c r="K792" s="3"/>
      <c r="L792" s="806"/>
      <c r="M792" s="3"/>
      <c r="N792" s="817"/>
      <c r="O792" s="817"/>
    </row>
    <row r="793" spans="1:15">
      <c r="A793" s="3"/>
      <c r="B793" s="3"/>
      <c r="C793" s="803"/>
      <c r="D793" s="817"/>
      <c r="E793" s="817"/>
      <c r="F793" s="806"/>
      <c r="G793" s="3"/>
      <c r="H793" s="806"/>
      <c r="I793" s="3"/>
      <c r="J793" s="806"/>
      <c r="K793" s="3"/>
      <c r="L793" s="806"/>
      <c r="M793" s="3"/>
      <c r="N793" s="817"/>
      <c r="O793" s="817"/>
    </row>
    <row r="794" spans="1:15">
      <c r="A794" s="3"/>
      <c r="B794" s="3"/>
      <c r="C794" s="803"/>
      <c r="D794" s="817"/>
      <c r="E794" s="817"/>
      <c r="F794" s="806"/>
      <c r="G794" s="3"/>
      <c r="H794" s="806"/>
      <c r="I794" s="3"/>
      <c r="J794" s="806"/>
      <c r="K794" s="3"/>
      <c r="L794" s="806"/>
      <c r="M794" s="3"/>
      <c r="N794" s="817"/>
      <c r="O794" s="817"/>
    </row>
    <row r="795" spans="1:15">
      <c r="A795" s="3"/>
      <c r="B795" s="3"/>
      <c r="C795" s="803"/>
      <c r="D795" s="817"/>
      <c r="E795" s="817"/>
      <c r="F795" s="806"/>
      <c r="G795" s="3"/>
      <c r="H795" s="806"/>
      <c r="I795" s="3"/>
      <c r="J795" s="806"/>
      <c r="K795" s="3"/>
      <c r="L795" s="806"/>
      <c r="M795" s="3"/>
      <c r="N795" s="817"/>
      <c r="O795" s="817"/>
    </row>
    <row r="796" spans="1:15">
      <c r="A796" s="3"/>
      <c r="B796" s="3"/>
      <c r="C796" s="803"/>
      <c r="D796" s="817"/>
      <c r="E796" s="817"/>
      <c r="F796" s="806"/>
      <c r="G796" s="3"/>
      <c r="H796" s="806"/>
      <c r="I796" s="3"/>
      <c r="J796" s="806"/>
      <c r="K796" s="3"/>
      <c r="L796" s="806"/>
      <c r="M796" s="3"/>
      <c r="N796" s="817"/>
      <c r="O796" s="817"/>
    </row>
    <row r="797" spans="1:15">
      <c r="A797" s="3"/>
      <c r="B797" s="3"/>
      <c r="C797" s="803"/>
      <c r="D797" s="817"/>
      <c r="E797" s="817"/>
      <c r="F797" s="806"/>
      <c r="G797" s="3"/>
      <c r="H797" s="806"/>
      <c r="I797" s="3"/>
      <c r="J797" s="806"/>
      <c r="K797" s="3"/>
      <c r="L797" s="806"/>
      <c r="M797" s="3"/>
      <c r="N797" s="817"/>
      <c r="O797" s="817"/>
    </row>
    <row r="798" spans="1:15">
      <c r="A798" s="3"/>
      <c r="B798" s="3"/>
      <c r="C798" s="803"/>
      <c r="D798" s="817"/>
      <c r="E798" s="817"/>
      <c r="F798" s="806"/>
      <c r="G798" s="3"/>
      <c r="H798" s="806"/>
      <c r="I798" s="3"/>
      <c r="J798" s="806"/>
      <c r="K798" s="3"/>
      <c r="L798" s="806"/>
      <c r="M798" s="3"/>
      <c r="N798" s="817"/>
      <c r="O798" s="817"/>
    </row>
    <row r="799" spans="1:15">
      <c r="A799" s="3"/>
      <c r="B799" s="3"/>
      <c r="C799" s="803"/>
      <c r="D799" s="817"/>
      <c r="E799" s="817"/>
      <c r="F799" s="806"/>
      <c r="G799" s="3"/>
      <c r="H799" s="806"/>
      <c r="I799" s="3"/>
      <c r="J799" s="806"/>
      <c r="K799" s="3"/>
      <c r="L799" s="806"/>
      <c r="M799" s="3"/>
      <c r="N799" s="817"/>
      <c r="O799" s="817"/>
    </row>
    <row r="800" spans="1:15">
      <c r="A800" s="3"/>
      <c r="B800" s="3"/>
      <c r="C800" s="803"/>
      <c r="D800" s="817"/>
      <c r="E800" s="817"/>
      <c r="F800" s="806"/>
      <c r="G800" s="3"/>
      <c r="H800" s="806"/>
      <c r="I800" s="3"/>
      <c r="J800" s="806"/>
      <c r="K800" s="3"/>
      <c r="L800" s="806"/>
      <c r="M800" s="3"/>
      <c r="N800" s="817"/>
      <c r="O800" s="817"/>
    </row>
    <row r="801" spans="1:15">
      <c r="A801" s="3"/>
      <c r="B801" s="3"/>
      <c r="C801" s="803"/>
      <c r="D801" s="817"/>
      <c r="E801" s="817"/>
      <c r="F801" s="806"/>
      <c r="G801" s="3"/>
      <c r="H801" s="806"/>
      <c r="I801" s="3"/>
      <c r="J801" s="806"/>
      <c r="K801" s="3"/>
      <c r="L801" s="806"/>
      <c r="M801" s="3"/>
      <c r="N801" s="817"/>
      <c r="O801" s="817"/>
    </row>
    <row r="802" spans="1:15">
      <c r="A802" s="3"/>
      <c r="B802" s="3"/>
      <c r="C802" s="803"/>
      <c r="D802" s="817"/>
      <c r="E802" s="817"/>
      <c r="F802" s="806"/>
      <c r="G802" s="3"/>
      <c r="H802" s="806"/>
      <c r="I802" s="3"/>
      <c r="J802" s="806"/>
      <c r="K802" s="3"/>
      <c r="L802" s="806"/>
      <c r="M802" s="3"/>
      <c r="N802" s="817"/>
      <c r="O802" s="817"/>
    </row>
    <row r="803" spans="1:15">
      <c r="A803" s="3"/>
      <c r="B803" s="3"/>
      <c r="C803" s="803"/>
      <c r="D803" s="817"/>
      <c r="E803" s="817"/>
      <c r="F803" s="806"/>
      <c r="G803" s="3"/>
      <c r="H803" s="806"/>
      <c r="I803" s="3"/>
      <c r="J803" s="806"/>
      <c r="K803" s="3"/>
      <c r="L803" s="806"/>
      <c r="M803" s="3"/>
      <c r="N803" s="817"/>
      <c r="O803" s="817"/>
    </row>
    <row r="804" spans="1:15">
      <c r="A804" s="3"/>
      <c r="B804" s="3"/>
      <c r="C804" s="803"/>
      <c r="D804" s="817"/>
      <c r="E804" s="817"/>
      <c r="F804" s="806"/>
      <c r="G804" s="3"/>
      <c r="H804" s="806"/>
      <c r="I804" s="3"/>
      <c r="J804" s="806"/>
      <c r="K804" s="3"/>
      <c r="L804" s="806"/>
      <c r="M804" s="3"/>
      <c r="N804" s="817"/>
      <c r="O804" s="817"/>
    </row>
    <row r="805" spans="1:15">
      <c r="A805" s="3"/>
      <c r="B805" s="3"/>
      <c r="C805" s="803"/>
      <c r="D805" s="817"/>
      <c r="E805" s="817"/>
      <c r="F805" s="806"/>
      <c r="G805" s="3"/>
      <c r="H805" s="806"/>
      <c r="I805" s="3"/>
      <c r="J805" s="806"/>
      <c r="K805" s="3"/>
      <c r="L805" s="806"/>
      <c r="M805" s="3"/>
      <c r="N805" s="817"/>
      <c r="O805" s="817"/>
    </row>
    <row r="806" spans="1:15">
      <c r="A806" s="3"/>
      <c r="B806" s="3"/>
      <c r="C806" s="803"/>
      <c r="D806" s="817"/>
      <c r="E806" s="817"/>
      <c r="F806" s="806"/>
      <c r="G806" s="3"/>
      <c r="H806" s="806"/>
      <c r="I806" s="3"/>
      <c r="J806" s="806"/>
      <c r="K806" s="3"/>
      <c r="L806" s="806"/>
      <c r="M806" s="3"/>
      <c r="N806" s="817"/>
      <c r="O806" s="817"/>
    </row>
    <row r="807" spans="1:15">
      <c r="A807" s="3"/>
      <c r="B807" s="3"/>
      <c r="C807" s="803"/>
      <c r="D807" s="817"/>
      <c r="E807" s="817"/>
      <c r="F807" s="806"/>
      <c r="G807" s="3"/>
      <c r="H807" s="806"/>
      <c r="I807" s="3"/>
      <c r="J807" s="806"/>
      <c r="K807" s="3"/>
      <c r="L807" s="806"/>
      <c r="M807" s="3"/>
      <c r="N807" s="817"/>
      <c r="O807" s="817"/>
    </row>
    <row r="808" spans="1:15">
      <c r="A808" s="3"/>
      <c r="B808" s="3"/>
      <c r="C808" s="803"/>
      <c r="D808" s="817"/>
      <c r="E808" s="817"/>
      <c r="F808" s="806"/>
      <c r="G808" s="3"/>
      <c r="H808" s="806"/>
      <c r="I808" s="3"/>
      <c r="J808" s="806"/>
      <c r="K808" s="3"/>
      <c r="L808" s="806"/>
      <c r="M808" s="3"/>
      <c r="N808" s="817"/>
      <c r="O808" s="817"/>
    </row>
    <row r="809" spans="1:15">
      <c r="A809" s="3"/>
      <c r="B809" s="3"/>
      <c r="C809" s="803"/>
      <c r="D809" s="817"/>
      <c r="E809" s="817"/>
      <c r="F809" s="806"/>
      <c r="G809" s="3"/>
      <c r="H809" s="806"/>
      <c r="I809" s="3"/>
      <c r="J809" s="806"/>
      <c r="K809" s="3"/>
      <c r="L809" s="806"/>
      <c r="M809" s="3"/>
      <c r="N809" s="817"/>
      <c r="O809" s="817"/>
    </row>
    <row r="810" spans="1:15">
      <c r="A810" s="3"/>
      <c r="B810" s="3"/>
      <c r="C810" s="803"/>
      <c r="D810" s="817"/>
      <c r="E810" s="817"/>
      <c r="F810" s="806"/>
      <c r="G810" s="3"/>
      <c r="H810" s="806"/>
      <c r="I810" s="3"/>
      <c r="J810" s="806"/>
      <c r="K810" s="3"/>
      <c r="L810" s="806"/>
      <c r="M810" s="3"/>
      <c r="N810" s="817"/>
      <c r="O810" s="817"/>
    </row>
    <row r="811" spans="1:15">
      <c r="A811" s="3"/>
      <c r="B811" s="3"/>
      <c r="C811" s="803"/>
      <c r="D811" s="817"/>
      <c r="E811" s="817"/>
      <c r="F811" s="806"/>
      <c r="G811" s="3"/>
      <c r="H811" s="806"/>
      <c r="I811" s="3"/>
      <c r="J811" s="806"/>
      <c r="K811" s="3"/>
      <c r="L811" s="806"/>
      <c r="M811" s="3"/>
      <c r="N811" s="817"/>
      <c r="O811" s="817"/>
    </row>
    <row r="812" spans="1:15">
      <c r="A812" s="3"/>
      <c r="B812" s="3"/>
      <c r="C812" s="803"/>
      <c r="D812" s="817"/>
      <c r="E812" s="817"/>
      <c r="F812" s="806"/>
      <c r="G812" s="3"/>
      <c r="H812" s="806"/>
      <c r="I812" s="3"/>
      <c r="J812" s="806"/>
      <c r="K812" s="3"/>
      <c r="L812" s="806"/>
      <c r="M812" s="3"/>
      <c r="N812" s="817"/>
      <c r="O812" s="817"/>
    </row>
    <row r="813" spans="1:15">
      <c r="A813" s="3"/>
      <c r="B813" s="3"/>
      <c r="C813" s="803"/>
      <c r="D813" s="817"/>
      <c r="E813" s="817"/>
      <c r="F813" s="806"/>
      <c r="G813" s="3"/>
      <c r="H813" s="806"/>
      <c r="I813" s="3"/>
      <c r="J813" s="806"/>
      <c r="K813" s="3"/>
      <c r="L813" s="806"/>
      <c r="M813" s="3"/>
      <c r="N813" s="817"/>
      <c r="O813" s="817"/>
    </row>
    <row r="814" spans="1:15">
      <c r="A814" s="3"/>
      <c r="B814" s="3"/>
      <c r="C814" s="803"/>
      <c r="D814" s="817"/>
      <c r="E814" s="817"/>
      <c r="F814" s="806"/>
      <c r="G814" s="3"/>
      <c r="H814" s="806"/>
      <c r="I814" s="3"/>
      <c r="J814" s="806"/>
      <c r="K814" s="3"/>
      <c r="L814" s="806"/>
      <c r="M814" s="3"/>
      <c r="N814" s="817"/>
      <c r="O814" s="817"/>
    </row>
    <row r="815" spans="1:15">
      <c r="A815" s="3"/>
      <c r="B815" s="3"/>
      <c r="C815" s="803"/>
      <c r="D815" s="817"/>
      <c r="E815" s="817"/>
      <c r="F815" s="806"/>
      <c r="G815" s="3"/>
      <c r="H815" s="806"/>
      <c r="I815" s="3"/>
      <c r="J815" s="806"/>
      <c r="K815" s="3"/>
      <c r="L815" s="806"/>
      <c r="M815" s="3"/>
      <c r="N815" s="817"/>
      <c r="O815" s="817"/>
    </row>
    <row r="816" spans="1:15">
      <c r="A816" s="3"/>
      <c r="B816" s="3"/>
      <c r="C816" s="803"/>
      <c r="D816" s="817"/>
      <c r="E816" s="817"/>
      <c r="F816" s="806"/>
      <c r="G816" s="3"/>
      <c r="H816" s="806"/>
      <c r="I816" s="3"/>
      <c r="J816" s="806"/>
      <c r="K816" s="3"/>
      <c r="L816" s="806"/>
      <c r="M816" s="3"/>
      <c r="N816" s="817"/>
      <c r="O816" s="817"/>
    </row>
    <row r="817" spans="1:15">
      <c r="A817" s="3"/>
      <c r="B817" s="3"/>
      <c r="C817" s="803"/>
      <c r="D817" s="817"/>
      <c r="E817" s="817"/>
      <c r="F817" s="806"/>
      <c r="G817" s="3"/>
      <c r="H817" s="806"/>
      <c r="I817" s="3"/>
      <c r="J817" s="806"/>
      <c r="K817" s="3"/>
      <c r="L817" s="806"/>
      <c r="M817" s="3"/>
      <c r="N817" s="817"/>
      <c r="O817" s="817"/>
    </row>
    <row r="818" spans="1:15">
      <c r="A818" s="3"/>
      <c r="B818" s="3"/>
      <c r="C818" s="803"/>
      <c r="D818" s="817"/>
      <c r="E818" s="817"/>
      <c r="F818" s="806"/>
      <c r="G818" s="3"/>
      <c r="H818" s="806"/>
      <c r="I818" s="3"/>
      <c r="J818" s="806"/>
      <c r="K818" s="3"/>
      <c r="L818" s="806"/>
      <c r="M818" s="3"/>
      <c r="N818" s="817"/>
      <c r="O818" s="817"/>
    </row>
    <row r="819" spans="1:15">
      <c r="A819" s="3"/>
      <c r="B819" s="3"/>
      <c r="C819" s="803"/>
      <c r="D819" s="817"/>
      <c r="E819" s="817"/>
      <c r="F819" s="806"/>
      <c r="G819" s="3"/>
      <c r="H819" s="806"/>
      <c r="I819" s="3"/>
      <c r="J819" s="806"/>
      <c r="K819" s="3"/>
      <c r="L819" s="806"/>
      <c r="M819" s="3"/>
      <c r="N819" s="817"/>
      <c r="O819" s="817"/>
    </row>
    <row r="820" spans="1:15">
      <c r="A820" s="3"/>
      <c r="B820" s="3"/>
      <c r="C820" s="803"/>
      <c r="D820" s="817"/>
      <c r="E820" s="817"/>
      <c r="F820" s="806"/>
      <c r="G820" s="3"/>
      <c r="H820" s="806"/>
      <c r="I820" s="3"/>
      <c r="J820" s="806"/>
      <c r="K820" s="3"/>
      <c r="L820" s="806"/>
      <c r="M820" s="3"/>
      <c r="N820" s="817"/>
      <c r="O820" s="817"/>
    </row>
    <row r="821" spans="1:15">
      <c r="A821" s="3"/>
      <c r="B821" s="3"/>
      <c r="C821" s="803"/>
      <c r="D821" s="817"/>
      <c r="E821" s="817"/>
      <c r="F821" s="806"/>
      <c r="G821" s="3"/>
      <c r="H821" s="806"/>
      <c r="I821" s="3"/>
      <c r="J821" s="806"/>
      <c r="K821" s="3"/>
      <c r="L821" s="806"/>
      <c r="M821" s="3"/>
      <c r="N821" s="817"/>
      <c r="O821" s="817"/>
    </row>
    <row r="822" spans="1:15">
      <c r="A822" s="3"/>
      <c r="B822" s="3"/>
      <c r="C822" s="803"/>
      <c r="D822" s="817"/>
      <c r="E822" s="817"/>
      <c r="F822" s="806"/>
      <c r="G822" s="3"/>
      <c r="H822" s="806"/>
      <c r="I822" s="3"/>
      <c r="J822" s="806"/>
      <c r="K822" s="3"/>
      <c r="L822" s="806"/>
      <c r="M822" s="3"/>
      <c r="N822" s="817"/>
      <c r="O822" s="817"/>
    </row>
    <row r="823" spans="1:15">
      <c r="A823" s="3"/>
      <c r="B823" s="3"/>
      <c r="C823" s="803"/>
      <c r="D823" s="817"/>
      <c r="E823" s="817"/>
      <c r="F823" s="806"/>
      <c r="G823" s="3"/>
      <c r="H823" s="806"/>
      <c r="I823" s="3"/>
      <c r="J823" s="806"/>
      <c r="K823" s="3"/>
      <c r="L823" s="806"/>
      <c r="M823" s="3"/>
      <c r="N823" s="817"/>
      <c r="O823" s="817"/>
    </row>
    <row r="824" spans="1:15">
      <c r="A824" s="3"/>
      <c r="B824" s="3"/>
      <c r="C824" s="803"/>
      <c r="D824" s="817"/>
      <c r="E824" s="817"/>
      <c r="F824" s="806"/>
      <c r="G824" s="3"/>
      <c r="H824" s="806"/>
      <c r="I824" s="3"/>
      <c r="J824" s="806"/>
      <c r="K824" s="3"/>
      <c r="L824" s="806"/>
      <c r="M824" s="3"/>
      <c r="N824" s="817"/>
      <c r="O824" s="817"/>
    </row>
  </sheetData>
  <mergeCells count="1">
    <mergeCell ref="D1:O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A31F0-9CA1-494E-9DF7-3221A416CAB6}">
  <dimension ref="A1:N8"/>
  <sheetViews>
    <sheetView workbookViewId="0">
      <selection activeCell="F20" sqref="F20"/>
    </sheetView>
  </sheetViews>
  <sheetFormatPr defaultRowHeight="13.2"/>
  <cols>
    <col min="1" max="1" width="18.109375" customWidth="1"/>
    <col min="2" max="2" width="11.6640625" customWidth="1"/>
    <col min="3" max="3" width="10.88671875" customWidth="1"/>
    <col min="4" max="4" width="11.88671875" customWidth="1"/>
    <col min="5" max="5" width="11.5546875" customWidth="1"/>
    <col min="6" max="6" width="13.6640625" customWidth="1"/>
    <col min="7" max="7" width="12.33203125" customWidth="1"/>
    <col min="8" max="8" width="13" customWidth="1"/>
    <col min="9" max="10" width="12.109375" customWidth="1"/>
    <col min="11" max="11" width="12.5546875" customWidth="1"/>
    <col min="12" max="12" width="12.33203125" customWidth="1"/>
    <col min="13" max="13" width="14.109375" customWidth="1"/>
    <col min="14" max="14" width="14.88671875" customWidth="1"/>
  </cols>
  <sheetData>
    <row r="1" spans="1:14" ht="25.95" customHeight="1" thickBot="1">
      <c r="A1" s="1927" t="s">
        <v>778</v>
      </c>
      <c r="B1" s="1929" t="s">
        <v>779</v>
      </c>
      <c r="C1" s="1930"/>
      <c r="D1" s="1930"/>
      <c r="E1" s="1930"/>
      <c r="F1" s="1930"/>
      <c r="G1" s="1930"/>
      <c r="H1" s="1930"/>
      <c r="I1" s="1930"/>
      <c r="J1" s="1930"/>
      <c r="K1" s="1930"/>
      <c r="L1" s="1930"/>
      <c r="M1" s="1930"/>
      <c r="N1" s="1931" t="s">
        <v>221</v>
      </c>
    </row>
    <row r="2" spans="1:14" ht="13.8" thickBot="1">
      <c r="A2" s="1928"/>
      <c r="B2" s="827">
        <v>1</v>
      </c>
      <c r="C2" s="827">
        <v>2</v>
      </c>
      <c r="D2" s="827">
        <v>3</v>
      </c>
      <c r="E2" s="827">
        <v>4</v>
      </c>
      <c r="F2" s="827">
        <v>5</v>
      </c>
      <c r="G2" s="827">
        <v>6</v>
      </c>
      <c r="H2" s="827">
        <v>7</v>
      </c>
      <c r="I2" s="827">
        <v>8</v>
      </c>
      <c r="J2" s="827">
        <v>9</v>
      </c>
      <c r="K2" s="827">
        <v>10</v>
      </c>
      <c r="L2" s="827">
        <v>11</v>
      </c>
      <c r="M2" s="924">
        <v>12</v>
      </c>
      <c r="N2" s="1932"/>
    </row>
    <row r="3" spans="1:14" ht="27" thickBot="1">
      <c r="A3" s="828" t="s">
        <v>780</v>
      </c>
      <c r="B3" s="832">
        <v>113652</v>
      </c>
      <c r="C3" s="832">
        <v>117663</v>
      </c>
      <c r="D3" s="833">
        <v>77092</v>
      </c>
      <c r="E3" s="833">
        <v>77092</v>
      </c>
      <c r="F3" s="833">
        <v>77092</v>
      </c>
      <c r="G3" s="833">
        <v>77092</v>
      </c>
      <c r="H3" s="833">
        <v>77092</v>
      </c>
      <c r="I3" s="833">
        <v>77092</v>
      </c>
      <c r="J3" s="833">
        <v>77092</v>
      </c>
      <c r="K3" s="833">
        <v>77092</v>
      </c>
      <c r="L3" s="833">
        <v>77092</v>
      </c>
      <c r="M3" s="925">
        <v>77092</v>
      </c>
      <c r="N3" s="929" t="s">
        <v>781</v>
      </c>
    </row>
    <row r="4" spans="1:14" ht="13.8" thickBot="1">
      <c r="A4" s="828" t="s">
        <v>782</v>
      </c>
      <c r="B4" s="832">
        <v>563250</v>
      </c>
      <c r="C4" s="832">
        <v>563250</v>
      </c>
      <c r="D4" s="832">
        <v>563250</v>
      </c>
      <c r="E4" s="832">
        <v>563250</v>
      </c>
      <c r="F4" s="832">
        <v>563250</v>
      </c>
      <c r="G4" s="832">
        <v>563250</v>
      </c>
      <c r="H4" s="832">
        <v>563250</v>
      </c>
      <c r="I4" s="832">
        <v>563250</v>
      </c>
      <c r="J4" s="832">
        <v>563250</v>
      </c>
      <c r="K4" s="832">
        <v>563250</v>
      </c>
      <c r="L4" s="832">
        <v>563250</v>
      </c>
      <c r="M4" s="926">
        <v>563250</v>
      </c>
      <c r="N4" s="929" t="s">
        <v>783</v>
      </c>
    </row>
    <row r="5" spans="1:14" ht="13.8" thickBot="1">
      <c r="A5" s="828" t="s">
        <v>784</v>
      </c>
      <c r="B5" s="832">
        <v>515975</v>
      </c>
      <c r="C5" s="832">
        <v>320730</v>
      </c>
      <c r="D5" s="832">
        <v>320730</v>
      </c>
      <c r="E5" s="832">
        <v>320730</v>
      </c>
      <c r="F5" s="832">
        <v>205450</v>
      </c>
      <c r="G5" s="832">
        <v>205450</v>
      </c>
      <c r="H5" s="832">
        <v>205450</v>
      </c>
      <c r="I5" s="832">
        <v>205450</v>
      </c>
      <c r="J5" s="832">
        <v>205450</v>
      </c>
      <c r="K5" s="832">
        <v>205450</v>
      </c>
      <c r="L5" s="832">
        <v>205450</v>
      </c>
      <c r="M5" s="926">
        <v>205450</v>
      </c>
      <c r="N5" s="929" t="s">
        <v>785</v>
      </c>
    </row>
    <row r="6" spans="1:14" ht="13.8" thickBot="1">
      <c r="A6" s="828" t="s">
        <v>786</v>
      </c>
      <c r="B6" s="832">
        <v>747600</v>
      </c>
      <c r="C6" s="832" t="s">
        <v>787</v>
      </c>
      <c r="D6" s="832">
        <v>269200</v>
      </c>
      <c r="E6" s="832">
        <v>269200</v>
      </c>
      <c r="F6" s="832">
        <v>269200</v>
      </c>
      <c r="G6" s="832">
        <v>182300</v>
      </c>
      <c r="H6" s="832">
        <v>182300</v>
      </c>
      <c r="I6" s="832">
        <v>182300</v>
      </c>
      <c r="J6" s="832">
        <v>182300</v>
      </c>
      <c r="K6" s="832">
        <v>182300</v>
      </c>
      <c r="L6" s="832">
        <v>182300</v>
      </c>
      <c r="M6" s="926">
        <v>182300</v>
      </c>
      <c r="N6" s="929" t="s">
        <v>788</v>
      </c>
    </row>
    <row r="7" spans="1:14" ht="13.8" thickBot="1">
      <c r="A7" s="829" t="s">
        <v>805</v>
      </c>
      <c r="B7" s="834">
        <v>1100000</v>
      </c>
      <c r="C7" s="834">
        <v>1100000</v>
      </c>
      <c r="D7" s="834">
        <v>1100000</v>
      </c>
      <c r="E7" s="834">
        <v>1100000</v>
      </c>
      <c r="F7" s="834">
        <v>1100000</v>
      </c>
      <c r="G7" s="834">
        <v>1100000</v>
      </c>
      <c r="H7" s="834">
        <v>1100000</v>
      </c>
      <c r="I7" s="834">
        <v>1100000</v>
      </c>
      <c r="J7" s="834">
        <v>1100000</v>
      </c>
      <c r="K7" s="834">
        <v>1100000</v>
      </c>
      <c r="L7" s="834">
        <v>1100000</v>
      </c>
      <c r="M7" s="927">
        <v>1100000</v>
      </c>
      <c r="N7" s="929">
        <f>SUM(B7:M7)</f>
        <v>13200000</v>
      </c>
    </row>
    <row r="8" spans="1:14" ht="27" thickBot="1">
      <c r="A8" s="830" t="s">
        <v>789</v>
      </c>
      <c r="B8" s="831">
        <f>SUM(B3:B7)</f>
        <v>3040477</v>
      </c>
      <c r="C8" s="831">
        <f t="shared" ref="C8:M8" si="0">SUM(C3:C7)</f>
        <v>2101643</v>
      </c>
      <c r="D8" s="831">
        <f t="shared" si="0"/>
        <v>2330272</v>
      </c>
      <c r="E8" s="831">
        <f t="shared" si="0"/>
        <v>2330272</v>
      </c>
      <c r="F8" s="831">
        <f t="shared" si="0"/>
        <v>2214992</v>
      </c>
      <c r="G8" s="831">
        <f t="shared" si="0"/>
        <v>2128092</v>
      </c>
      <c r="H8" s="831">
        <f t="shared" si="0"/>
        <v>2128092</v>
      </c>
      <c r="I8" s="831">
        <f t="shared" si="0"/>
        <v>2128092</v>
      </c>
      <c r="J8" s="831">
        <f t="shared" si="0"/>
        <v>2128092</v>
      </c>
      <c r="K8" s="831">
        <f t="shared" si="0"/>
        <v>2128092</v>
      </c>
      <c r="L8" s="831">
        <f t="shared" si="0"/>
        <v>2128092</v>
      </c>
      <c r="M8" s="928">
        <f t="shared" si="0"/>
        <v>2128092</v>
      </c>
      <c r="N8" s="930">
        <f>SUM(B8:M8)</f>
        <v>26914300</v>
      </c>
    </row>
  </sheetData>
  <mergeCells count="3">
    <mergeCell ref="A1:A2"/>
    <mergeCell ref="B1:M1"/>
    <mergeCell ref="N1:N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C8B33-4C0F-4A44-B214-82533BFB91DD}">
  <dimension ref="A1:I137"/>
  <sheetViews>
    <sheetView zoomScale="131" zoomScaleNormal="131" workbookViewId="0">
      <selection activeCell="C77" sqref="C77"/>
    </sheetView>
  </sheetViews>
  <sheetFormatPr defaultRowHeight="13.2"/>
  <cols>
    <col min="1" max="1" width="12.109375" customWidth="1"/>
    <col min="2" max="2" width="11.6640625" customWidth="1"/>
    <col min="3" max="3" width="11.33203125" customWidth="1"/>
    <col min="4" max="4" width="11.6640625" customWidth="1"/>
    <col min="5" max="5" width="10.5546875" customWidth="1"/>
    <col min="6" max="6" width="9.6640625" customWidth="1"/>
    <col min="7" max="7" width="10.6640625" customWidth="1"/>
  </cols>
  <sheetData>
    <row r="1" spans="1:9" ht="18">
      <c r="A1" s="107" t="s">
        <v>513</v>
      </c>
      <c r="B1" s="108"/>
      <c r="C1" s="108"/>
      <c r="D1" s="108"/>
      <c r="E1" s="109"/>
      <c r="F1" s="108"/>
      <c r="G1" s="108"/>
      <c r="H1" s="108"/>
      <c r="I1" s="110"/>
    </row>
    <row r="2" spans="1:9" ht="13.8">
      <c r="A2" s="111"/>
      <c r="B2" s="112"/>
      <c r="C2" s="112"/>
      <c r="D2" s="112"/>
      <c r="E2" s="112"/>
      <c r="F2" s="112"/>
      <c r="G2" s="112"/>
      <c r="H2" s="112"/>
      <c r="I2" s="113"/>
    </row>
    <row r="3" spans="1:9" ht="13.8">
      <c r="A3" s="111"/>
      <c r="B3" s="114"/>
      <c r="C3" s="114"/>
      <c r="D3" s="114"/>
      <c r="E3" s="114"/>
      <c r="F3" s="114"/>
      <c r="G3" s="114"/>
      <c r="H3" s="114"/>
      <c r="I3" s="115"/>
    </row>
    <row r="4" spans="1:9" ht="53.4" thickBot="1">
      <c r="A4" s="116" t="s">
        <v>514</v>
      </c>
      <c r="B4" s="117" t="s">
        <v>515</v>
      </c>
      <c r="C4" s="117" t="s">
        <v>516</v>
      </c>
      <c r="D4" s="118" t="s">
        <v>517</v>
      </c>
      <c r="E4" s="118" t="s">
        <v>518</v>
      </c>
      <c r="F4" s="117" t="s">
        <v>519</v>
      </c>
      <c r="G4" s="117" t="s">
        <v>520</v>
      </c>
      <c r="H4" s="118" t="s">
        <v>521</v>
      </c>
      <c r="I4" s="119" t="s">
        <v>522</v>
      </c>
    </row>
    <row r="5" spans="1:9">
      <c r="A5" s="120" t="s">
        <v>523</v>
      </c>
      <c r="B5" s="121">
        <f>[20]Фин.модель!D7</f>
        <v>13555007.632427732</v>
      </c>
      <c r="C5" s="121">
        <v>14973705</v>
      </c>
      <c r="D5" s="121">
        <f t="shared" ref="D5:D15" si="0">C5-B5</f>
        <v>1418697.3675722685</v>
      </c>
      <c r="E5" s="143">
        <f t="shared" ref="E5:E15" si="1">IF((OR(ISERROR(C5/B5-1),AND(B5&lt;0,C5&gt;0),AND(B5&gt;0,C5&lt;0))),"-",(C5-B5)/ABS(B5))</f>
        <v>0.1046622330317476</v>
      </c>
      <c r="F5" s="1933">
        <f>B5+B6+B7</f>
        <v>46252883.910495572</v>
      </c>
      <c r="G5" s="1933">
        <f>C5+C6+C7</f>
        <v>44848431</v>
      </c>
      <c r="H5" s="1933">
        <f>G5-F5</f>
        <v>-1404452.9104955718</v>
      </c>
      <c r="I5" s="1935">
        <f>H5/F5</f>
        <v>-3.0364656033412814E-2</v>
      </c>
    </row>
    <row r="6" spans="1:9">
      <c r="A6" s="123" t="s">
        <v>524</v>
      </c>
      <c r="B6" s="124">
        <f>[20]Фин.модель!F7</f>
        <v>15930970.729961313</v>
      </c>
      <c r="C6" s="124">
        <v>13523999</v>
      </c>
      <c r="D6" s="124">
        <f t="shared" si="0"/>
        <v>-2406971.7299613133</v>
      </c>
      <c r="E6" s="141">
        <f t="shared" si="1"/>
        <v>-0.15108757468460671</v>
      </c>
      <c r="F6" s="1934"/>
      <c r="G6" s="1934"/>
      <c r="H6" s="1934"/>
      <c r="I6" s="1936"/>
    </row>
    <row r="7" spans="1:9" ht="13.8" thickBot="1">
      <c r="A7" s="126" t="s">
        <v>525</v>
      </c>
      <c r="B7" s="127">
        <f>[20]Фин.модель!H7</f>
        <v>16766905.548106529</v>
      </c>
      <c r="C7" s="127">
        <v>16350727</v>
      </c>
      <c r="D7" s="127">
        <f t="shared" si="0"/>
        <v>-416178.54810652882</v>
      </c>
      <c r="E7" s="142">
        <f t="shared" si="1"/>
        <v>-2.4821428552362034E-2</v>
      </c>
      <c r="F7" s="1937"/>
      <c r="G7" s="1937"/>
      <c r="H7" s="1937"/>
      <c r="I7" s="1938"/>
    </row>
    <row r="8" spans="1:9">
      <c r="A8" s="120" t="s">
        <v>526</v>
      </c>
      <c r="B8" s="121">
        <f>[20]Фин.модель!N7</f>
        <v>17222231.898638308</v>
      </c>
      <c r="C8" s="121" t="e">
        <f>Фин.модель!#REF!</f>
        <v>#REF!</v>
      </c>
      <c r="D8" s="121" t="e">
        <f t="shared" si="0"/>
        <v>#REF!</v>
      </c>
      <c r="E8" s="143" t="e">
        <f t="shared" si="1"/>
        <v>#REF!</v>
      </c>
      <c r="F8" s="1933">
        <f>B8+B9+B10</f>
        <v>52962691.16149506</v>
      </c>
      <c r="G8" s="1933" t="e">
        <f>C8+C9+C10</f>
        <v>#REF!</v>
      </c>
      <c r="H8" s="1933" t="e">
        <f>G8-F8</f>
        <v>#REF!</v>
      </c>
      <c r="I8" s="1935" t="e">
        <f>H8/F8</f>
        <v>#REF!</v>
      </c>
    </row>
    <row r="9" spans="1:9">
      <c r="A9" s="123" t="s">
        <v>527</v>
      </c>
      <c r="B9" s="124">
        <f>[20]Фин.модель!O7</f>
        <v>17812049.160874449</v>
      </c>
      <c r="C9" s="124" t="e">
        <f>Фин.модель!#REF!</f>
        <v>#REF!</v>
      </c>
      <c r="D9" s="124" t="e">
        <f t="shared" si="0"/>
        <v>#REF!</v>
      </c>
      <c r="E9" s="141" t="e">
        <f t="shared" si="1"/>
        <v>#REF!</v>
      </c>
      <c r="F9" s="1934"/>
      <c r="G9" s="1934"/>
      <c r="H9" s="1934"/>
      <c r="I9" s="1936"/>
    </row>
    <row r="10" spans="1:9" ht="13.8" thickBot="1">
      <c r="A10" s="123" t="s">
        <v>528</v>
      </c>
      <c r="B10" s="124">
        <f>[20]Фин.модель!P7</f>
        <v>17928410.101982307</v>
      </c>
      <c r="C10" s="124" t="e">
        <f>Фин.модель!#REF!</f>
        <v>#REF!</v>
      </c>
      <c r="D10" s="124" t="e">
        <f t="shared" si="0"/>
        <v>#REF!</v>
      </c>
      <c r="E10" s="141" t="e">
        <f t="shared" si="1"/>
        <v>#REF!</v>
      </c>
      <c r="F10" s="1934"/>
      <c r="G10" s="1934"/>
      <c r="H10" s="1934"/>
      <c r="I10" s="1936"/>
    </row>
    <row r="11" spans="1:9">
      <c r="A11" s="120" t="s">
        <v>529</v>
      </c>
      <c r="B11" s="121">
        <f>[20]Фин.модель!Q7</f>
        <v>18698293.146779105</v>
      </c>
      <c r="C11" s="121" t="e">
        <f>Фин.модель!#REF!</f>
        <v>#REF!</v>
      </c>
      <c r="D11" s="121" t="e">
        <f t="shared" si="0"/>
        <v>#REF!</v>
      </c>
      <c r="E11" s="143" t="e">
        <f t="shared" si="1"/>
        <v>#REF!</v>
      </c>
      <c r="F11" s="1933">
        <f>B11+B12+B13</f>
        <v>57379603.580004841</v>
      </c>
      <c r="G11" s="1933" t="e">
        <f>C11+C12+C13</f>
        <v>#REF!</v>
      </c>
      <c r="H11" s="1933" t="e">
        <f>G11-F11</f>
        <v>#REF!</v>
      </c>
      <c r="I11" s="1935" t="e">
        <f>H11/F11</f>
        <v>#REF!</v>
      </c>
    </row>
    <row r="12" spans="1:9">
      <c r="A12" s="123" t="s">
        <v>530</v>
      </c>
      <c r="B12" s="124">
        <f>[20]Фин.модель!R7</f>
        <v>19377774.876417786</v>
      </c>
      <c r="C12" s="124" t="e">
        <f>Фин.модель!#REF!</f>
        <v>#REF!</v>
      </c>
      <c r="D12" s="124" t="e">
        <f t="shared" si="0"/>
        <v>#REF!</v>
      </c>
      <c r="E12" s="141" t="e">
        <f t="shared" si="1"/>
        <v>#REF!</v>
      </c>
      <c r="F12" s="1934"/>
      <c r="G12" s="1934"/>
      <c r="H12" s="1934"/>
      <c r="I12" s="1936"/>
    </row>
    <row r="13" spans="1:9" ht="13.8" thickBot="1">
      <c r="A13" s="123" t="s">
        <v>531</v>
      </c>
      <c r="B13" s="124">
        <f>[20]Фин.модель!S7</f>
        <v>19303535.556807954</v>
      </c>
      <c r="C13" s="124" t="e">
        <f>Фин.модель!#REF!</f>
        <v>#REF!</v>
      </c>
      <c r="D13" s="124" t="e">
        <f t="shared" si="0"/>
        <v>#REF!</v>
      </c>
      <c r="E13" s="141" t="e">
        <f t="shared" si="1"/>
        <v>#REF!</v>
      </c>
      <c r="F13" s="1934"/>
      <c r="G13" s="1934"/>
      <c r="H13" s="1934"/>
      <c r="I13" s="1936"/>
    </row>
    <row r="14" spans="1:9" s="263" customFormat="1">
      <c r="A14" s="260" t="s">
        <v>86</v>
      </c>
      <c r="B14" s="261">
        <f>[20]Фин.модель!T7</f>
        <v>23742785.834562894</v>
      </c>
      <c r="C14" s="261" t="e">
        <f>Фин.модель!#REF!</f>
        <v>#REF!</v>
      </c>
      <c r="D14" s="261" t="e">
        <f t="shared" si="0"/>
        <v>#REF!</v>
      </c>
      <c r="E14" s="262" t="e">
        <f t="shared" si="1"/>
        <v>#REF!</v>
      </c>
      <c r="F14" s="261"/>
      <c r="G14" s="261"/>
      <c r="H14" s="261">
        <f t="shared" ref="H14:I16" si="2">G14-F14</f>
        <v>0</v>
      </c>
      <c r="I14" s="261">
        <f t="shared" si="2"/>
        <v>0</v>
      </c>
    </row>
    <row r="15" spans="1:9">
      <c r="A15" s="134" t="s">
        <v>87</v>
      </c>
      <c r="B15" s="124">
        <f>[20]Фин.модель!U7</f>
        <v>22413783.528202116</v>
      </c>
      <c r="C15" s="124" t="e">
        <f>Фин.модель!#REF!</f>
        <v>#REF!</v>
      </c>
      <c r="D15" s="124" t="e">
        <f t="shared" si="0"/>
        <v>#REF!</v>
      </c>
      <c r="E15" s="141" t="e">
        <f t="shared" si="1"/>
        <v>#REF!</v>
      </c>
      <c r="F15" s="124"/>
      <c r="G15" s="124"/>
      <c r="H15" s="124">
        <f t="shared" si="2"/>
        <v>0</v>
      </c>
      <c r="I15" s="124">
        <f t="shared" si="2"/>
        <v>0</v>
      </c>
    </row>
    <row r="16" spans="1:9" s="267" customFormat="1" ht="13.8" thickBot="1">
      <c r="A16" s="264" t="s">
        <v>532</v>
      </c>
      <c r="B16" s="265">
        <f>[20]Фин.модель!V7</f>
        <v>22994071.714572884</v>
      </c>
      <c r="C16" s="265"/>
      <c r="D16" s="265"/>
      <c r="E16" s="266"/>
      <c r="F16" s="265"/>
      <c r="G16" s="265"/>
      <c r="H16" s="265">
        <f t="shared" si="2"/>
        <v>0</v>
      </c>
      <c r="I16" s="265">
        <f t="shared" si="2"/>
        <v>0</v>
      </c>
    </row>
    <row r="17" spans="1:9">
      <c r="A17" s="132"/>
      <c r="B17" s="132"/>
      <c r="C17" s="132"/>
      <c r="D17" s="132"/>
      <c r="E17" s="133">
        <v>1.02</v>
      </c>
      <c r="F17" s="132"/>
      <c r="G17" s="132"/>
      <c r="H17" s="132"/>
      <c r="I17" s="132"/>
    </row>
    <row r="18" spans="1:9">
      <c r="A18" s="134" t="s">
        <v>221</v>
      </c>
      <c r="B18" s="124">
        <f>SUM(B5:B9)</f>
        <v>81287164.970008329</v>
      </c>
      <c r="C18" s="124" t="e">
        <f>SUM(C5:C16)</f>
        <v>#REF!</v>
      </c>
      <c r="D18" s="136" t="e">
        <f>I18</f>
        <v>#REF!</v>
      </c>
      <c r="E18" s="135"/>
      <c r="F18" s="124">
        <f>SUM(F5:F16)</f>
        <v>156595178.65199548</v>
      </c>
      <c r="G18" s="124" t="e">
        <f>SUM(G5:G16)</f>
        <v>#REF!</v>
      </c>
      <c r="H18" s="124" t="e">
        <f>SUM(H5:H16)</f>
        <v>#REF!</v>
      </c>
      <c r="I18" s="136" t="e">
        <f>H18/F18</f>
        <v>#REF!</v>
      </c>
    </row>
    <row r="20" spans="1:9" ht="13.8" thickBot="1"/>
    <row r="21" spans="1:9" ht="18">
      <c r="A21" s="107" t="s">
        <v>545</v>
      </c>
      <c r="B21" s="108"/>
      <c r="C21" s="108"/>
      <c r="D21" s="108"/>
      <c r="E21" s="109"/>
      <c r="F21" s="108"/>
      <c r="G21" s="108"/>
      <c r="H21" s="108"/>
      <c r="I21" s="110"/>
    </row>
    <row r="22" spans="1:9" ht="13.8">
      <c r="A22" s="111"/>
      <c r="B22" s="112"/>
      <c r="C22" s="112"/>
      <c r="D22" s="112"/>
      <c r="E22" s="112"/>
      <c r="F22" s="112"/>
      <c r="G22" s="112"/>
      <c r="H22" s="112"/>
      <c r="I22" s="113"/>
    </row>
    <row r="23" spans="1:9" ht="13.8">
      <c r="A23" s="111"/>
      <c r="B23" s="114"/>
      <c r="C23" s="114"/>
      <c r="D23" s="114"/>
      <c r="E23" s="114"/>
      <c r="F23" s="114"/>
      <c r="G23" s="114"/>
      <c r="H23" s="114"/>
      <c r="I23" s="115"/>
    </row>
    <row r="24" spans="1:9" ht="53.4" thickBot="1">
      <c r="A24" s="116" t="s">
        <v>533</v>
      </c>
      <c r="B24" s="117">
        <v>2023</v>
      </c>
      <c r="C24" s="117">
        <v>2024</v>
      </c>
      <c r="D24" s="118" t="s">
        <v>517</v>
      </c>
      <c r="E24" s="118" t="s">
        <v>518</v>
      </c>
      <c r="F24" s="117" t="s">
        <v>534</v>
      </c>
      <c r="G24" s="117" t="s">
        <v>535</v>
      </c>
      <c r="H24" s="118" t="s">
        <v>521</v>
      </c>
      <c r="I24" s="119" t="s">
        <v>536</v>
      </c>
    </row>
    <row r="25" spans="1:9">
      <c r="A25" s="120" t="s">
        <v>523</v>
      </c>
      <c r="B25" s="121">
        <v>10963181</v>
      </c>
      <c r="C25" s="121">
        <v>14973705</v>
      </c>
      <c r="D25" s="121">
        <f>C25-B25</f>
        <v>4010524</v>
      </c>
      <c r="E25" s="143">
        <f>IF((OR(ISERROR(C25/B25-1),AND(B25&lt;0,C25&gt;0),AND(B25&gt;0,C25&lt;0))),"-",(C25-B25)/ABS(B25))</f>
        <v>0.36581754875706241</v>
      </c>
      <c r="F25" s="1933">
        <f>B25+B26+B27</f>
        <v>34923188</v>
      </c>
      <c r="G25" s="1933">
        <f>C25+C26+C27</f>
        <v>44848431</v>
      </c>
      <c r="H25" s="1933">
        <f>G25-F25</f>
        <v>9925243</v>
      </c>
      <c r="I25" s="1935">
        <f>H25/F25</f>
        <v>0.28420208945414721</v>
      </c>
    </row>
    <row r="26" spans="1:9">
      <c r="A26" s="123" t="s">
        <v>524</v>
      </c>
      <c r="B26" s="124">
        <v>12013385</v>
      </c>
      <c r="C26" s="124">
        <v>13523999</v>
      </c>
      <c r="D26" s="124">
        <f>C26-B26</f>
        <v>1510614</v>
      </c>
      <c r="E26" s="141">
        <f>IF((OR(ISERROR(C26/B26-1),AND(B26&lt;0,C26&gt;0),AND(B26&gt;0,C26&lt;0))),"-",(C26-B26)/ABS(B26))</f>
        <v>0.1257442427758704</v>
      </c>
      <c r="F26" s="1934"/>
      <c r="G26" s="1934"/>
      <c r="H26" s="1934"/>
      <c r="I26" s="1936"/>
    </row>
    <row r="27" spans="1:9" ht="13.8" thickBot="1">
      <c r="A27" s="126" t="s">
        <v>525</v>
      </c>
      <c r="B27" s="127">
        <v>11946622</v>
      </c>
      <c r="C27" s="127">
        <v>16350727</v>
      </c>
      <c r="D27" s="127">
        <f t="shared" ref="D27:D36" si="3">C27-B27</f>
        <v>4404105</v>
      </c>
      <c r="E27" s="142">
        <f t="shared" ref="E27:E36" si="4">IF((OR(ISERROR(C27/B27-1),AND(B27&lt;0,C27&gt;0),AND(B27&gt;0,C27&lt;0))),"-",(C27-B27)/ABS(B27))</f>
        <v>0.36864856023736248</v>
      </c>
      <c r="F27" s="1937"/>
      <c r="G27" s="1937"/>
      <c r="H27" s="1937"/>
      <c r="I27" s="1938"/>
    </row>
    <row r="28" spans="1:9">
      <c r="A28" s="120" t="s">
        <v>526</v>
      </c>
      <c r="B28" s="121">
        <v>13651167</v>
      </c>
      <c r="C28" s="121" t="e">
        <f>C8</f>
        <v>#REF!</v>
      </c>
      <c r="D28" s="121" t="e">
        <f t="shared" si="3"/>
        <v>#REF!</v>
      </c>
      <c r="E28" s="143" t="e">
        <f t="shared" si="4"/>
        <v>#REF!</v>
      </c>
      <c r="F28" s="1933">
        <f>B28+B29+B30</f>
        <v>38554029</v>
      </c>
      <c r="G28" s="1933" t="e">
        <f>C28+C29+C30</f>
        <v>#REF!</v>
      </c>
      <c r="H28" s="1933" t="e">
        <f>G28-F28</f>
        <v>#REF!</v>
      </c>
      <c r="I28" s="1935" t="e">
        <f>H28/F28</f>
        <v>#REF!</v>
      </c>
    </row>
    <row r="29" spans="1:9">
      <c r="A29" s="123" t="s">
        <v>527</v>
      </c>
      <c r="B29" s="124">
        <v>11807584</v>
      </c>
      <c r="C29" s="124" t="e">
        <f>Фин.модель!#REF!</f>
        <v>#REF!</v>
      </c>
      <c r="D29" s="124" t="e">
        <f t="shared" si="3"/>
        <v>#REF!</v>
      </c>
      <c r="E29" s="141" t="e">
        <f t="shared" si="4"/>
        <v>#REF!</v>
      </c>
      <c r="F29" s="1934"/>
      <c r="G29" s="1934"/>
      <c r="H29" s="1934"/>
      <c r="I29" s="1936"/>
    </row>
    <row r="30" spans="1:9" ht="13.8" thickBot="1">
      <c r="A30" s="123" t="s">
        <v>528</v>
      </c>
      <c r="B30" s="124">
        <v>13095278</v>
      </c>
      <c r="C30" s="124" t="e">
        <f>Фин.модель!#REF!</f>
        <v>#REF!</v>
      </c>
      <c r="D30" s="124" t="e">
        <f t="shared" si="3"/>
        <v>#REF!</v>
      </c>
      <c r="E30" s="141" t="e">
        <f t="shared" si="4"/>
        <v>#REF!</v>
      </c>
      <c r="F30" s="1934"/>
      <c r="G30" s="1934"/>
      <c r="H30" s="1934"/>
      <c r="I30" s="1936"/>
    </row>
    <row r="31" spans="1:9">
      <c r="A31" s="120" t="s">
        <v>529</v>
      </c>
      <c r="B31" s="121">
        <v>13801401</v>
      </c>
      <c r="C31" s="121" t="e">
        <f>Фин.модель!#REF!</f>
        <v>#REF!</v>
      </c>
      <c r="D31" s="121" t="e">
        <f>C31-B31</f>
        <v>#REF!</v>
      </c>
      <c r="E31" s="143" t="e">
        <f>IF((OR(ISERROR(C31/B31-1),AND(B31&lt;0,C31&gt;0),AND(B31&gt;0,C31&lt;0))),"-",(C31-B31)/ABS(B31))</f>
        <v>#REF!</v>
      </c>
      <c r="F31" s="1933">
        <f>B31+B32+B33</f>
        <v>42191943</v>
      </c>
      <c r="G31" s="1933" t="e">
        <f>C31+C32+C33</f>
        <v>#REF!</v>
      </c>
      <c r="H31" s="1933" t="e">
        <f>G31-F31</f>
        <v>#REF!</v>
      </c>
      <c r="I31" s="1935" t="e">
        <f>H31/F31</f>
        <v>#REF!</v>
      </c>
    </row>
    <row r="32" spans="1:9">
      <c r="A32" s="123" t="s">
        <v>530</v>
      </c>
      <c r="B32" s="124">
        <v>14707554</v>
      </c>
      <c r="C32" s="124" t="e">
        <f>Фин.модель!#REF!</f>
        <v>#REF!</v>
      </c>
      <c r="D32" s="124" t="e">
        <f t="shared" si="3"/>
        <v>#REF!</v>
      </c>
      <c r="E32" s="125" t="e">
        <f t="shared" si="4"/>
        <v>#REF!</v>
      </c>
      <c r="F32" s="1934"/>
      <c r="G32" s="1934"/>
      <c r="H32" s="1934"/>
      <c r="I32" s="1936"/>
    </row>
    <row r="33" spans="1:9" ht="13.8" thickBot="1">
      <c r="A33" s="126" t="s">
        <v>531</v>
      </c>
      <c r="B33" s="127">
        <v>13682988</v>
      </c>
      <c r="C33" s="127" t="e">
        <f>Фин.модель!#REF!</f>
        <v>#REF!</v>
      </c>
      <c r="D33" s="127" t="e">
        <f t="shared" si="3"/>
        <v>#REF!</v>
      </c>
      <c r="E33" s="128" t="e">
        <f t="shared" si="4"/>
        <v>#REF!</v>
      </c>
      <c r="F33" s="1937"/>
      <c r="G33" s="1937"/>
      <c r="H33" s="1937"/>
      <c r="I33" s="1938"/>
    </row>
    <row r="34" spans="1:9">
      <c r="A34" s="123" t="s">
        <v>86</v>
      </c>
      <c r="B34" s="124">
        <v>15587882</v>
      </c>
      <c r="C34" s="124" t="e">
        <f>Фин.модель!#REF!</f>
        <v>#REF!</v>
      </c>
      <c r="D34" s="124" t="e">
        <f t="shared" si="3"/>
        <v>#REF!</v>
      </c>
      <c r="E34" s="125" t="e">
        <f t="shared" si="4"/>
        <v>#REF!</v>
      </c>
      <c r="F34" s="124"/>
      <c r="G34" s="124"/>
      <c r="H34" s="124">
        <f t="shared" ref="H34:I36" si="5">G34-F34</f>
        <v>0</v>
      </c>
      <c r="I34" s="130">
        <f t="shared" si="5"/>
        <v>0</v>
      </c>
    </row>
    <row r="35" spans="1:9">
      <c r="A35" s="123" t="s">
        <v>87</v>
      </c>
      <c r="B35" s="124">
        <v>14045645</v>
      </c>
      <c r="C35" s="124" t="e">
        <f>Фин.модель!#REF!</f>
        <v>#REF!</v>
      </c>
      <c r="D35" s="124" t="e">
        <f t="shared" si="3"/>
        <v>#REF!</v>
      </c>
      <c r="E35" s="125" t="e">
        <f t="shared" si="4"/>
        <v>#REF!</v>
      </c>
      <c r="F35" s="124"/>
      <c r="G35" s="124"/>
      <c r="H35" s="124">
        <f t="shared" si="5"/>
        <v>0</v>
      </c>
      <c r="I35" s="130">
        <f t="shared" si="5"/>
        <v>0</v>
      </c>
    </row>
    <row r="36" spans="1:9" ht="13.8" thickBot="1">
      <c r="A36" s="126" t="s">
        <v>532</v>
      </c>
      <c r="B36" s="127">
        <f>[20]Фин.модель!V27</f>
        <v>0</v>
      </c>
      <c r="C36" s="127"/>
      <c r="D36" s="127">
        <f t="shared" si="3"/>
        <v>0</v>
      </c>
      <c r="E36" s="128" t="str">
        <f t="shared" si="4"/>
        <v>-</v>
      </c>
      <c r="F36" s="127"/>
      <c r="G36" s="127"/>
      <c r="H36" s="127">
        <f t="shared" si="5"/>
        <v>0</v>
      </c>
      <c r="I36" s="131">
        <f t="shared" si="5"/>
        <v>0</v>
      </c>
    </row>
    <row r="37" spans="1:9">
      <c r="A37" s="132"/>
      <c r="B37" s="132"/>
      <c r="C37" s="132"/>
      <c r="D37" s="132"/>
      <c r="E37" s="133">
        <v>1.02</v>
      </c>
      <c r="F37" s="132"/>
      <c r="G37" s="132"/>
      <c r="H37" s="132"/>
      <c r="I37" s="132"/>
    </row>
    <row r="38" spans="1:9">
      <c r="A38" s="134" t="s">
        <v>221</v>
      </c>
      <c r="B38" s="124">
        <f>SUM(B25:B36)</f>
        <v>145302687</v>
      </c>
      <c r="C38" s="124" t="e">
        <f>SUM(C25:C36)</f>
        <v>#REF!</v>
      </c>
      <c r="D38" s="124" t="e">
        <f>SUM(D25:D36)</f>
        <v>#REF!</v>
      </c>
      <c r="E38" s="144" t="e">
        <f>IF((OR(ISERROR(C38/B38-1),AND(B38&lt;0,C38&gt;0),AND(B38&gt;0,C38&lt;0))),"-",(C38-B38)/ABS(B38))</f>
        <v>#REF!</v>
      </c>
      <c r="F38" s="124">
        <f>SUM(F25:F36)</f>
        <v>115669160</v>
      </c>
      <c r="G38" s="124" t="e">
        <f>SUM(G25:G36)</f>
        <v>#REF!</v>
      </c>
      <c r="H38" s="124" t="e">
        <f>SUM(H25:H36)</f>
        <v>#REF!</v>
      </c>
      <c r="I38" s="136" t="e">
        <f>H38/F38</f>
        <v>#REF!</v>
      </c>
    </row>
    <row r="41" spans="1:9" ht="13.8" thickBot="1"/>
    <row r="42" spans="1:9" ht="18">
      <c r="A42" s="107" t="s">
        <v>537</v>
      </c>
      <c r="B42" s="108"/>
      <c r="C42" s="108"/>
      <c r="D42" s="108"/>
      <c r="E42" s="109"/>
      <c r="F42" s="108"/>
      <c r="G42" s="108"/>
      <c r="H42" s="108"/>
      <c r="I42" s="110"/>
    </row>
    <row r="43" spans="1:9" ht="13.8">
      <c r="A43" s="111"/>
      <c r="B43" s="112"/>
      <c r="C43" s="112"/>
      <c r="D43" s="112"/>
      <c r="E43" s="112"/>
      <c r="F43" s="112"/>
      <c r="G43" s="112"/>
      <c r="H43" s="112"/>
      <c r="I43" s="113"/>
    </row>
    <row r="44" spans="1:9" ht="13.8">
      <c r="A44" s="111"/>
      <c r="B44" s="114"/>
      <c r="C44" s="114"/>
      <c r="D44" s="114"/>
      <c r="E44" s="114"/>
      <c r="F44" s="114"/>
      <c r="G44" s="114"/>
      <c r="H44" s="114"/>
      <c r="I44" s="115"/>
    </row>
    <row r="45" spans="1:9" ht="53.4" thickBot="1">
      <c r="A45" s="116" t="s">
        <v>533</v>
      </c>
      <c r="B45" s="117" t="s">
        <v>515</v>
      </c>
      <c r="C45" s="117" t="s">
        <v>516</v>
      </c>
      <c r="D45" s="118" t="s">
        <v>517</v>
      </c>
      <c r="E45" s="118" t="s">
        <v>518</v>
      </c>
      <c r="F45" s="117" t="s">
        <v>519</v>
      </c>
      <c r="G45" s="117" t="s">
        <v>520</v>
      </c>
      <c r="H45" s="118" t="s">
        <v>521</v>
      </c>
      <c r="I45" s="119" t="s">
        <v>538</v>
      </c>
    </row>
    <row r="46" spans="1:9">
      <c r="A46" s="120" t="s">
        <v>523</v>
      </c>
      <c r="B46" s="121">
        <f>[20]Фин.модель!D101</f>
        <v>2512470.1507483521</v>
      </c>
      <c r="C46" s="121">
        <f>[20]Фин.модель!E101</f>
        <v>4054553.5531866658</v>
      </c>
      <c r="D46" s="121">
        <f>C46-B46</f>
        <v>1542083.4024383137</v>
      </c>
      <c r="E46" s="141">
        <f>IF((OR(ISERROR(C46/B46-1),AND(B46&lt;0,C46&gt;0),AND(B46&gt;0,C46&lt;0))),"-",(C46-B46)/ABS(B46))</f>
        <v>0.61377183007686531</v>
      </c>
      <c r="F46" s="1933">
        <f>B46+B47+B48</f>
        <v>10410596.838961165</v>
      </c>
      <c r="G46" s="1933">
        <f>C46+C47+C48</f>
        <v>10301296.204213332</v>
      </c>
      <c r="H46" s="1933">
        <f>G46-F46</f>
        <v>-109300.63474783301</v>
      </c>
      <c r="I46" s="1935">
        <f>H46/F46</f>
        <v>-1.0498978727019815E-2</v>
      </c>
    </row>
    <row r="47" spans="1:9">
      <c r="A47" s="123" t="s">
        <v>524</v>
      </c>
      <c r="B47" s="124">
        <f>[20]Фин.модель!F101</f>
        <v>3776098.2373939515</v>
      </c>
      <c r="C47" s="124">
        <f>[20]Фин.модель!G97</f>
        <v>1305317.2459066655</v>
      </c>
      <c r="D47" s="124">
        <f>C47-B47</f>
        <v>-2470780.9914872861</v>
      </c>
      <c r="E47" s="141">
        <f>IF((OR(ISERROR(C47/B47-1),AND(B47&lt;0,C47&gt;0),AND(B47&gt;0,C47&lt;0))),"-",(C47-B47)/ABS(B47))</f>
        <v>-0.65432116331604728</v>
      </c>
      <c r="F47" s="1934"/>
      <c r="G47" s="1934"/>
      <c r="H47" s="1934"/>
      <c r="I47" s="1936"/>
    </row>
    <row r="48" spans="1:9" ht="13.8" thickBot="1">
      <c r="A48" s="126" t="s">
        <v>525</v>
      </c>
      <c r="B48" s="127">
        <f>[20]Фин.модель!H97</f>
        <v>4122028.4508188614</v>
      </c>
      <c r="C48" s="127">
        <f>[20]Фин.модель!I97</f>
        <v>4941425.4051200002</v>
      </c>
      <c r="D48" s="127">
        <f t="shared" ref="D48:D57" si="6">C48-B48</f>
        <v>819396.95430113887</v>
      </c>
      <c r="E48" s="142">
        <f t="shared" ref="E48:E57" si="7">IF((OR(ISERROR(C48/B48-1),AND(B48&lt;0,C48&gt;0),AND(B48&gt;0,C48&lt;0))),"-",(C48-B48)/ABS(B48))</f>
        <v>0.19878488566432909</v>
      </c>
      <c r="F48" s="1937"/>
      <c r="G48" s="1937"/>
      <c r="H48" s="1937"/>
      <c r="I48" s="1938"/>
    </row>
    <row r="49" spans="1:9">
      <c r="A49" s="120" t="s">
        <v>526</v>
      </c>
      <c r="B49" s="121">
        <v>4377603</v>
      </c>
      <c r="C49" s="121" t="e">
        <f>Фин.модель!#REF!</f>
        <v>#REF!</v>
      </c>
      <c r="D49" s="121" t="e">
        <f t="shared" si="6"/>
        <v>#REF!</v>
      </c>
      <c r="E49" s="143" t="e">
        <f t="shared" si="7"/>
        <v>#REF!</v>
      </c>
      <c r="F49" s="1933">
        <f>B49+B50+B51</f>
        <v>11966882.333876425</v>
      </c>
      <c r="G49" s="1933" t="e">
        <f>C49+C50+C51</f>
        <v>#REF!</v>
      </c>
      <c r="H49" s="1933" t="e">
        <f>G49-F49</f>
        <v>#REF!</v>
      </c>
      <c r="I49" s="1935" t="e">
        <f>H49/F49</f>
        <v>#REF!</v>
      </c>
    </row>
    <row r="50" spans="1:9">
      <c r="A50" s="123" t="s">
        <v>527</v>
      </c>
      <c r="B50" s="124">
        <f>Фин.модель!L116</f>
        <v>3988449.0847767242</v>
      </c>
      <c r="C50" s="124" t="e">
        <f>Фин.модель!#REF!</f>
        <v>#REF!</v>
      </c>
      <c r="D50" s="124" t="e">
        <f t="shared" si="6"/>
        <v>#REF!</v>
      </c>
      <c r="E50" s="141" t="e">
        <f t="shared" si="7"/>
        <v>#REF!</v>
      </c>
      <c r="F50" s="1934"/>
      <c r="G50" s="1934"/>
      <c r="H50" s="1934"/>
      <c r="I50" s="1936"/>
    </row>
    <row r="51" spans="1:9" ht="13.8" thickBot="1">
      <c r="A51" s="126" t="s">
        <v>528</v>
      </c>
      <c r="B51" s="124">
        <f>Фин.модель!N112</f>
        <v>3600830.2490997021</v>
      </c>
      <c r="C51" s="124" t="e">
        <f>Фин.модель!#REF!</f>
        <v>#REF!</v>
      </c>
      <c r="D51" s="127" t="e">
        <f t="shared" si="6"/>
        <v>#REF!</v>
      </c>
      <c r="E51" s="142" t="e">
        <f t="shared" si="7"/>
        <v>#REF!</v>
      </c>
      <c r="F51" s="1937"/>
      <c r="G51" s="1937"/>
      <c r="H51" s="1937"/>
      <c r="I51" s="1938"/>
    </row>
    <row r="52" spans="1:9">
      <c r="A52" s="120" t="s">
        <v>529</v>
      </c>
      <c r="B52" s="121">
        <f>Фин.модель!P116</f>
        <v>4598679.1545968931</v>
      </c>
      <c r="C52" s="121" t="e">
        <f>Фин.модель!#REF!</f>
        <v>#REF!</v>
      </c>
      <c r="D52" s="121" t="e">
        <f>C52-B52</f>
        <v>#REF!</v>
      </c>
      <c r="E52" s="143" t="e">
        <f>IF((OR(ISERROR(C52/B52-1),AND(B52&lt;0,C52&gt;0),AND(B52&gt;0,C52&lt;0))),"-",(C52-B52)/ABS(B52))</f>
        <v>#REF!</v>
      </c>
      <c r="F52" s="1933">
        <f>B52+B53+B54</f>
        <v>15292789.834433466</v>
      </c>
      <c r="G52" s="1933" t="e">
        <f>C52+C53+C54</f>
        <v>#REF!</v>
      </c>
      <c r="H52" s="1933" t="e">
        <f>G52-F52</f>
        <v>#REF!</v>
      </c>
      <c r="I52" s="1935" t="e">
        <f>H52/F52</f>
        <v>#REF!</v>
      </c>
    </row>
    <row r="53" spans="1:9">
      <c r="A53" s="123" t="s">
        <v>530</v>
      </c>
      <c r="B53" s="124">
        <f>Фин.модель!R116</f>
        <v>5101475.3784713466</v>
      </c>
      <c r="C53" s="124" t="e">
        <f>Фин.модель!#REF!</f>
        <v>#REF!</v>
      </c>
      <c r="D53" s="124" t="e">
        <f>C53-B53</f>
        <v>#REF!</v>
      </c>
      <c r="E53" s="141" t="e">
        <f>IF((OR(ISERROR(C53/B53-1),AND(B53&lt;0,C53&gt;0),AND(B53&gt;0,C53&lt;0))),"-",(C53-B53)/ABS(B53))</f>
        <v>#REF!</v>
      </c>
      <c r="F53" s="1934"/>
      <c r="G53" s="1934"/>
      <c r="H53" s="1934"/>
      <c r="I53" s="1936"/>
    </row>
    <row r="54" spans="1:9" ht="13.8" thickBot="1">
      <c r="A54" s="126" t="s">
        <v>531</v>
      </c>
      <c r="B54" s="127">
        <f>Фин.модель!T116</f>
        <v>5592635.3013652265</v>
      </c>
      <c r="C54" s="127" t="e">
        <f>Фин.модель!#REF!</f>
        <v>#REF!</v>
      </c>
      <c r="D54" s="127" t="e">
        <f>C54-B54</f>
        <v>#REF!</v>
      </c>
      <c r="E54" s="142" t="e">
        <f>IF((OR(ISERROR(C54/B54-1),AND(B54&lt;0,C54&gt;0),AND(B54&gt;0,C54&lt;0))),"-",(C54-B54)/ABS(B54))</f>
        <v>#REF!</v>
      </c>
      <c r="F54" s="1937"/>
      <c r="G54" s="1937"/>
      <c r="H54" s="1937"/>
      <c r="I54" s="1938"/>
    </row>
    <row r="55" spans="1:9">
      <c r="A55" s="120" t="s">
        <v>86</v>
      </c>
      <c r="B55" s="121">
        <f>Фин.модель!V112</f>
        <v>5963830.947677589</v>
      </c>
      <c r="C55" s="121" t="e">
        <f>Фин.модель!#REF!</f>
        <v>#REF!</v>
      </c>
      <c r="D55" s="121" t="e">
        <f t="shared" si="6"/>
        <v>#REF!</v>
      </c>
      <c r="E55" s="122" t="e">
        <f t="shared" si="7"/>
        <v>#REF!</v>
      </c>
      <c r="F55" s="121"/>
      <c r="G55" s="121"/>
      <c r="H55" s="121">
        <f t="shared" ref="H55:I57" si="8">G55-F55</f>
        <v>0</v>
      </c>
      <c r="I55" s="129">
        <f t="shared" si="8"/>
        <v>0</v>
      </c>
    </row>
    <row r="56" spans="1:9">
      <c r="A56" s="123" t="s">
        <v>87</v>
      </c>
      <c r="B56" s="124">
        <f>Фин.модель!X116</f>
        <v>5867598.8652921338</v>
      </c>
      <c r="C56" s="124" t="e">
        <f>Фин.модель!#REF!</f>
        <v>#REF!</v>
      </c>
      <c r="D56" s="124" t="e">
        <f t="shared" si="6"/>
        <v>#REF!</v>
      </c>
      <c r="E56" s="125" t="e">
        <f t="shared" si="7"/>
        <v>#REF!</v>
      </c>
      <c r="F56" s="124"/>
      <c r="G56" s="124"/>
      <c r="H56" s="124">
        <f t="shared" si="8"/>
        <v>0</v>
      </c>
      <c r="I56" s="130">
        <f t="shared" si="8"/>
        <v>0</v>
      </c>
    </row>
    <row r="57" spans="1:9" ht="13.8" thickBot="1">
      <c r="A57" s="126" t="s">
        <v>532</v>
      </c>
      <c r="B57" s="127"/>
      <c r="C57" s="127"/>
      <c r="D57" s="127">
        <f t="shared" si="6"/>
        <v>0</v>
      </c>
      <c r="E57" s="128" t="str">
        <f t="shared" si="7"/>
        <v>-</v>
      </c>
      <c r="F57" s="127"/>
      <c r="G57" s="127"/>
      <c r="H57" s="127">
        <f t="shared" si="8"/>
        <v>0</v>
      </c>
      <c r="I57" s="131">
        <f t="shared" si="8"/>
        <v>0</v>
      </c>
    </row>
    <row r="58" spans="1:9">
      <c r="A58" s="132"/>
      <c r="B58" s="132"/>
      <c r="C58" s="132"/>
      <c r="D58" s="132"/>
      <c r="E58" s="133">
        <v>1.02</v>
      </c>
      <c r="F58" s="132"/>
      <c r="G58" s="132"/>
      <c r="H58" s="132"/>
      <c r="I58" s="132"/>
    </row>
    <row r="59" spans="1:9">
      <c r="A59" s="134" t="s">
        <v>221</v>
      </c>
      <c r="B59" s="124">
        <f>SUM(B46:B57)</f>
        <v>49501698.820240781</v>
      </c>
      <c r="C59" s="124" t="e">
        <f>SUM(C46:C57)</f>
        <v>#REF!</v>
      </c>
      <c r="D59" s="124" t="e">
        <f>SUM(D46:D57)</f>
        <v>#REF!</v>
      </c>
      <c r="E59" s="135" t="e">
        <f>IF((OR(ISERROR(C59/B59-1),AND(B59&lt;0,C59&gt;0),AND(B59&gt;0,C59&lt;0))),"-",(C59-B59)/ABS(B59))</f>
        <v>#REF!</v>
      </c>
      <c r="F59" s="124">
        <f>SUM(F46:F57)</f>
        <v>37670269.007271059</v>
      </c>
      <c r="G59" s="124" t="e">
        <f>SUM(G46:G57)</f>
        <v>#REF!</v>
      </c>
      <c r="H59" s="124" t="e">
        <f>SUM(H46:H57)</f>
        <v>#REF!</v>
      </c>
      <c r="I59" s="136" t="e">
        <f>-H59/F59</f>
        <v>#REF!</v>
      </c>
    </row>
    <row r="61" spans="1:9" ht="13.8" thickBot="1"/>
    <row r="62" spans="1:9" ht="18">
      <c r="A62" s="107" t="s">
        <v>547</v>
      </c>
      <c r="B62" s="108"/>
      <c r="C62" s="108"/>
      <c r="D62" s="108"/>
      <c r="E62" s="109"/>
      <c r="F62" s="108"/>
      <c r="G62" s="108"/>
      <c r="H62" s="108"/>
      <c r="I62" s="110"/>
    </row>
    <row r="63" spans="1:9" ht="13.8">
      <c r="A63" s="111"/>
      <c r="B63" s="112"/>
      <c r="C63" s="112"/>
      <c r="D63" s="112"/>
      <c r="E63" s="112"/>
      <c r="F63" s="112"/>
      <c r="G63" s="112"/>
      <c r="H63" s="112"/>
      <c r="I63" s="113"/>
    </row>
    <row r="64" spans="1:9" ht="13.8">
      <c r="A64" s="111"/>
      <c r="B64" s="114"/>
      <c r="C64" s="114"/>
      <c r="D64" s="114"/>
      <c r="E64" s="114"/>
      <c r="F64" s="114"/>
      <c r="G64" s="114"/>
      <c r="H64" s="114"/>
      <c r="I64" s="115"/>
    </row>
    <row r="65" spans="1:9" ht="53.4" thickBot="1">
      <c r="A65" s="138" t="s">
        <v>533</v>
      </c>
      <c r="B65" s="139">
        <v>2023</v>
      </c>
      <c r="C65" s="139">
        <v>2024</v>
      </c>
      <c r="D65" s="137" t="s">
        <v>517</v>
      </c>
      <c r="E65" s="137" t="s">
        <v>518</v>
      </c>
      <c r="F65" s="139" t="s">
        <v>534</v>
      </c>
      <c r="G65" s="139" t="s">
        <v>546</v>
      </c>
      <c r="H65" s="137" t="s">
        <v>521</v>
      </c>
      <c r="I65" s="140" t="s">
        <v>538</v>
      </c>
    </row>
    <row r="66" spans="1:9">
      <c r="A66" s="120" t="s">
        <v>523</v>
      </c>
      <c r="B66" s="121">
        <v>-1348454</v>
      </c>
      <c r="C66" s="121" t="e">
        <f>Фин.модель!#REF!</f>
        <v>#REF!</v>
      </c>
      <c r="D66" s="121" t="e">
        <f>C66-B66</f>
        <v>#REF!</v>
      </c>
      <c r="E66" s="143" t="e">
        <f>(C66-B66)/ABS(B66)</f>
        <v>#REF!</v>
      </c>
      <c r="F66" s="1933">
        <f>B66+B67+B68</f>
        <v>-2758116</v>
      </c>
      <c r="G66" s="1933" t="e">
        <f>C66+C67+C68</f>
        <v>#REF!</v>
      </c>
      <c r="H66" s="1933" t="e">
        <f>G66-F66</f>
        <v>#REF!</v>
      </c>
      <c r="I66" s="1935" t="e">
        <f>(G66-F66)/ABS(F66)</f>
        <v>#REF!</v>
      </c>
    </row>
    <row r="67" spans="1:9">
      <c r="A67" s="123" t="s">
        <v>524</v>
      </c>
      <c r="B67" s="124">
        <v>-858874</v>
      </c>
      <c r="C67" s="124" t="e">
        <f>Фин.модель!#REF!</f>
        <v>#REF!</v>
      </c>
      <c r="D67" s="124" t="e">
        <f>C67-B67</f>
        <v>#REF!</v>
      </c>
      <c r="E67" s="141" t="e">
        <f>(C67-B67)/ABS(B67)</f>
        <v>#REF!</v>
      </c>
      <c r="F67" s="1934"/>
      <c r="G67" s="1934"/>
      <c r="H67" s="1934"/>
      <c r="I67" s="1936"/>
    </row>
    <row r="68" spans="1:9" ht="13.8" thickBot="1">
      <c r="A68" s="126" t="s">
        <v>525</v>
      </c>
      <c r="B68" s="127">
        <v>-550788</v>
      </c>
      <c r="C68" s="127" t="e">
        <f>Фин.модель!#REF!</f>
        <v>#REF!</v>
      </c>
      <c r="D68" s="127" t="e">
        <f t="shared" ref="D68:D77" si="9">C68-B68</f>
        <v>#REF!</v>
      </c>
      <c r="E68" s="142" t="e">
        <f>(C68-B68)/ABS(B68)</f>
        <v>#REF!</v>
      </c>
      <c r="F68" s="1937"/>
      <c r="G68" s="1937"/>
      <c r="H68" s="1937"/>
      <c r="I68" s="1938"/>
    </row>
    <row r="69" spans="1:9" ht="14.4" customHeight="1">
      <c r="A69" s="123" t="s">
        <v>526</v>
      </c>
      <c r="B69" s="124">
        <v>3376234</v>
      </c>
      <c r="C69" s="124" t="e">
        <f>Фин.модель!#REF!</f>
        <v>#REF!</v>
      </c>
      <c r="D69" s="124" t="e">
        <f t="shared" si="9"/>
        <v>#REF!</v>
      </c>
      <c r="E69" s="141" t="e">
        <f>IF((OR(ISERROR(C69/B69-1),AND(B69&lt;0,C69&gt;0),AND(B69&gt;0,C69&lt;0))),"-",(C69-B69)/ABS(B69))</f>
        <v>#REF!</v>
      </c>
      <c r="F69" s="1934">
        <f>B69+B70+B71</f>
        <v>5920214</v>
      </c>
      <c r="G69" s="1934" t="e">
        <f>C69+C70+C71</f>
        <v>#REF!</v>
      </c>
      <c r="H69" s="1934" t="e">
        <f>G69-F69</f>
        <v>#REF!</v>
      </c>
      <c r="I69" s="1936" t="e">
        <f>H69/F69</f>
        <v>#REF!</v>
      </c>
    </row>
    <row r="70" spans="1:9">
      <c r="A70" s="123" t="s">
        <v>527</v>
      </c>
      <c r="B70" s="124">
        <v>1742616</v>
      </c>
      <c r="C70" s="124" t="e">
        <f>Фин.модель!#REF!</f>
        <v>#REF!</v>
      </c>
      <c r="D70" s="124" t="e">
        <f t="shared" si="9"/>
        <v>#REF!</v>
      </c>
      <c r="E70" s="141" t="e">
        <f>IF((OR(ISERROR(C70/B70-1),AND(B70&lt;0,C70&gt;0),AND(B70&gt;0,C70&lt;0))),"-",(C70-B70)/ABS(B70))</f>
        <v>#REF!</v>
      </c>
      <c r="F70" s="1934"/>
      <c r="G70" s="1934"/>
      <c r="H70" s="1934"/>
      <c r="I70" s="1936"/>
    </row>
    <row r="71" spans="1:9" ht="13.8" thickBot="1">
      <c r="A71" s="123" t="s">
        <v>528</v>
      </c>
      <c r="B71" s="124">
        <v>801364</v>
      </c>
      <c r="C71" s="124" t="e">
        <f>Фин.модель!#REF!</f>
        <v>#REF!</v>
      </c>
      <c r="D71" s="124" t="e">
        <f t="shared" si="9"/>
        <v>#REF!</v>
      </c>
      <c r="E71" s="141" t="e">
        <f t="shared" ref="E71:E77" si="10">IF((OR(ISERROR(C71/B71-1),AND(B71&lt;0,C71&gt;0),AND(B71&gt;0,C71&lt;0))),"-",(C71-B71)/ABS(B71))</f>
        <v>#REF!</v>
      </c>
      <c r="F71" s="1934"/>
      <c r="G71" s="1934"/>
      <c r="H71" s="1934"/>
      <c r="I71" s="1936"/>
    </row>
    <row r="72" spans="1:9">
      <c r="A72" s="120" t="s">
        <v>529</v>
      </c>
      <c r="B72" s="121">
        <v>3016230</v>
      </c>
      <c r="C72" s="121" t="e">
        <f>Фин.модель!#REF!</f>
        <v>#REF!</v>
      </c>
      <c r="D72" s="121" t="e">
        <f>C72-B72</f>
        <v>#REF!</v>
      </c>
      <c r="E72" s="143" t="e">
        <f>IF((OR(ISERROR(C72/B72-1),AND(B72&lt;0,C72&gt;0),AND(B72&gt;0,C72&lt;0))),"-",(C72-B72)/ABS(B72))</f>
        <v>#REF!</v>
      </c>
      <c r="F72" s="1933">
        <f>B72+B73+B74</f>
        <v>9227515</v>
      </c>
      <c r="G72" s="1933" t="e">
        <f>C72+C73+C74</f>
        <v>#REF!</v>
      </c>
      <c r="H72" s="1933" t="e">
        <f>G72-F72</f>
        <v>#REF!</v>
      </c>
      <c r="I72" s="1935" t="e">
        <f>H72/F72</f>
        <v>#REF!</v>
      </c>
    </row>
    <row r="73" spans="1:9">
      <c r="A73" s="123" t="s">
        <v>530</v>
      </c>
      <c r="B73" s="124">
        <v>3119988</v>
      </c>
      <c r="C73" s="124" t="e">
        <f>Фин.модель!#REF!</f>
        <v>#REF!</v>
      </c>
      <c r="D73" s="124" t="e">
        <f t="shared" si="9"/>
        <v>#REF!</v>
      </c>
      <c r="E73" s="125" t="e">
        <f t="shared" si="10"/>
        <v>#REF!</v>
      </c>
      <c r="F73" s="1934"/>
      <c r="G73" s="1934"/>
      <c r="H73" s="1934"/>
      <c r="I73" s="1936"/>
    </row>
    <row r="74" spans="1:9" ht="13.8" thickBot="1">
      <c r="A74" s="126" t="s">
        <v>531</v>
      </c>
      <c r="B74" s="127">
        <v>3091297</v>
      </c>
      <c r="C74" s="127" t="e">
        <f>Фин.модель!#REF!</f>
        <v>#REF!</v>
      </c>
      <c r="D74" s="127" t="e">
        <f t="shared" si="9"/>
        <v>#REF!</v>
      </c>
      <c r="E74" s="128" t="e">
        <f t="shared" si="10"/>
        <v>#REF!</v>
      </c>
      <c r="F74" s="1937"/>
      <c r="G74" s="1937"/>
      <c r="H74" s="1937"/>
      <c r="I74" s="1938"/>
    </row>
    <row r="75" spans="1:9">
      <c r="A75" s="123" t="s">
        <v>86</v>
      </c>
      <c r="B75" s="124">
        <v>4206096</v>
      </c>
      <c r="C75" s="124" t="e">
        <f>Фин.модель!#REF!</f>
        <v>#REF!</v>
      </c>
      <c r="D75" s="124" t="e">
        <f t="shared" si="9"/>
        <v>#REF!</v>
      </c>
      <c r="E75" s="125" t="e">
        <f t="shared" si="10"/>
        <v>#REF!</v>
      </c>
      <c r="F75" s="124"/>
      <c r="G75" s="124"/>
      <c r="H75" s="124">
        <f t="shared" ref="H75:I77" si="11">G75-F75</f>
        <v>0</v>
      </c>
      <c r="I75" s="130">
        <f t="shared" si="11"/>
        <v>0</v>
      </c>
    </row>
    <row r="76" spans="1:9">
      <c r="A76" s="123" t="s">
        <v>87</v>
      </c>
      <c r="B76" s="124">
        <v>2013181</v>
      </c>
      <c r="C76" s="124" t="e">
        <f>Фин.модель!#REF!</f>
        <v>#REF!</v>
      </c>
      <c r="D76" s="124" t="e">
        <f t="shared" si="9"/>
        <v>#REF!</v>
      </c>
      <c r="E76" s="125" t="e">
        <f t="shared" si="10"/>
        <v>#REF!</v>
      </c>
      <c r="F76" s="124"/>
      <c r="G76" s="124"/>
      <c r="H76" s="124">
        <f t="shared" si="11"/>
        <v>0</v>
      </c>
      <c r="I76" s="130">
        <f t="shared" si="11"/>
        <v>0</v>
      </c>
    </row>
    <row r="77" spans="1:9" ht="13.8" thickBot="1">
      <c r="A77" s="126" t="s">
        <v>532</v>
      </c>
      <c r="B77" s="127"/>
      <c r="C77" s="127"/>
      <c r="D77" s="127">
        <f t="shared" si="9"/>
        <v>0</v>
      </c>
      <c r="E77" s="128" t="str">
        <f t="shared" si="10"/>
        <v>-</v>
      </c>
      <c r="F77" s="127"/>
      <c r="G77" s="127"/>
      <c r="H77" s="127">
        <f t="shared" si="11"/>
        <v>0</v>
      </c>
      <c r="I77" s="131">
        <f t="shared" si="11"/>
        <v>0</v>
      </c>
    </row>
    <row r="78" spans="1:9">
      <c r="A78" s="132"/>
      <c r="B78" s="132"/>
      <c r="C78" s="132"/>
      <c r="D78" s="132"/>
      <c r="E78" s="133">
        <v>1.02</v>
      </c>
      <c r="F78" s="132"/>
      <c r="G78" s="132"/>
      <c r="H78" s="132"/>
      <c r="I78" s="132"/>
    </row>
    <row r="79" spans="1:9">
      <c r="A79" s="134" t="s">
        <v>221</v>
      </c>
      <c r="B79" s="124">
        <f>SUM(B66:B77)</f>
        <v>18608890</v>
      </c>
      <c r="C79" s="124" t="e">
        <f>SUM(C66:C77)</f>
        <v>#REF!</v>
      </c>
      <c r="D79" s="124" t="e">
        <f>SUM(D66:D77)</f>
        <v>#REF!</v>
      </c>
      <c r="E79" s="135" t="e">
        <f>IF((OR(ISERROR(C79/B79-1),AND(B79&lt;0,C79&gt;0),AND(B79&gt;0,C79&lt;0))),"-",(C79-B79)/ABS(B79))</f>
        <v>#REF!</v>
      </c>
      <c r="F79" s="124">
        <f>SUM(F66:F77)</f>
        <v>12389613</v>
      </c>
      <c r="G79" s="124" t="e">
        <f>SUM(G66:G77)</f>
        <v>#REF!</v>
      </c>
      <c r="H79" s="124" t="e">
        <f>SUM(H66:H77)</f>
        <v>#REF!</v>
      </c>
      <c r="I79" s="136" t="e">
        <f>H79/F79</f>
        <v>#REF!</v>
      </c>
    </row>
    <row r="134" spans="1:9" ht="53.4" thickBot="1">
      <c r="A134" s="116" t="s">
        <v>539</v>
      </c>
      <c r="B134" s="117" t="s">
        <v>540</v>
      </c>
      <c r="C134" s="117" t="s">
        <v>541</v>
      </c>
      <c r="D134" s="118" t="s">
        <v>517</v>
      </c>
      <c r="E134" s="118" t="s">
        <v>518</v>
      </c>
      <c r="F134" s="117" t="s">
        <v>542</v>
      </c>
      <c r="G134" s="117" t="s">
        <v>543</v>
      </c>
      <c r="H134" s="118" t="s">
        <v>521</v>
      </c>
      <c r="I134" s="119" t="s">
        <v>544</v>
      </c>
    </row>
    <row r="135" spans="1:9">
      <c r="A135" s="120" t="s">
        <v>526</v>
      </c>
      <c r="B135" s="121">
        <f>[20]Фин.модель!N7</f>
        <v>17222231.898638308</v>
      </c>
      <c r="C135" s="121">
        <f>'[20]Текущий портфель'!O180</f>
        <v>16449478.89518095</v>
      </c>
      <c r="D135" s="121">
        <f>C135-B135</f>
        <v>-772753.00345735811</v>
      </c>
      <c r="E135" s="122">
        <f>IF((OR(ISERROR(C135/B135-1),AND(B135&lt;0,C135&gt;0),AND(B135&gt;0,C135&lt;0))),"-",(C135-B135)/ABS(B135))</f>
        <v>-4.4869504022789088E-2</v>
      </c>
      <c r="F135" s="1933">
        <f>B135+B136+B137</f>
        <v>52962691.16149506</v>
      </c>
      <c r="G135" s="1933">
        <f>C135+C136+C137</f>
        <v>48419540.616742849</v>
      </c>
      <c r="H135" s="1933">
        <f>G135-F135</f>
        <v>-4543150.5447522104</v>
      </c>
      <c r="I135" s="1935">
        <f>H135/F135</f>
        <v>-8.5780205747082047E-2</v>
      </c>
    </row>
    <row r="136" spans="1:9">
      <c r="A136" s="123" t="s">
        <v>527</v>
      </c>
      <c r="B136" s="124">
        <f>[20]Фин.модель!O7</f>
        <v>17812049.160874449</v>
      </c>
      <c r="C136" s="124">
        <f>'[20]Текущий портфель'!Q180</f>
        <v>16123668.619380951</v>
      </c>
      <c r="D136" s="124">
        <f>C136-B136</f>
        <v>-1688380.5414934978</v>
      </c>
      <c r="E136" s="125">
        <f>IF((OR(ISERROR(C136/B136-1),AND(B136&lt;0,C136&gt;0),AND(B136&gt;0,C136&lt;0))),"-",(C136-B136)/ABS(B136))</f>
        <v>-9.478867514031776E-2</v>
      </c>
      <c r="F136" s="1934"/>
      <c r="G136" s="1934"/>
      <c r="H136" s="1934"/>
      <c r="I136" s="1936"/>
    </row>
    <row r="137" spans="1:9" ht="13.8" thickBot="1">
      <c r="A137" s="126" t="s">
        <v>528</v>
      </c>
      <c r="B137" s="127">
        <f>[20]Фин.модель!P7</f>
        <v>17928410.101982307</v>
      </c>
      <c r="C137" s="127">
        <f>'[20]Текущий портфель'!S180</f>
        <v>15846393.102180947</v>
      </c>
      <c r="D137" s="127">
        <f>C137-B137</f>
        <v>-2082016.9998013601</v>
      </c>
      <c r="E137" s="128">
        <f>IF((OR(ISERROR(C137/B137-1),AND(B137&lt;0,C137&gt;0),AND(B137&gt;0,C137&lt;0))),"-",(C137-B137)/ABS(B137))</f>
        <v>-0.11612948320337428</v>
      </c>
      <c r="F137" s="1937"/>
      <c r="G137" s="1937"/>
      <c r="H137" s="1937"/>
      <c r="I137" s="1938"/>
    </row>
  </sheetData>
  <mergeCells count="52">
    <mergeCell ref="F31:F33"/>
    <mergeCell ref="G31:G33"/>
    <mergeCell ref="H31:H33"/>
    <mergeCell ref="I31:I33"/>
    <mergeCell ref="I135:I137"/>
    <mergeCell ref="F72:F74"/>
    <mergeCell ref="G72:G74"/>
    <mergeCell ref="F135:F137"/>
    <mergeCell ref="G135:G137"/>
    <mergeCell ref="H135:H137"/>
    <mergeCell ref="H72:H74"/>
    <mergeCell ref="I72:I74"/>
    <mergeCell ref="F66:F68"/>
    <mergeCell ref="G66:G68"/>
    <mergeCell ref="H66:H68"/>
    <mergeCell ref="I66:I68"/>
    <mergeCell ref="F69:F71"/>
    <mergeCell ref="G69:G71"/>
    <mergeCell ref="H69:H71"/>
    <mergeCell ref="I69:I71"/>
    <mergeCell ref="F46:F48"/>
    <mergeCell ref="G46:G48"/>
    <mergeCell ref="H46:H48"/>
    <mergeCell ref="I46:I48"/>
    <mergeCell ref="F49:F51"/>
    <mergeCell ref="G49:G51"/>
    <mergeCell ref="H49:H51"/>
    <mergeCell ref="I49:I51"/>
    <mergeCell ref="F52:F54"/>
    <mergeCell ref="G52:G54"/>
    <mergeCell ref="H52:H54"/>
    <mergeCell ref="I52:I54"/>
    <mergeCell ref="F5:F7"/>
    <mergeCell ref="G5:G7"/>
    <mergeCell ref="H5:H7"/>
    <mergeCell ref="I5:I7"/>
    <mergeCell ref="F8:F10"/>
    <mergeCell ref="G8:G10"/>
    <mergeCell ref="H8:H10"/>
    <mergeCell ref="I8:I10"/>
    <mergeCell ref="F28:F30"/>
    <mergeCell ref="G28:G30"/>
    <mergeCell ref="H28:H30"/>
    <mergeCell ref="I28:I30"/>
    <mergeCell ref="F11:F13"/>
    <mergeCell ref="G11:G13"/>
    <mergeCell ref="H11:H13"/>
    <mergeCell ref="I11:I13"/>
    <mergeCell ref="F25:F27"/>
    <mergeCell ref="G25:G27"/>
    <mergeCell ref="H25:H27"/>
    <mergeCell ref="I25:I27"/>
  </mergeCells>
  <conditionalFormatting sqref="D5:D16">
    <cfRule type="iconSet" priority="40">
      <iconSet iconSet="3Arrows">
        <cfvo type="percent" val="0"/>
        <cfvo type="num" val="0" gte="0"/>
        <cfvo type="num" val="0"/>
      </iconSet>
    </cfRule>
  </conditionalFormatting>
  <conditionalFormatting sqref="E5:E18">
    <cfRule type="cellIs" dxfId="9" priority="39" operator="lessThan">
      <formula>-15%</formula>
    </cfRule>
  </conditionalFormatting>
  <conditionalFormatting sqref="E5:E18">
    <cfRule type="cellIs" dxfId="8" priority="38" operator="lessThan">
      <formula>-15%</formula>
    </cfRule>
  </conditionalFormatting>
  <conditionalFormatting sqref="H5 H14:H16 H8 H11">
    <cfRule type="iconSet" priority="37">
      <iconSet iconSet="3Arrows">
        <cfvo type="percent" val="0"/>
        <cfvo type="num" val="0" gte="0"/>
        <cfvo type="num" val="0"/>
      </iconSet>
    </cfRule>
  </conditionalFormatting>
  <conditionalFormatting sqref="I5 I14:I16 I8 I11">
    <cfRule type="iconSet" priority="36">
      <iconSet iconSet="3Arrows">
        <cfvo type="percent" val="0"/>
        <cfvo type="num" val="0" gte="0"/>
        <cfvo type="num" val="0"/>
      </iconSet>
    </cfRule>
  </conditionalFormatting>
  <conditionalFormatting sqref="D25:D36">
    <cfRule type="iconSet" priority="35">
      <iconSet iconSet="3Arrows">
        <cfvo type="percent" val="0"/>
        <cfvo type="num" val="0" gte="0"/>
        <cfvo type="num" val="0"/>
      </iconSet>
    </cfRule>
  </conditionalFormatting>
  <conditionalFormatting sqref="E25:E38">
    <cfRule type="cellIs" dxfId="7" priority="34" operator="lessThan">
      <formula>-15%</formula>
    </cfRule>
  </conditionalFormatting>
  <conditionalFormatting sqref="E25:E38">
    <cfRule type="cellIs" dxfId="6" priority="33" operator="lessThan">
      <formula>-15%</formula>
    </cfRule>
  </conditionalFormatting>
  <conditionalFormatting sqref="H25 H34:H36 H28 H31">
    <cfRule type="iconSet" priority="32">
      <iconSet iconSet="3Arrows">
        <cfvo type="percent" val="0"/>
        <cfvo type="num" val="0" gte="0"/>
        <cfvo type="num" val="0"/>
      </iconSet>
    </cfRule>
  </conditionalFormatting>
  <conditionalFormatting sqref="I25 I34:I36 I28 I31">
    <cfRule type="iconSet" priority="31">
      <iconSet iconSet="3Arrows">
        <cfvo type="percent" val="0"/>
        <cfvo type="num" val="0" gte="0"/>
        <cfvo type="num" val="0"/>
      </iconSet>
    </cfRule>
  </conditionalFormatting>
  <conditionalFormatting sqref="D46:D57">
    <cfRule type="iconSet" priority="30">
      <iconSet iconSet="3Arrows">
        <cfvo type="percent" val="0"/>
        <cfvo type="num" val="0" gte="0"/>
        <cfvo type="num" val="0"/>
      </iconSet>
    </cfRule>
  </conditionalFormatting>
  <conditionalFormatting sqref="E46:E59">
    <cfRule type="cellIs" dxfId="5" priority="29" operator="lessThan">
      <formula>-15%</formula>
    </cfRule>
  </conditionalFormatting>
  <conditionalFormatting sqref="E46:E59">
    <cfRule type="cellIs" dxfId="4" priority="28" operator="lessThan">
      <formula>-15%</formula>
    </cfRule>
  </conditionalFormatting>
  <conditionalFormatting sqref="H46 H49 H55:H57 H52">
    <cfRule type="iconSet" priority="27">
      <iconSet iconSet="3Arrows">
        <cfvo type="percent" val="0"/>
        <cfvo type="num" val="0" gte="0"/>
        <cfvo type="num" val="0"/>
      </iconSet>
    </cfRule>
  </conditionalFormatting>
  <conditionalFormatting sqref="I46 I55:I57 I49 I52">
    <cfRule type="iconSet" priority="26">
      <iconSet iconSet="3Arrows">
        <cfvo type="percent" val="0"/>
        <cfvo type="num" val="0" gte="0"/>
        <cfvo type="num" val="0"/>
      </iconSet>
    </cfRule>
  </conditionalFormatting>
  <conditionalFormatting sqref="D135:D137">
    <cfRule type="iconSet" priority="25">
      <iconSet iconSet="3Arrows">
        <cfvo type="percent" val="0"/>
        <cfvo type="num" val="0" gte="0"/>
        <cfvo type="num" val="0"/>
      </iconSet>
    </cfRule>
  </conditionalFormatting>
  <conditionalFormatting sqref="E135:E137">
    <cfRule type="cellIs" dxfId="3" priority="24" operator="lessThan">
      <formula>-15%</formula>
    </cfRule>
  </conditionalFormatting>
  <conditionalFormatting sqref="E135:E137">
    <cfRule type="cellIs" dxfId="2" priority="23" operator="lessThan">
      <formula>-15%</formula>
    </cfRule>
  </conditionalFormatting>
  <conditionalFormatting sqref="H135">
    <cfRule type="iconSet" priority="22">
      <iconSet iconSet="3Arrows">
        <cfvo type="percent" val="0"/>
        <cfvo type="num" val="0" gte="0"/>
        <cfvo type="num" val="0"/>
      </iconSet>
    </cfRule>
  </conditionalFormatting>
  <conditionalFormatting sqref="I135">
    <cfRule type="iconSet" priority="21">
      <iconSet iconSet="3Arrows">
        <cfvo type="percent" val="0"/>
        <cfvo type="num" val="0" gte="0"/>
        <cfvo type="num" val="0"/>
      </iconSet>
    </cfRule>
  </conditionalFormatting>
  <conditionalFormatting sqref="D66:D77">
    <cfRule type="iconSet" priority="5">
      <iconSet iconSet="3Arrows">
        <cfvo type="percent" val="0"/>
        <cfvo type="num" val="0" gte="0"/>
        <cfvo type="num" val="0"/>
      </iconSet>
    </cfRule>
  </conditionalFormatting>
  <conditionalFormatting sqref="E66:E79">
    <cfRule type="cellIs" dxfId="1" priority="4" operator="lessThan">
      <formula>-15%</formula>
    </cfRule>
  </conditionalFormatting>
  <conditionalFormatting sqref="E66:E79">
    <cfRule type="cellIs" dxfId="0" priority="3" operator="lessThan">
      <formula>-15%</formula>
    </cfRule>
  </conditionalFormatting>
  <conditionalFormatting sqref="H66 H69 H75:H77 H72">
    <cfRule type="iconSet" priority="2">
      <iconSet iconSet="3Arrows">
        <cfvo type="percent" val="0"/>
        <cfvo type="num" val="0" gte="0"/>
        <cfvo type="num" val="0"/>
      </iconSet>
    </cfRule>
  </conditionalFormatting>
  <conditionalFormatting sqref="I66 I75:I77 I69 I72">
    <cfRule type="iconSet" priority="1">
      <iconSet iconSet="3Arrows">
        <cfvo type="percent" val="0"/>
        <cfvo type="num" val="0" gte="0"/>
        <cfvo type="num" val="0"/>
      </iconSet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F5EE5-7571-4F38-A014-F87477846917}">
  <dimension ref="A1:AF71"/>
  <sheetViews>
    <sheetView topLeftCell="B25" workbookViewId="0">
      <selection activeCell="R48" sqref="R48"/>
    </sheetView>
  </sheetViews>
  <sheetFormatPr defaultRowHeight="13.2"/>
  <cols>
    <col min="2" max="2" width="20.5546875" customWidth="1"/>
    <col min="4" max="4" width="18.109375" customWidth="1"/>
  </cols>
  <sheetData>
    <row r="1" spans="1:32" ht="13.8" thickBot="1">
      <c r="A1" s="147"/>
      <c r="B1" s="148"/>
      <c r="C1" s="148"/>
      <c r="D1" s="148" t="s">
        <v>558</v>
      </c>
      <c r="E1" s="148"/>
      <c r="F1" s="148"/>
      <c r="G1" s="148"/>
      <c r="H1" s="149"/>
      <c r="I1" s="150"/>
      <c r="J1" s="149"/>
      <c r="K1" s="150"/>
      <c r="L1" s="149"/>
      <c r="M1" s="150"/>
      <c r="N1" s="149"/>
      <c r="O1" s="150"/>
      <c r="P1" s="148"/>
      <c r="Q1" s="148"/>
      <c r="R1" s="148"/>
      <c r="S1" s="148"/>
      <c r="T1" s="151"/>
      <c r="U1" s="151"/>
      <c r="V1" s="152"/>
      <c r="W1" s="152"/>
      <c r="X1" s="152"/>
      <c r="Y1" s="152"/>
      <c r="Z1" s="148"/>
      <c r="AA1" s="148"/>
      <c r="AB1" s="148"/>
      <c r="AC1" s="148"/>
      <c r="AD1" s="148"/>
      <c r="AE1" s="148"/>
      <c r="AF1" s="148"/>
    </row>
    <row r="2" spans="1:32">
      <c r="A2" s="153"/>
      <c r="B2" s="154" t="s">
        <v>559</v>
      </c>
      <c r="D2" s="154">
        <v>41937</v>
      </c>
      <c r="E2" s="154"/>
      <c r="H2" s="155"/>
      <c r="I2" s="156"/>
      <c r="J2" s="155"/>
      <c r="K2" s="156"/>
      <c r="L2" s="155"/>
      <c r="M2" s="156"/>
      <c r="N2" s="155"/>
      <c r="O2" s="156"/>
      <c r="T2" s="77"/>
      <c r="U2" s="77"/>
      <c r="V2" s="157"/>
      <c r="W2" s="157"/>
      <c r="X2" s="157"/>
      <c r="Y2" s="157"/>
      <c r="Z2" s="154"/>
      <c r="AA2" s="154"/>
      <c r="AB2" s="154"/>
      <c r="AC2" s="154"/>
      <c r="AD2" s="154"/>
      <c r="AE2" s="154"/>
      <c r="AF2" s="154"/>
    </row>
    <row r="3" spans="1:32">
      <c r="A3" s="153"/>
      <c r="B3" s="154"/>
      <c r="D3" s="154"/>
      <c r="E3" s="154"/>
      <c r="H3" s="155"/>
      <c r="I3" s="156"/>
      <c r="J3" s="155"/>
      <c r="K3" s="156"/>
      <c r="L3" s="155"/>
      <c r="M3" s="156"/>
      <c r="N3" s="155"/>
      <c r="O3" s="156"/>
      <c r="T3" s="77"/>
      <c r="U3" s="77"/>
      <c r="V3" s="157"/>
      <c r="W3" s="157"/>
      <c r="X3" s="157"/>
      <c r="Y3" s="157"/>
      <c r="Z3" s="154"/>
      <c r="AA3" s="154"/>
      <c r="AB3" s="154"/>
      <c r="AC3" s="154"/>
      <c r="AD3" s="154"/>
      <c r="AE3" s="154"/>
      <c r="AF3" s="154"/>
    </row>
    <row r="4" spans="1:32" ht="13.8" thickBot="1">
      <c r="A4" s="158"/>
      <c r="B4" s="159" t="s">
        <v>206</v>
      </c>
      <c r="C4" s="159"/>
      <c r="D4" s="183">
        <f>SUM(D2:D3)</f>
        <v>41937</v>
      </c>
      <c r="E4" s="159"/>
      <c r="F4" s="159"/>
      <c r="G4" s="159"/>
      <c r="H4" s="160"/>
      <c r="I4" s="161"/>
      <c r="J4" s="160"/>
      <c r="K4" s="161"/>
      <c r="L4" s="160"/>
      <c r="M4" s="161"/>
      <c r="N4" s="160"/>
      <c r="O4" s="161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</row>
    <row r="5" spans="1:32" ht="13.8" thickBot="1">
      <c r="A5" s="147"/>
      <c r="B5" s="148"/>
      <c r="C5" s="148"/>
      <c r="D5" s="148" t="s">
        <v>560</v>
      </c>
      <c r="E5" s="148"/>
      <c r="F5" s="148"/>
      <c r="G5" s="148"/>
      <c r="H5" s="162"/>
      <c r="I5" s="163"/>
      <c r="J5" s="162"/>
      <c r="K5" s="163"/>
      <c r="L5" s="162"/>
      <c r="M5" s="163"/>
      <c r="N5" s="162"/>
      <c r="O5" s="163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</row>
    <row r="6" spans="1:32">
      <c r="A6" s="153"/>
      <c r="B6" s="154" t="s">
        <v>561</v>
      </c>
      <c r="D6" s="154">
        <v>168950</v>
      </c>
      <c r="E6" s="154"/>
      <c r="H6" s="155"/>
      <c r="I6" s="156"/>
      <c r="J6" s="155"/>
      <c r="K6" s="156"/>
      <c r="L6" s="155"/>
      <c r="M6" s="156"/>
      <c r="N6" s="155"/>
      <c r="O6" s="156"/>
      <c r="T6" s="77"/>
      <c r="U6" s="77"/>
      <c r="V6" s="157"/>
      <c r="W6" s="157"/>
      <c r="X6" s="157"/>
      <c r="Y6" s="157"/>
      <c r="Z6" s="154"/>
      <c r="AA6" s="154"/>
      <c r="AB6" s="154"/>
      <c r="AC6" s="154"/>
      <c r="AD6" s="154"/>
    </row>
    <row r="7" spans="1:32">
      <c r="A7" s="153"/>
      <c r="B7" s="154" t="s">
        <v>562</v>
      </c>
      <c r="D7" s="154">
        <v>3599999.4</v>
      </c>
      <c r="E7" s="154"/>
      <c r="H7" s="155"/>
      <c r="I7" s="156"/>
      <c r="J7" s="155"/>
      <c r="K7" s="156"/>
      <c r="L7" s="155"/>
      <c r="M7" s="156"/>
      <c r="N7" s="155"/>
      <c r="O7" s="156"/>
      <c r="T7" s="77"/>
      <c r="U7" s="77"/>
      <c r="V7" s="157"/>
      <c r="W7" s="157"/>
      <c r="X7" s="157"/>
      <c r="Y7" s="157"/>
      <c r="Z7" s="154"/>
      <c r="AA7" s="154"/>
      <c r="AB7" s="154"/>
      <c r="AC7" s="154"/>
      <c r="AD7" s="154"/>
    </row>
    <row r="8" spans="1:32">
      <c r="A8" s="153"/>
      <c r="B8" s="154" t="s">
        <v>563</v>
      </c>
      <c r="D8" s="154">
        <v>725324</v>
      </c>
      <c r="E8" s="154"/>
      <c r="H8" s="155"/>
      <c r="I8" s="156"/>
      <c r="J8" s="155"/>
      <c r="K8" s="156"/>
      <c r="L8" s="155"/>
      <c r="M8" s="156"/>
      <c r="N8" s="155"/>
      <c r="O8" s="156"/>
      <c r="T8" s="77"/>
      <c r="U8" s="77"/>
      <c r="V8" s="157"/>
      <c r="W8" s="157"/>
      <c r="X8" s="157"/>
      <c r="Y8" s="157"/>
      <c r="Z8" s="154"/>
      <c r="AA8" s="154"/>
      <c r="AB8" s="154"/>
      <c r="AC8" s="154"/>
      <c r="AD8" s="154"/>
    </row>
    <row r="9" spans="1:32">
      <c r="A9" s="153"/>
      <c r="B9" s="154" t="s">
        <v>445</v>
      </c>
      <c r="D9" s="154">
        <v>480589.6</v>
      </c>
      <c r="E9" s="154"/>
      <c r="H9" s="155"/>
      <c r="I9" s="156"/>
      <c r="J9" s="155"/>
      <c r="K9" s="156"/>
      <c r="L9" s="155"/>
      <c r="M9" s="156"/>
      <c r="N9" s="155"/>
      <c r="O9" s="156"/>
      <c r="T9" s="77"/>
      <c r="U9" s="77"/>
      <c r="V9" s="157"/>
      <c r="W9" s="157"/>
      <c r="X9" s="157"/>
      <c r="Y9" s="157"/>
      <c r="Z9" s="154"/>
      <c r="AA9" s="154"/>
      <c r="AB9" s="154"/>
      <c r="AC9" s="154"/>
      <c r="AD9" s="154"/>
    </row>
    <row r="10" spans="1:32">
      <c r="A10" s="153"/>
      <c r="B10" s="154" t="s">
        <v>564</v>
      </c>
      <c r="D10" s="154">
        <v>303950</v>
      </c>
      <c r="E10" s="154"/>
      <c r="H10" s="155"/>
      <c r="I10" s="156"/>
      <c r="J10" s="155"/>
      <c r="K10" s="156"/>
      <c r="L10" s="155"/>
      <c r="M10" s="156"/>
      <c r="N10" s="155"/>
      <c r="O10" s="156"/>
      <c r="T10" s="77"/>
      <c r="U10" s="77"/>
      <c r="V10" s="157"/>
      <c r="W10" s="157"/>
      <c r="X10" s="157"/>
      <c r="Y10" s="157"/>
      <c r="Z10" s="154"/>
      <c r="AA10" s="154"/>
      <c r="AB10" s="154"/>
      <c r="AC10" s="154"/>
      <c r="AD10" s="154"/>
    </row>
    <row r="11" spans="1:32">
      <c r="A11" s="153"/>
      <c r="B11" s="154" t="s">
        <v>565</v>
      </c>
      <c r="D11" s="154">
        <v>184014</v>
      </c>
      <c r="E11" s="154"/>
      <c r="H11" s="155"/>
      <c r="I11" s="156"/>
      <c r="J11" s="155"/>
      <c r="K11" s="156"/>
      <c r="L11" s="155"/>
      <c r="M11" s="156"/>
      <c r="N11" s="155"/>
      <c r="O11" s="156"/>
      <c r="T11" s="77"/>
      <c r="U11" s="77"/>
      <c r="V11" s="157"/>
      <c r="W11" s="157"/>
      <c r="X11" s="157"/>
      <c r="Y11" s="157"/>
      <c r="Z11" s="154"/>
      <c r="AA11" s="154"/>
      <c r="AB11" s="154"/>
      <c r="AC11" s="154"/>
      <c r="AD11" s="154"/>
    </row>
    <row r="12" spans="1:32">
      <c r="A12" s="164"/>
      <c r="B12" s="154" t="s">
        <v>566</v>
      </c>
      <c r="C12" s="77"/>
      <c r="D12" s="154">
        <v>140000</v>
      </c>
      <c r="E12" s="154"/>
      <c r="F12" s="77"/>
      <c r="G12" s="77"/>
      <c r="H12" s="165"/>
      <c r="I12" s="166"/>
      <c r="J12" s="165"/>
      <c r="K12" s="166"/>
      <c r="L12" s="165"/>
      <c r="M12" s="166"/>
      <c r="N12" s="165"/>
      <c r="O12" s="166"/>
      <c r="P12" s="77"/>
      <c r="Q12" s="77"/>
      <c r="R12" s="77"/>
      <c r="S12" s="77"/>
      <c r="T12" s="77"/>
      <c r="U12" s="77"/>
      <c r="V12" s="157"/>
      <c r="W12" s="157"/>
      <c r="X12" s="157"/>
      <c r="Y12" s="157"/>
      <c r="Z12" s="154"/>
      <c r="AA12" s="154"/>
      <c r="AB12" s="154"/>
      <c r="AC12" s="154"/>
      <c r="AD12" s="154"/>
      <c r="AE12" s="77"/>
      <c r="AF12" s="77"/>
    </row>
    <row r="13" spans="1:32">
      <c r="A13" s="153"/>
      <c r="B13" s="154" t="s">
        <v>567</v>
      </c>
      <c r="D13" s="154">
        <v>458103</v>
      </c>
      <c r="E13" s="154"/>
      <c r="H13" s="155"/>
      <c r="I13" s="156"/>
      <c r="J13" s="155"/>
      <c r="K13" s="156"/>
      <c r="L13" s="155"/>
      <c r="M13" s="156"/>
      <c r="N13" s="155"/>
      <c r="O13" s="156"/>
      <c r="T13" s="77"/>
      <c r="U13" s="77"/>
      <c r="V13" s="157"/>
      <c r="W13" s="157"/>
      <c r="X13" s="157"/>
      <c r="Y13" s="157"/>
      <c r="Z13" s="154"/>
      <c r="AA13" s="154"/>
      <c r="AB13" s="154"/>
      <c r="AC13" s="154"/>
      <c r="AD13" s="154"/>
    </row>
    <row r="14" spans="1:32">
      <c r="A14" s="153"/>
      <c r="B14" s="154"/>
      <c r="D14" s="154"/>
      <c r="E14" s="154"/>
      <c r="H14" s="155"/>
      <c r="I14" s="156"/>
      <c r="J14" s="155"/>
      <c r="K14" s="156"/>
      <c r="L14" s="155"/>
      <c r="M14" s="156"/>
      <c r="N14" s="155"/>
      <c r="O14" s="156"/>
      <c r="T14" s="77"/>
      <c r="U14" s="77"/>
      <c r="V14" s="157"/>
      <c r="W14" s="157"/>
      <c r="X14" s="157"/>
      <c r="Y14" s="157"/>
      <c r="Z14" s="154"/>
      <c r="AA14" s="154"/>
      <c r="AB14" s="154"/>
      <c r="AC14" s="154"/>
      <c r="AD14" s="154"/>
    </row>
    <row r="15" spans="1:32" ht="13.8" thickBot="1">
      <c r="A15" s="167"/>
      <c r="B15" s="154" t="s">
        <v>206</v>
      </c>
      <c r="C15" s="154"/>
      <c r="D15" s="180">
        <f>SUM(D6:D14)</f>
        <v>6060930</v>
      </c>
      <c r="E15" s="154"/>
      <c r="F15" s="154"/>
      <c r="G15" s="154"/>
      <c r="H15" s="168"/>
      <c r="I15" s="169"/>
      <c r="J15" s="168"/>
      <c r="K15" s="169"/>
      <c r="L15" s="168"/>
      <c r="M15" s="169"/>
      <c r="N15" s="168"/>
      <c r="O15" s="169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4"/>
    </row>
    <row r="16" spans="1:32" ht="13.8" thickBot="1">
      <c r="A16" s="170"/>
      <c r="B16" s="171"/>
      <c r="C16" s="171"/>
      <c r="D16" s="148" t="s">
        <v>568</v>
      </c>
      <c r="E16" s="148"/>
      <c r="F16" s="171"/>
      <c r="G16" s="171"/>
      <c r="H16" s="172"/>
      <c r="I16" s="173"/>
      <c r="J16" s="172"/>
      <c r="K16" s="173"/>
      <c r="L16" s="172"/>
      <c r="M16" s="173"/>
      <c r="N16" s="172"/>
      <c r="O16" s="173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  <c r="AB16" s="171"/>
      <c r="AC16" s="171"/>
      <c r="AD16" s="171"/>
      <c r="AE16" s="171"/>
      <c r="AF16" s="171"/>
    </row>
    <row r="17" spans="1:32">
      <c r="A17" s="153"/>
      <c r="B17" s="154" t="s">
        <v>569</v>
      </c>
      <c r="D17" s="154">
        <v>2000000</v>
      </c>
      <c r="E17" s="154"/>
      <c r="H17" s="155"/>
      <c r="I17" s="156"/>
      <c r="J17" s="155"/>
      <c r="K17" s="156"/>
      <c r="L17" s="155"/>
      <c r="M17" s="156"/>
      <c r="N17" s="155"/>
      <c r="O17" s="156"/>
      <c r="T17" s="77"/>
      <c r="U17" s="77"/>
      <c r="V17" s="157"/>
      <c r="W17" s="157"/>
      <c r="X17" s="157"/>
      <c r="Y17" s="157"/>
      <c r="Z17" s="154"/>
      <c r="AA17" s="154"/>
      <c r="AB17" s="154"/>
      <c r="AC17" s="154"/>
      <c r="AD17" s="154"/>
      <c r="AE17" s="154"/>
      <c r="AF17" s="154"/>
    </row>
    <row r="18" spans="1:32">
      <c r="A18" s="164"/>
      <c r="B18" s="174" t="s">
        <v>570</v>
      </c>
      <c r="C18" s="77"/>
      <c r="D18" s="154">
        <v>2000000</v>
      </c>
      <c r="E18" s="154"/>
      <c r="F18" s="77"/>
      <c r="G18" s="77"/>
      <c r="H18" s="165"/>
      <c r="I18" s="166"/>
      <c r="J18" s="165"/>
      <c r="K18" s="166"/>
      <c r="L18" s="165"/>
      <c r="M18" s="166"/>
      <c r="N18" s="165"/>
      <c r="O18" s="166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</row>
    <row r="19" spans="1:32">
      <c r="A19" s="164"/>
      <c r="B19" s="174" t="s">
        <v>481</v>
      </c>
      <c r="C19" s="77"/>
      <c r="D19" s="154">
        <v>5109905</v>
      </c>
      <c r="E19" s="154"/>
      <c r="F19" s="77"/>
      <c r="G19" s="77"/>
      <c r="H19" s="165"/>
      <c r="I19" s="166"/>
      <c r="J19" s="165"/>
      <c r="K19" s="166"/>
      <c r="L19" s="165"/>
      <c r="M19" s="166"/>
      <c r="N19" s="165"/>
      <c r="O19" s="166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</row>
    <row r="20" spans="1:32">
      <c r="A20" s="164"/>
      <c r="B20" s="154"/>
      <c r="C20" s="77"/>
      <c r="D20" s="154"/>
      <c r="E20" s="154"/>
      <c r="F20" s="77"/>
      <c r="G20" s="77"/>
      <c r="H20" s="165"/>
      <c r="I20" s="166"/>
      <c r="J20" s="165"/>
      <c r="K20" s="166"/>
      <c r="L20" s="165"/>
      <c r="M20" s="166"/>
      <c r="N20" s="165"/>
      <c r="O20" s="166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</row>
    <row r="21" spans="1:32" ht="13.8" thickBot="1">
      <c r="A21" s="164"/>
      <c r="B21" s="174" t="s">
        <v>206</v>
      </c>
      <c r="C21" s="77"/>
      <c r="D21" s="180">
        <f>SUM(D17:D20)</f>
        <v>9109905</v>
      </c>
      <c r="E21" s="154"/>
      <c r="F21" s="77"/>
      <c r="G21" s="77"/>
      <c r="H21" s="165"/>
      <c r="I21" s="166"/>
      <c r="J21" s="165"/>
      <c r="K21" s="166"/>
      <c r="L21" s="165"/>
      <c r="M21" s="166"/>
      <c r="N21" s="165"/>
      <c r="O21" s="166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</row>
    <row r="22" spans="1:32" ht="13.8" thickBot="1">
      <c r="A22" s="175"/>
      <c r="B22" s="171"/>
      <c r="C22" s="176"/>
      <c r="D22" s="148" t="s">
        <v>571</v>
      </c>
      <c r="E22" s="148"/>
      <c r="F22" s="176"/>
      <c r="G22" s="176"/>
      <c r="H22" s="177"/>
      <c r="I22" s="178"/>
      <c r="J22" s="177"/>
      <c r="K22" s="178"/>
      <c r="L22" s="177"/>
      <c r="M22" s="178"/>
      <c r="N22" s="177"/>
      <c r="O22" s="178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6"/>
    </row>
    <row r="23" spans="1:32">
      <c r="A23" s="164"/>
      <c r="B23" s="174" t="s">
        <v>572</v>
      </c>
      <c r="C23" s="77"/>
      <c r="D23" s="179">
        <v>12588200</v>
      </c>
      <c r="E23" s="179"/>
      <c r="F23" s="77"/>
      <c r="G23" s="77"/>
      <c r="H23" s="165"/>
      <c r="I23" s="166"/>
      <c r="J23" s="165"/>
      <c r="K23" s="166"/>
      <c r="L23" s="165"/>
      <c r="M23" s="166"/>
      <c r="N23" s="165"/>
      <c r="O23" s="166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</row>
    <row r="24" spans="1:32">
      <c r="A24" s="164"/>
      <c r="B24" s="174" t="s">
        <v>573</v>
      </c>
      <c r="C24" s="77"/>
      <c r="D24" s="179">
        <v>440000</v>
      </c>
      <c r="E24" s="179"/>
      <c r="F24" s="77"/>
      <c r="G24" s="77"/>
      <c r="H24" s="165"/>
      <c r="I24" s="166"/>
      <c r="J24" s="165"/>
      <c r="K24" s="166"/>
      <c r="L24" s="165"/>
      <c r="M24" s="166"/>
      <c r="N24" s="165"/>
      <c r="O24" s="166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</row>
    <row r="25" spans="1:32">
      <c r="A25" s="164"/>
      <c r="B25" s="154"/>
      <c r="C25" s="77"/>
      <c r="D25" s="180"/>
      <c r="E25" s="180"/>
      <c r="F25" s="77"/>
      <c r="G25" s="77"/>
      <c r="H25" s="165"/>
      <c r="I25" s="166"/>
      <c r="J25" s="165"/>
      <c r="K25" s="166"/>
      <c r="L25" s="165"/>
      <c r="M25" s="166"/>
      <c r="N25" s="165"/>
      <c r="O25" s="166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</row>
    <row r="26" spans="1:32" ht="13.8" thickBot="1">
      <c r="A26" s="164"/>
      <c r="B26" s="174" t="s">
        <v>206</v>
      </c>
      <c r="C26" s="77"/>
      <c r="D26" s="181">
        <f>SUM(D23:D25)</f>
        <v>13028200</v>
      </c>
      <c r="E26" s="181"/>
      <c r="F26" s="77"/>
      <c r="G26" s="77"/>
      <c r="H26" s="165"/>
      <c r="I26" s="166"/>
      <c r="J26" s="165"/>
      <c r="K26" s="166"/>
      <c r="L26" s="165"/>
      <c r="M26" s="166"/>
      <c r="N26" s="165"/>
      <c r="O26" s="166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</row>
    <row r="27" spans="1:32" ht="13.8" thickBot="1">
      <c r="A27" s="175"/>
      <c r="B27" s="171"/>
      <c r="C27" s="176"/>
      <c r="D27" s="148" t="s">
        <v>592</v>
      </c>
      <c r="E27" s="148"/>
      <c r="F27" s="176"/>
      <c r="G27" s="176"/>
      <c r="H27" s="177"/>
      <c r="I27" s="178"/>
      <c r="J27" s="177"/>
      <c r="K27" s="178"/>
      <c r="L27" s="177"/>
      <c r="M27" s="178"/>
      <c r="N27" s="177"/>
      <c r="O27" s="178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  <c r="AA27" s="176"/>
      <c r="AB27" s="176"/>
      <c r="AC27" s="176"/>
      <c r="AD27" s="176"/>
      <c r="AE27" s="176"/>
      <c r="AF27" s="176"/>
    </row>
    <row r="28" spans="1:32">
      <c r="A28" s="164"/>
      <c r="B28" s="174" t="s">
        <v>593</v>
      </c>
      <c r="C28" s="77"/>
      <c r="D28" s="179">
        <v>150000</v>
      </c>
      <c r="E28" s="179"/>
      <c r="F28" s="77"/>
      <c r="G28" s="77"/>
      <c r="H28" s="165"/>
      <c r="I28" s="166"/>
      <c r="J28" s="165"/>
      <c r="K28" s="166"/>
      <c r="L28" s="165"/>
      <c r="M28" s="166"/>
      <c r="N28" s="165"/>
      <c r="O28" s="166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</row>
    <row r="29" spans="1:32">
      <c r="A29" s="164"/>
      <c r="B29" s="174" t="s">
        <v>594</v>
      </c>
      <c r="C29" s="77"/>
      <c r="D29" s="179">
        <v>411660</v>
      </c>
      <c r="E29" s="179"/>
      <c r="F29" s="77"/>
      <c r="G29" s="77"/>
      <c r="H29" s="165"/>
      <c r="I29" s="166"/>
      <c r="J29" s="165"/>
      <c r="K29" s="166"/>
      <c r="L29" s="165"/>
      <c r="M29" s="166"/>
      <c r="N29" s="165"/>
      <c r="O29" s="166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</row>
    <row r="30" spans="1:32">
      <c r="A30" s="164"/>
      <c r="B30" s="154"/>
      <c r="C30" s="77"/>
      <c r="D30" s="180"/>
      <c r="E30" s="180"/>
      <c r="F30" s="77"/>
      <c r="G30" s="77"/>
      <c r="H30" s="165"/>
      <c r="I30" s="166"/>
      <c r="J30" s="165"/>
      <c r="K30" s="166"/>
      <c r="L30" s="165"/>
      <c r="M30" s="166"/>
      <c r="N30" s="165"/>
      <c r="O30" s="166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</row>
    <row r="31" spans="1:32">
      <c r="A31" s="164"/>
      <c r="B31" s="174" t="s">
        <v>206</v>
      </c>
      <c r="C31" s="77"/>
      <c r="D31" s="181">
        <f>SUM(D28:D30)</f>
        <v>561660</v>
      </c>
      <c r="E31" s="181"/>
      <c r="F31" s="77"/>
      <c r="G31" s="77"/>
      <c r="H31" s="165"/>
      <c r="I31" s="166"/>
      <c r="J31" s="165"/>
      <c r="K31" s="166"/>
      <c r="L31" s="165"/>
      <c r="M31" s="166"/>
      <c r="N31" s="165"/>
      <c r="O31" s="166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</row>
    <row r="32" spans="1:32">
      <c r="A32" s="248"/>
      <c r="B32" s="180"/>
      <c r="C32" s="180"/>
      <c r="D32" s="181"/>
      <c r="E32" s="181"/>
      <c r="F32" s="180"/>
      <c r="G32" s="180"/>
      <c r="H32" s="249"/>
      <c r="I32" s="250"/>
      <c r="J32" s="249"/>
      <c r="K32" s="250"/>
      <c r="L32" s="249"/>
      <c r="M32" s="250"/>
      <c r="N32" s="249"/>
      <c r="O32" s="25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  <c r="AC32" s="180"/>
      <c r="AD32" s="180"/>
      <c r="AE32" s="180"/>
      <c r="AF32" s="180"/>
    </row>
    <row r="33" spans="1:32">
      <c r="A33" s="248"/>
      <c r="B33" s="180"/>
      <c r="C33" s="180"/>
      <c r="D33" s="181"/>
      <c r="E33" s="181"/>
      <c r="F33" s="180"/>
      <c r="G33" s="180"/>
      <c r="H33" s="249"/>
      <c r="I33" s="250"/>
      <c r="J33" s="249"/>
      <c r="K33" s="250"/>
      <c r="L33" s="249"/>
      <c r="M33" s="250"/>
      <c r="N33" s="249"/>
      <c r="O33" s="25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  <c r="AC33" s="180"/>
      <c r="AD33" s="180"/>
      <c r="AE33" s="180"/>
      <c r="AF33" s="180"/>
    </row>
    <row r="34" spans="1:32" ht="13.8" thickBot="1">
      <c r="A34" s="182"/>
      <c r="B34" s="183" t="s">
        <v>574</v>
      </c>
      <c r="C34" s="183"/>
      <c r="D34" s="184">
        <f>D15+D4+D21+D26+D31</f>
        <v>28802632</v>
      </c>
      <c r="E34" s="184"/>
      <c r="F34" s="183"/>
      <c r="G34" s="183"/>
      <c r="H34" s="185"/>
      <c r="I34" s="186"/>
      <c r="J34" s="185"/>
      <c r="K34" s="186"/>
      <c r="L34" s="185"/>
      <c r="M34" s="186"/>
      <c r="N34" s="185"/>
      <c r="O34" s="186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183"/>
      <c r="AA34" s="183"/>
      <c r="AB34" s="183"/>
      <c r="AC34" s="183"/>
      <c r="AD34" s="183"/>
      <c r="AE34" s="183"/>
      <c r="AF34" s="183"/>
    </row>
    <row r="35" spans="1:32" ht="13.8" thickBot="1">
      <c r="A35" s="153"/>
      <c r="B35" s="154"/>
      <c r="D35" s="154"/>
      <c r="E35" s="154"/>
      <c r="H35" s="155"/>
      <c r="I35" s="156"/>
      <c r="J35" s="155"/>
      <c r="K35" s="156"/>
      <c r="L35" s="155"/>
      <c r="M35" s="156"/>
      <c r="N35" s="155"/>
      <c r="O35" s="156"/>
      <c r="T35" s="77"/>
      <c r="U35" s="77"/>
      <c r="V35" s="157"/>
      <c r="W35" s="157"/>
      <c r="X35" s="157"/>
      <c r="Y35" s="157"/>
      <c r="Z35" s="154"/>
      <c r="AA35" s="154"/>
      <c r="AB35" s="154"/>
      <c r="AC35" s="154"/>
      <c r="AD35" s="154"/>
      <c r="AE35" s="154"/>
      <c r="AF35" s="154"/>
    </row>
    <row r="36" spans="1:32" ht="15" thickBot="1">
      <c r="A36" s="187" t="s">
        <v>575</v>
      </c>
      <c r="B36" s="188"/>
      <c r="C36" s="188"/>
      <c r="D36" s="188"/>
      <c r="E36" s="188"/>
      <c r="F36" s="188" t="s">
        <v>45</v>
      </c>
      <c r="G36" s="188" t="s">
        <v>46</v>
      </c>
      <c r="H36" s="1942" t="s">
        <v>47</v>
      </c>
      <c r="I36" s="1943"/>
      <c r="J36" s="1944" t="s">
        <v>48</v>
      </c>
      <c r="K36" s="1945"/>
      <c r="L36" s="1944" t="s">
        <v>49</v>
      </c>
      <c r="M36" s="1945"/>
      <c r="N36" s="1942" t="s">
        <v>50</v>
      </c>
      <c r="O36" s="1943"/>
      <c r="P36" s="188" t="s">
        <v>51</v>
      </c>
      <c r="Q36" s="188" t="s">
        <v>52</v>
      </c>
      <c r="R36" s="188" t="s">
        <v>53</v>
      </c>
      <c r="S36" s="188" t="s">
        <v>54</v>
      </c>
      <c r="T36" s="188" t="s">
        <v>55</v>
      </c>
      <c r="U36" s="188" t="s">
        <v>56</v>
      </c>
      <c r="V36" s="188" t="s">
        <v>45</v>
      </c>
      <c r="W36" s="188" t="s">
        <v>46</v>
      </c>
      <c r="X36" s="188" t="s">
        <v>47</v>
      </c>
      <c r="Y36" s="188"/>
      <c r="Z36" s="188"/>
      <c r="AA36" s="188"/>
      <c r="AB36" s="188"/>
      <c r="AC36" s="188"/>
      <c r="AD36" s="188"/>
      <c r="AE36" s="188"/>
      <c r="AF36" s="188"/>
    </row>
    <row r="37" spans="1:32" ht="15" thickBot="1">
      <c r="A37" s="191"/>
      <c r="B37" s="188"/>
      <c r="C37" s="188"/>
      <c r="D37" s="188" t="s">
        <v>576</v>
      </c>
      <c r="E37" s="188" t="s">
        <v>577</v>
      </c>
      <c r="F37" s="188"/>
      <c r="G37" s="188"/>
      <c r="H37" s="191" t="s">
        <v>63</v>
      </c>
      <c r="I37" s="192" t="s">
        <v>238</v>
      </c>
      <c r="J37" s="189" t="s">
        <v>63</v>
      </c>
      <c r="K37" s="190" t="s">
        <v>238</v>
      </c>
      <c r="L37" s="191" t="s">
        <v>63</v>
      </c>
      <c r="M37" s="192" t="s">
        <v>238</v>
      </c>
      <c r="N37" s="191" t="s">
        <v>63</v>
      </c>
      <c r="O37" s="192" t="s">
        <v>238</v>
      </c>
      <c r="P37" s="188"/>
      <c r="Q37" s="188"/>
      <c r="R37" s="188"/>
      <c r="S37" s="188"/>
      <c r="T37" s="188"/>
      <c r="U37" s="188"/>
      <c r="V37" s="188"/>
      <c r="W37" s="188"/>
      <c r="X37" s="188"/>
      <c r="Y37" s="188"/>
      <c r="Z37" s="188"/>
      <c r="AA37" s="188"/>
      <c r="AB37" s="188"/>
      <c r="AC37" s="188"/>
      <c r="AD37" s="188"/>
      <c r="AE37" s="188"/>
      <c r="AF37" s="188"/>
    </row>
    <row r="38" spans="1:32" ht="14.4">
      <c r="A38" s="1946" t="s">
        <v>162</v>
      </c>
      <c r="B38" s="193" t="s">
        <v>559</v>
      </c>
      <c r="C38" s="194" t="s">
        <v>45</v>
      </c>
      <c r="D38" s="195">
        <v>41937</v>
      </c>
      <c r="E38" s="195">
        <f>G38</f>
        <v>41937</v>
      </c>
      <c r="F38" s="194"/>
      <c r="G38" s="196">
        <f>D38</f>
        <v>41937</v>
      </c>
      <c r="H38" s="197"/>
      <c r="I38" s="198"/>
      <c r="J38" s="199"/>
      <c r="K38" s="200"/>
      <c r="L38" s="199"/>
      <c r="M38" s="198"/>
      <c r="N38" s="199"/>
      <c r="O38" s="200"/>
      <c r="P38" s="201"/>
      <c r="Q38" s="194"/>
      <c r="R38" s="194"/>
      <c r="S38" s="194"/>
      <c r="T38" s="202"/>
      <c r="U38" s="202"/>
      <c r="V38" s="203"/>
      <c r="W38" s="203"/>
      <c r="X38" s="203"/>
      <c r="Y38" s="203"/>
      <c r="Z38" s="195"/>
      <c r="AA38" s="195"/>
      <c r="AB38" s="195"/>
      <c r="AC38" s="195"/>
      <c r="AD38" s="195"/>
      <c r="AE38" s="195"/>
      <c r="AF38" s="195"/>
    </row>
    <row r="39" spans="1:32" ht="14.4">
      <c r="A39" s="1947"/>
      <c r="B39" s="204" t="s">
        <v>561</v>
      </c>
      <c r="C39" s="205" t="s">
        <v>578</v>
      </c>
      <c r="D39" s="206">
        <v>168950</v>
      </c>
      <c r="E39" s="206">
        <f>I39+K39+M39+O39</f>
        <v>0</v>
      </c>
      <c r="F39" s="205"/>
      <c r="G39" s="207"/>
      <c r="H39" s="208"/>
      <c r="I39" s="209"/>
      <c r="J39" s="210">
        <v>168950</v>
      </c>
      <c r="K39" s="211">
        <v>0</v>
      </c>
      <c r="L39" s="210"/>
      <c r="M39" s="212"/>
      <c r="N39" s="210"/>
      <c r="O39" s="213"/>
      <c r="P39" s="214"/>
      <c r="Q39" s="205"/>
      <c r="R39" s="205"/>
      <c r="S39" s="205"/>
      <c r="T39" s="215"/>
      <c r="U39" s="215"/>
      <c r="V39" s="216"/>
      <c r="W39" s="216"/>
      <c r="X39" s="216"/>
      <c r="Y39" s="216"/>
      <c r="Z39" s="206"/>
      <c r="AA39" s="206"/>
      <c r="AB39" s="206"/>
      <c r="AC39" s="206"/>
      <c r="AD39" s="206"/>
      <c r="AE39" s="206"/>
      <c r="AF39" s="206"/>
    </row>
    <row r="40" spans="1:32" ht="14.4">
      <c r="A40" s="1947"/>
      <c r="B40" s="204" t="s">
        <v>562</v>
      </c>
      <c r="C40" s="205" t="s">
        <v>579</v>
      </c>
      <c r="D40" s="206">
        <v>3599999.4</v>
      </c>
      <c r="E40" s="217">
        <f>I40+K40+M40+O40</f>
        <v>1200000</v>
      </c>
      <c r="F40" s="205"/>
      <c r="G40" s="207"/>
      <c r="H40" s="208">
        <v>300000</v>
      </c>
      <c r="I40" s="209">
        <v>300000</v>
      </c>
      <c r="J40" s="210">
        <f>$D$40/12</f>
        <v>299999.95</v>
      </c>
      <c r="K40" s="213">
        <v>300000</v>
      </c>
      <c r="L40" s="210">
        <f>$D$40/12</f>
        <v>299999.95</v>
      </c>
      <c r="M40" s="218">
        <f>'[21]Текущий портфель'!R139</f>
        <v>300000</v>
      </c>
      <c r="N40" s="210">
        <f>$D$40/12</f>
        <v>299999.95</v>
      </c>
      <c r="O40" s="213">
        <v>300000</v>
      </c>
      <c r="P40" s="214">
        <f t="shared" ref="P40:W40" si="0">$D$40/12</f>
        <v>299999.95</v>
      </c>
      <c r="Q40" s="205">
        <f t="shared" si="0"/>
        <v>299999.95</v>
      </c>
      <c r="R40" s="205">
        <f t="shared" si="0"/>
        <v>299999.95</v>
      </c>
      <c r="S40" s="205">
        <f t="shared" si="0"/>
        <v>299999.95</v>
      </c>
      <c r="T40" s="215">
        <f t="shared" si="0"/>
        <v>299999.95</v>
      </c>
      <c r="U40" s="215">
        <f t="shared" si="0"/>
        <v>299999.95</v>
      </c>
      <c r="V40" s="216">
        <f t="shared" si="0"/>
        <v>299999.95</v>
      </c>
      <c r="W40" s="216">
        <f t="shared" si="0"/>
        <v>299999.95</v>
      </c>
      <c r="X40" s="216"/>
      <c r="Y40" s="216"/>
      <c r="Z40" s="206"/>
      <c r="AA40" s="206"/>
      <c r="AB40" s="206"/>
      <c r="AC40" s="206"/>
      <c r="AD40" s="206"/>
      <c r="AE40" s="206"/>
      <c r="AF40" s="206"/>
    </row>
    <row r="41" spans="1:32" ht="14.4">
      <c r="A41" s="1947"/>
      <c r="B41" s="204" t="s">
        <v>563</v>
      </c>
      <c r="C41" s="205" t="s">
        <v>580</v>
      </c>
      <c r="D41" s="206">
        <v>725324</v>
      </c>
      <c r="E41" s="217">
        <f>I41+K41+M41+O41</f>
        <v>134786</v>
      </c>
      <c r="F41" s="205"/>
      <c r="G41" s="207"/>
      <c r="H41" s="208">
        <v>214350</v>
      </c>
      <c r="I41" s="209"/>
      <c r="J41" s="210">
        <v>252282</v>
      </c>
      <c r="K41" s="213">
        <v>134786</v>
      </c>
      <c r="L41" s="210">
        <v>155166</v>
      </c>
      <c r="M41" s="219">
        <f>'[21]Текущий портфель'!R137</f>
        <v>0</v>
      </c>
      <c r="N41" s="210">
        <v>126566</v>
      </c>
      <c r="O41" s="213">
        <f>'Выручка-план'!I124</f>
        <v>0</v>
      </c>
      <c r="P41" s="214"/>
      <c r="Q41" s="205"/>
      <c r="R41" s="205"/>
      <c r="S41" s="205"/>
      <c r="T41" s="215"/>
      <c r="U41" s="215"/>
      <c r="V41" s="216"/>
      <c r="W41" s="216"/>
      <c r="X41" s="216"/>
      <c r="Y41" s="216"/>
      <c r="Z41" s="206"/>
      <c r="AA41" s="206"/>
      <c r="AB41" s="206"/>
      <c r="AC41" s="206"/>
      <c r="AD41" s="206"/>
      <c r="AE41" s="206"/>
      <c r="AF41" s="206"/>
    </row>
    <row r="42" spans="1:32" ht="14.4">
      <c r="A42" s="1947"/>
      <c r="B42" s="204" t="s">
        <v>445</v>
      </c>
      <c r="C42" s="205" t="s">
        <v>581</v>
      </c>
      <c r="D42" s="206">
        <v>480589.6</v>
      </c>
      <c r="E42" s="217">
        <f>I42+K42+M42</f>
        <v>409628</v>
      </c>
      <c r="F42" s="205"/>
      <c r="G42" s="207"/>
      <c r="H42" s="208">
        <v>146321.60000000001</v>
      </c>
      <c r="I42" s="209">
        <v>150861</v>
      </c>
      <c r="J42" s="210">
        <v>66853.600000000006</v>
      </c>
      <c r="K42" s="213">
        <v>100666</v>
      </c>
      <c r="L42" s="210">
        <f>J42</f>
        <v>66853.600000000006</v>
      </c>
      <c r="M42" s="218">
        <f>'[21]Текущий портфель'!R132</f>
        <v>158101</v>
      </c>
      <c r="N42" s="210">
        <f>L42</f>
        <v>66853.600000000006</v>
      </c>
      <c r="O42" s="213">
        <f>'Выручка-план'!I119</f>
        <v>81898</v>
      </c>
      <c r="P42" s="214">
        <f>N42</f>
        <v>66853.600000000006</v>
      </c>
      <c r="Q42" s="205">
        <f>P42</f>
        <v>66853.600000000006</v>
      </c>
      <c r="R42" s="205"/>
      <c r="S42" s="205"/>
      <c r="T42" s="215"/>
      <c r="U42" s="215"/>
      <c r="V42" s="216"/>
      <c r="W42" s="216"/>
      <c r="X42" s="216"/>
      <c r="Y42" s="216"/>
      <c r="Z42" s="206"/>
      <c r="AA42" s="206"/>
      <c r="AB42" s="206"/>
      <c r="AC42" s="206"/>
      <c r="AD42" s="206"/>
      <c r="AE42" s="206"/>
      <c r="AF42" s="206"/>
    </row>
    <row r="43" spans="1:32" ht="14.4">
      <c r="A43" s="1947"/>
      <c r="B43" s="204" t="s">
        <v>564</v>
      </c>
      <c r="C43" s="205" t="s">
        <v>582</v>
      </c>
      <c r="D43" s="206">
        <v>303950</v>
      </c>
      <c r="E43" s="206">
        <f>K43+M43+O43</f>
        <v>0</v>
      </c>
      <c r="F43" s="205"/>
      <c r="G43" s="207"/>
      <c r="H43" s="208"/>
      <c r="I43" s="209"/>
      <c r="J43" s="210">
        <f>D43</f>
        <v>303950</v>
      </c>
      <c r="K43" s="211">
        <v>0</v>
      </c>
      <c r="L43" s="210"/>
      <c r="M43" s="212"/>
      <c r="N43" s="210"/>
      <c r="O43" s="213"/>
      <c r="P43" s="214"/>
      <c r="Q43" s="205"/>
      <c r="R43" s="205"/>
      <c r="S43" s="205"/>
      <c r="T43" s="215"/>
      <c r="U43" s="215"/>
      <c r="V43" s="216"/>
      <c r="W43" s="216"/>
      <c r="X43" s="216"/>
      <c r="Y43" s="216"/>
      <c r="Z43" s="206"/>
      <c r="AA43" s="206"/>
      <c r="AB43" s="206"/>
      <c r="AC43" s="206"/>
      <c r="AD43" s="206"/>
      <c r="AE43" s="206"/>
      <c r="AF43" s="206"/>
    </row>
    <row r="44" spans="1:32" ht="14.4">
      <c r="A44" s="1947"/>
      <c r="B44" s="204" t="s">
        <v>481</v>
      </c>
      <c r="C44" s="220" t="s">
        <v>583</v>
      </c>
      <c r="D44" s="206">
        <f>D19</f>
        <v>5109905</v>
      </c>
      <c r="E44" s="217">
        <f>I44+K44+M44</f>
        <v>303258</v>
      </c>
      <c r="F44" s="205"/>
      <c r="G44" s="207"/>
      <c r="H44" s="208"/>
      <c r="I44" s="209"/>
      <c r="J44" s="210">
        <v>157008</v>
      </c>
      <c r="K44" s="213">
        <v>157008</v>
      </c>
      <c r="L44" s="210">
        <f>J44</f>
        <v>157008</v>
      </c>
      <c r="M44" s="218">
        <f>'[21]Текущий портфель'!R142</f>
        <v>146250</v>
      </c>
      <c r="N44" s="210">
        <f>L44</f>
        <v>157008</v>
      </c>
      <c r="O44" s="213">
        <f>'Выручка-план'!I128</f>
        <v>50625</v>
      </c>
      <c r="P44" s="214">
        <f>N44</f>
        <v>157008</v>
      </c>
      <c r="Q44" s="205">
        <f t="shared" ref="Q44:Y44" si="1">P44</f>
        <v>157008</v>
      </c>
      <c r="R44" s="205">
        <f t="shared" si="1"/>
        <v>157008</v>
      </c>
      <c r="S44" s="205">
        <f t="shared" si="1"/>
        <v>157008</v>
      </c>
      <c r="T44" s="205">
        <f t="shared" si="1"/>
        <v>157008</v>
      </c>
      <c r="U44" s="205">
        <f t="shared" si="1"/>
        <v>157008</v>
      </c>
      <c r="V44" s="205">
        <f t="shared" si="1"/>
        <v>157008</v>
      </c>
      <c r="W44" s="205">
        <f t="shared" si="1"/>
        <v>157008</v>
      </c>
      <c r="X44" s="205">
        <f t="shared" si="1"/>
        <v>157008</v>
      </c>
      <c r="Y44" s="205">
        <f t="shared" si="1"/>
        <v>157008</v>
      </c>
      <c r="Z44" s="206"/>
      <c r="AA44" s="206"/>
      <c r="AB44" s="206"/>
      <c r="AC44" s="206"/>
      <c r="AD44" s="206"/>
      <c r="AE44" s="206"/>
      <c r="AF44" s="206"/>
    </row>
    <row r="45" spans="1:32" ht="14.4">
      <c r="A45" s="1947"/>
      <c r="B45" s="204" t="s">
        <v>584</v>
      </c>
      <c r="C45" s="220" t="s">
        <v>585</v>
      </c>
      <c r="D45" s="206">
        <v>6250000</v>
      </c>
      <c r="E45" s="206"/>
      <c r="F45" s="205"/>
      <c r="G45" s="207"/>
      <c r="H45" s="208"/>
      <c r="I45" s="209"/>
      <c r="J45" s="210"/>
      <c r="K45" s="213"/>
      <c r="L45" s="210"/>
      <c r="M45" s="209"/>
      <c r="N45" s="210"/>
      <c r="O45" s="213"/>
      <c r="P45" s="221"/>
      <c r="Q45" s="205"/>
      <c r="R45" s="205"/>
      <c r="S45" s="205"/>
      <c r="T45" s="215"/>
      <c r="U45" s="215"/>
      <c r="V45" s="216"/>
      <c r="W45" s="216"/>
      <c r="X45" s="216"/>
      <c r="Y45" s="216"/>
      <c r="Z45" s="206"/>
      <c r="AA45" s="206"/>
      <c r="AB45" s="206"/>
      <c r="AC45" s="206"/>
      <c r="AD45" s="206"/>
      <c r="AE45" s="206"/>
      <c r="AF45" s="206"/>
    </row>
    <row r="46" spans="1:32" ht="15" thickBot="1">
      <c r="A46" s="1948"/>
      <c r="B46" s="204" t="s">
        <v>567</v>
      </c>
      <c r="C46" s="205" t="s">
        <v>586</v>
      </c>
      <c r="D46" s="206">
        <v>458103</v>
      </c>
      <c r="E46" s="217">
        <f>G46+K46+I46+M46+O46</f>
        <v>149416</v>
      </c>
      <c r="F46" s="205"/>
      <c r="G46" s="207">
        <v>68643</v>
      </c>
      <c r="H46" s="208">
        <v>163560</v>
      </c>
      <c r="I46" s="209"/>
      <c r="J46" s="210">
        <v>109407</v>
      </c>
      <c r="K46" s="213">
        <v>80773</v>
      </c>
      <c r="L46" s="210">
        <v>77889</v>
      </c>
      <c r="M46" s="218">
        <f>'[21]Текущий портфель'!R128</f>
        <v>0</v>
      </c>
      <c r="N46" s="210"/>
      <c r="O46" s="213">
        <f>'Выручка-план'!I115</f>
        <v>0</v>
      </c>
      <c r="P46" s="214"/>
      <c r="Q46" s="205"/>
      <c r="R46" s="205"/>
      <c r="S46" s="205"/>
      <c r="T46" s="215"/>
      <c r="U46" s="215"/>
      <c r="V46" s="216"/>
      <c r="W46" s="216"/>
      <c r="X46" s="216"/>
      <c r="Y46" s="216"/>
      <c r="Z46" s="206"/>
      <c r="AA46" s="206"/>
      <c r="AB46" s="206"/>
      <c r="AC46" s="206"/>
      <c r="AD46" s="206"/>
      <c r="AE46" s="206"/>
      <c r="AF46" s="206"/>
    </row>
    <row r="47" spans="1:32" ht="14.4">
      <c r="A47" s="1939" t="s">
        <v>163</v>
      </c>
      <c r="B47" s="193" t="s">
        <v>587</v>
      </c>
      <c r="C47" s="202" t="s">
        <v>580</v>
      </c>
      <c r="D47" s="195">
        <v>140000</v>
      </c>
      <c r="E47" s="222">
        <f>K47+M47</f>
        <v>150000</v>
      </c>
      <c r="F47" s="194"/>
      <c r="G47" s="196"/>
      <c r="H47" s="197"/>
      <c r="I47" s="198"/>
      <c r="J47" s="199">
        <f>D47</f>
        <v>140000</v>
      </c>
      <c r="K47" s="200">
        <v>140000</v>
      </c>
      <c r="L47" s="199"/>
      <c r="M47" s="223">
        <f>'[21]Текущий портфель'!R174+'[21]Текущий портфель'!R187</f>
        <v>10000</v>
      </c>
      <c r="N47" s="199"/>
      <c r="O47" s="200">
        <v>0</v>
      </c>
      <c r="P47" s="201"/>
      <c r="Q47" s="194"/>
      <c r="R47" s="194"/>
      <c r="S47" s="194"/>
      <c r="T47" s="202"/>
      <c r="U47" s="202"/>
      <c r="V47" s="203"/>
      <c r="W47" s="203"/>
      <c r="X47" s="203"/>
      <c r="Y47" s="203"/>
      <c r="Z47" s="195"/>
      <c r="AA47" s="195"/>
      <c r="AB47" s="195"/>
      <c r="AC47" s="195"/>
      <c r="AD47" s="195"/>
      <c r="AE47" s="195"/>
      <c r="AF47" s="195"/>
    </row>
    <row r="48" spans="1:32" ht="14.4">
      <c r="A48" s="1940"/>
      <c r="B48" s="204" t="s">
        <v>570</v>
      </c>
      <c r="C48" s="220" t="s">
        <v>588</v>
      </c>
      <c r="D48" s="206">
        <f>D18</f>
        <v>2000000</v>
      </c>
      <c r="E48" s="217">
        <f>G48+I48+K48+M48</f>
        <v>51400</v>
      </c>
      <c r="F48" s="205"/>
      <c r="G48" s="207"/>
      <c r="H48" s="208"/>
      <c r="I48" s="209"/>
      <c r="J48" s="210"/>
      <c r="K48" s="213"/>
      <c r="L48" s="210"/>
      <c r="M48" s="218">
        <f>'[21]Текущий портфель'!R176</f>
        <v>51400</v>
      </c>
      <c r="N48" s="210"/>
      <c r="O48" s="213"/>
      <c r="P48" s="214"/>
      <c r="Q48" s="205"/>
      <c r="R48" s="205"/>
      <c r="S48" s="205"/>
      <c r="T48" s="215"/>
      <c r="U48" s="215"/>
      <c r="V48" s="216"/>
      <c r="W48" s="216"/>
      <c r="X48" s="216"/>
      <c r="Y48" s="216"/>
      <c r="Z48" s="206"/>
      <c r="AA48" s="206"/>
      <c r="AB48" s="206"/>
      <c r="AC48" s="206"/>
      <c r="AD48" s="206"/>
      <c r="AE48" s="206"/>
      <c r="AF48" s="206"/>
    </row>
    <row r="49" spans="1:32" ht="14.4">
      <c r="A49" s="1940"/>
      <c r="B49" s="204" t="s">
        <v>565</v>
      </c>
      <c r="C49" s="205" t="s">
        <v>589</v>
      </c>
      <c r="D49" s="206">
        <v>184014</v>
      </c>
      <c r="E49" s="206">
        <f>G49+I49+K49+M49+O49</f>
        <v>0</v>
      </c>
      <c r="F49" s="205"/>
      <c r="G49" s="207"/>
      <c r="H49" s="208">
        <f>D49</f>
        <v>184014</v>
      </c>
      <c r="I49" s="212"/>
      <c r="J49" s="210"/>
      <c r="K49" s="211">
        <v>0</v>
      </c>
      <c r="L49" s="210"/>
      <c r="M49" s="212"/>
      <c r="N49" s="210"/>
      <c r="O49" s="213"/>
      <c r="P49" s="214"/>
      <c r="Q49" s="205"/>
      <c r="R49" s="205"/>
      <c r="S49" s="205"/>
      <c r="T49" s="215"/>
      <c r="U49" s="215"/>
      <c r="V49" s="216"/>
      <c r="W49" s="216"/>
      <c r="X49" s="216"/>
      <c r="Y49" s="216"/>
      <c r="Z49" s="206"/>
      <c r="AA49" s="206"/>
      <c r="AB49" s="206"/>
      <c r="AC49" s="206"/>
      <c r="AD49" s="206"/>
      <c r="AE49" s="206"/>
      <c r="AF49" s="206"/>
    </row>
    <row r="50" spans="1:32" ht="15" thickBot="1">
      <c r="A50" s="1941"/>
      <c r="B50" s="224" t="s">
        <v>569</v>
      </c>
      <c r="C50" s="225" t="s">
        <v>590</v>
      </c>
      <c r="D50" s="226">
        <v>2000000</v>
      </c>
      <c r="E50" s="227">
        <f>I50+K50+M50</f>
        <v>222100</v>
      </c>
      <c r="F50" s="228"/>
      <c r="G50" s="229"/>
      <c r="H50" s="230">
        <f>$D$50/12</f>
        <v>166666.66666666666</v>
      </c>
      <c r="I50" s="231">
        <v>41000</v>
      </c>
      <c r="J50" s="232">
        <f>$D$50/12</f>
        <v>166666.66666666666</v>
      </c>
      <c r="K50" s="233">
        <v>107900</v>
      </c>
      <c r="L50" s="232">
        <f>$D$50/12</f>
        <v>166666.66666666666</v>
      </c>
      <c r="M50" s="234">
        <f>'[21]Текущий портфель'!R170</f>
        <v>73200</v>
      </c>
      <c r="N50" s="232">
        <f>$D$50/12</f>
        <v>166666.66666666666</v>
      </c>
      <c r="O50" s="233">
        <f>'Выручка-план'!I160</f>
        <v>121800</v>
      </c>
      <c r="P50" s="235">
        <f t="shared" ref="P50:W50" si="2">$D$50/12</f>
        <v>166666.66666666666</v>
      </c>
      <c r="Q50" s="228">
        <f t="shared" si="2"/>
        <v>166666.66666666666</v>
      </c>
      <c r="R50" s="228">
        <f t="shared" si="2"/>
        <v>166666.66666666666</v>
      </c>
      <c r="S50" s="228">
        <f t="shared" si="2"/>
        <v>166666.66666666666</v>
      </c>
      <c r="T50" s="236">
        <f t="shared" si="2"/>
        <v>166666.66666666666</v>
      </c>
      <c r="U50" s="236">
        <f t="shared" si="2"/>
        <v>166666.66666666666</v>
      </c>
      <c r="V50" s="237">
        <f t="shared" si="2"/>
        <v>166666.66666666666</v>
      </c>
      <c r="W50" s="237">
        <f t="shared" si="2"/>
        <v>166666.66666666666</v>
      </c>
      <c r="X50" s="237"/>
      <c r="Y50" s="237"/>
      <c r="Z50" s="226"/>
      <c r="AA50" s="226"/>
      <c r="AB50" s="226"/>
      <c r="AC50" s="226"/>
      <c r="AD50" s="226"/>
      <c r="AE50" s="226"/>
      <c r="AF50" s="226"/>
    </row>
    <row r="51" spans="1:32" ht="15" thickBot="1">
      <c r="A51" s="251"/>
      <c r="B51" s="252"/>
      <c r="C51" s="14"/>
      <c r="D51" s="154"/>
      <c r="E51" s="253"/>
      <c r="H51" s="155"/>
      <c r="I51" s="156"/>
      <c r="J51" s="155"/>
      <c r="K51" s="156"/>
      <c r="L51" s="155"/>
      <c r="M51" s="254"/>
      <c r="N51" s="155"/>
      <c r="O51" s="156"/>
      <c r="T51" s="77"/>
      <c r="U51" s="77"/>
      <c r="V51" s="157"/>
      <c r="W51" s="157"/>
      <c r="X51" s="157"/>
      <c r="Y51" s="157"/>
      <c r="Z51" s="154"/>
      <c r="AA51" s="154"/>
      <c r="AB51" s="154"/>
      <c r="AC51" s="154"/>
      <c r="AD51" s="154"/>
      <c r="AE51" s="154"/>
      <c r="AF51" s="154"/>
    </row>
    <row r="52" spans="1:32" ht="15" thickBot="1">
      <c r="A52" s="251"/>
      <c r="B52" s="252"/>
      <c r="C52" s="14"/>
      <c r="D52" s="154"/>
      <c r="E52" s="253"/>
      <c r="H52" s="155"/>
      <c r="I52" s="156"/>
      <c r="J52" s="155"/>
      <c r="K52" s="156"/>
      <c r="L52" s="155"/>
      <c r="M52" s="254"/>
      <c r="N52" s="155"/>
      <c r="O52" s="156"/>
      <c r="T52" s="77"/>
      <c r="U52" s="77"/>
      <c r="V52" s="157"/>
      <c r="W52" s="157"/>
      <c r="X52" s="157"/>
      <c r="Y52" s="157"/>
      <c r="Z52" s="154"/>
      <c r="AA52" s="154"/>
      <c r="AB52" s="154"/>
      <c r="AC52" s="154"/>
      <c r="AD52" s="154"/>
      <c r="AE52" s="154"/>
      <c r="AF52" s="154"/>
    </row>
    <row r="53" spans="1:32" ht="14.4" thickBot="1">
      <c r="A53" s="238"/>
      <c r="B53" s="239" t="s">
        <v>206</v>
      </c>
      <c r="C53" s="239"/>
      <c r="D53" s="239">
        <f>SUM(D38:D49)</f>
        <v>19462772</v>
      </c>
      <c r="E53" s="239">
        <f>SUM(E38:E50)</f>
        <v>2662525</v>
      </c>
      <c r="F53" s="239">
        <v>0</v>
      </c>
      <c r="G53" s="239">
        <f>SUM(G38:G47)</f>
        <v>110580</v>
      </c>
      <c r="H53" s="240">
        <f t="shared" ref="H53:N53" si="3">SUM(H38:H50)</f>
        <v>1174912.2666666666</v>
      </c>
      <c r="I53" s="241">
        <f t="shared" si="3"/>
        <v>491861</v>
      </c>
      <c r="J53" s="240">
        <f t="shared" si="3"/>
        <v>1665117.2166666666</v>
      </c>
      <c r="K53" s="241">
        <f t="shared" si="3"/>
        <v>1021133</v>
      </c>
      <c r="L53" s="240">
        <f t="shared" si="3"/>
        <v>923583.21666666667</v>
      </c>
      <c r="M53" s="241">
        <f t="shared" si="3"/>
        <v>738951</v>
      </c>
      <c r="N53" s="240">
        <f t="shared" si="3"/>
        <v>817094.21666666667</v>
      </c>
      <c r="O53" s="241">
        <f>SUM(O38:O52)</f>
        <v>554323</v>
      </c>
      <c r="P53" s="239">
        <f t="shared" ref="P53:AF53" si="4">SUM(P38:P50)</f>
        <v>690528.21666666667</v>
      </c>
      <c r="Q53" s="239">
        <f t="shared" si="4"/>
        <v>690528.21666666667</v>
      </c>
      <c r="R53" s="239">
        <f t="shared" si="4"/>
        <v>623674.6166666667</v>
      </c>
      <c r="S53" s="239">
        <f t="shared" si="4"/>
        <v>623674.6166666667</v>
      </c>
      <c r="T53" s="239">
        <f t="shared" si="4"/>
        <v>623674.6166666667</v>
      </c>
      <c r="U53" s="239">
        <f t="shared" si="4"/>
        <v>623674.6166666667</v>
      </c>
      <c r="V53" s="239">
        <f t="shared" si="4"/>
        <v>623674.6166666667</v>
      </c>
      <c r="W53" s="239">
        <f t="shared" si="4"/>
        <v>623674.6166666667</v>
      </c>
      <c r="X53" s="239">
        <f t="shared" si="4"/>
        <v>157008</v>
      </c>
      <c r="Y53" s="239">
        <f t="shared" si="4"/>
        <v>157008</v>
      </c>
      <c r="Z53" s="239">
        <f t="shared" si="4"/>
        <v>0</v>
      </c>
      <c r="AA53" s="239">
        <f t="shared" si="4"/>
        <v>0</v>
      </c>
      <c r="AB53" s="239">
        <f t="shared" si="4"/>
        <v>0</v>
      </c>
      <c r="AC53" s="239">
        <f t="shared" si="4"/>
        <v>0</v>
      </c>
      <c r="AD53" s="239">
        <f t="shared" si="4"/>
        <v>0</v>
      </c>
      <c r="AE53" s="239">
        <f t="shared" si="4"/>
        <v>0</v>
      </c>
      <c r="AF53" s="239">
        <f t="shared" si="4"/>
        <v>0</v>
      </c>
    </row>
    <row r="54" spans="1:32">
      <c r="A54" s="242"/>
      <c r="B54" s="243" t="s">
        <v>591</v>
      </c>
      <c r="C54" s="243"/>
      <c r="D54" s="243"/>
      <c r="E54" s="244">
        <f>E53/D53</f>
        <v>0.13680091407328823</v>
      </c>
      <c r="F54" s="243"/>
      <c r="G54" s="243"/>
      <c r="H54" s="245"/>
      <c r="I54" s="246">
        <f>I53/H53</f>
        <v>0.41863636456486625</v>
      </c>
      <c r="J54" s="247"/>
      <c r="K54" s="246">
        <f>K53/J53</f>
        <v>0.61324992005317591</v>
      </c>
      <c r="L54" s="247"/>
      <c r="M54" s="246">
        <f>M53/L53</f>
        <v>0.80009141208409063</v>
      </c>
      <c r="N54" s="245"/>
      <c r="O54" s="246">
        <f>O53/N53</f>
        <v>0.67840768994958622</v>
      </c>
      <c r="P54" s="243"/>
      <c r="Q54" s="243"/>
      <c r="R54" s="243"/>
      <c r="S54" s="243"/>
      <c r="T54" s="243"/>
      <c r="U54" s="243"/>
      <c r="V54" s="243"/>
      <c r="W54" s="243"/>
      <c r="X54" s="243"/>
      <c r="Y54" s="243"/>
      <c r="Z54" s="243"/>
      <c r="AA54" s="243"/>
      <c r="AB54" s="243"/>
      <c r="AC54" s="243"/>
      <c r="AD54" s="243"/>
      <c r="AE54" s="243"/>
      <c r="AF54" s="243"/>
    </row>
    <row r="55" spans="1:32">
      <c r="A55" s="153"/>
      <c r="B55" s="154"/>
      <c r="D55" s="154"/>
      <c r="E55" s="154"/>
      <c r="H55" s="155"/>
      <c r="I55" s="156"/>
      <c r="J55" s="155"/>
      <c r="K55" s="156"/>
      <c r="L55" s="155"/>
      <c r="M55" s="156"/>
      <c r="N55" s="155"/>
      <c r="O55" s="156"/>
      <c r="T55" s="77"/>
      <c r="U55" s="77"/>
      <c r="V55" s="157"/>
      <c r="W55" s="157"/>
      <c r="X55" s="157"/>
      <c r="Y55" s="157"/>
    </row>
    <row r="56" spans="1:32">
      <c r="A56" s="153"/>
      <c r="B56" s="154"/>
      <c r="D56" s="154"/>
      <c r="E56" s="154"/>
      <c r="H56" s="155"/>
      <c r="I56" s="156"/>
      <c r="J56" s="155"/>
      <c r="K56" s="156"/>
      <c r="L56" s="155"/>
      <c r="M56" s="156"/>
      <c r="N56" s="155"/>
      <c r="O56" s="156"/>
      <c r="T56" s="77"/>
      <c r="U56" s="77"/>
      <c r="V56" s="157"/>
      <c r="W56" s="157"/>
      <c r="X56" s="157"/>
      <c r="Y56" s="157"/>
    </row>
    <row r="57" spans="1:32">
      <c r="A57" s="153"/>
      <c r="B57" s="154"/>
      <c r="D57" s="154"/>
      <c r="E57" s="154"/>
      <c r="H57" s="155"/>
      <c r="I57" s="156"/>
      <c r="J57" s="155"/>
      <c r="K57" s="156"/>
      <c r="L57" s="155"/>
      <c r="M57" s="156"/>
      <c r="N57" s="155"/>
      <c r="O57" s="156"/>
      <c r="T57" s="77"/>
      <c r="U57" s="77"/>
      <c r="V57" s="157"/>
      <c r="W57" s="157"/>
      <c r="X57" s="157"/>
      <c r="Y57" s="157"/>
    </row>
    <row r="58" spans="1:32">
      <c r="A58" s="153"/>
      <c r="B58" s="154"/>
      <c r="D58" s="154"/>
      <c r="E58" s="154"/>
      <c r="H58" s="155"/>
      <c r="I58" s="156"/>
      <c r="J58" s="155"/>
      <c r="K58" s="156"/>
      <c r="L58" s="155"/>
      <c r="M58" s="156"/>
      <c r="N58" s="155"/>
      <c r="O58" s="156"/>
      <c r="T58" s="77"/>
      <c r="U58" s="77"/>
      <c r="V58" s="157"/>
      <c r="W58" s="157"/>
      <c r="X58" s="157"/>
      <c r="Y58" s="157"/>
    </row>
    <row r="59" spans="1:32">
      <c r="A59" s="153"/>
      <c r="B59" s="154"/>
      <c r="D59" s="154"/>
      <c r="E59" s="154"/>
      <c r="H59" s="155"/>
      <c r="I59" s="156"/>
      <c r="J59" s="155"/>
      <c r="K59" s="156"/>
      <c r="L59" s="155"/>
      <c r="M59" s="156"/>
      <c r="N59" s="155"/>
      <c r="O59" s="156"/>
      <c r="T59" s="77"/>
      <c r="U59" s="77"/>
      <c r="V59" s="157"/>
      <c r="W59" s="157"/>
      <c r="X59" s="157"/>
      <c r="Y59" s="157"/>
    </row>
    <row r="60" spans="1:32">
      <c r="A60" s="153"/>
      <c r="B60" s="154"/>
      <c r="D60" s="154"/>
      <c r="E60" s="154"/>
      <c r="H60" s="155"/>
      <c r="I60" s="156"/>
      <c r="J60" s="155"/>
      <c r="K60" s="156"/>
      <c r="L60" s="155"/>
      <c r="M60" s="156"/>
      <c r="N60" s="155"/>
      <c r="O60" s="156"/>
      <c r="T60" s="77"/>
      <c r="U60" s="77"/>
      <c r="V60" s="157"/>
      <c r="W60" s="157"/>
      <c r="X60" s="157"/>
      <c r="Y60" s="157"/>
    </row>
    <row r="61" spans="1:32">
      <c r="A61" s="153"/>
      <c r="B61" s="154"/>
      <c r="D61" s="154"/>
      <c r="E61" s="154"/>
      <c r="H61" s="155"/>
      <c r="I61" s="156"/>
      <c r="J61" s="155"/>
      <c r="K61" s="156"/>
      <c r="L61" s="155"/>
      <c r="M61" s="156"/>
      <c r="N61" s="155"/>
      <c r="O61" s="156"/>
      <c r="T61" s="77"/>
      <c r="U61" s="77"/>
      <c r="V61" s="157"/>
      <c r="W61" s="157"/>
      <c r="X61" s="157"/>
      <c r="Y61" s="157"/>
    </row>
    <row r="62" spans="1:32">
      <c r="A62" s="153"/>
      <c r="B62" s="154"/>
      <c r="D62" s="154"/>
      <c r="E62" s="154"/>
      <c r="H62" s="155"/>
      <c r="I62" s="156"/>
      <c r="J62" s="155"/>
      <c r="K62" s="156"/>
      <c r="L62" s="155"/>
      <c r="M62" s="156"/>
      <c r="N62" s="155"/>
      <c r="O62" s="156"/>
      <c r="T62" s="77"/>
      <c r="U62" s="77"/>
      <c r="V62" s="157"/>
      <c r="W62" s="157"/>
      <c r="X62" s="157"/>
      <c r="Y62" s="157"/>
    </row>
    <row r="63" spans="1:32">
      <c r="A63" s="153"/>
      <c r="B63" s="154"/>
      <c r="D63" s="154"/>
      <c r="E63" s="154"/>
      <c r="H63" s="155"/>
      <c r="I63" s="156"/>
      <c r="J63" s="155"/>
      <c r="K63" s="156"/>
      <c r="L63" s="155"/>
      <c r="M63" s="156"/>
      <c r="N63" s="155"/>
      <c r="O63" s="156"/>
      <c r="T63" s="77"/>
      <c r="U63" s="77"/>
      <c r="V63" s="157"/>
      <c r="W63" s="157"/>
      <c r="X63" s="157"/>
      <c r="Y63" s="157"/>
    </row>
    <row r="64" spans="1:32">
      <c r="A64" s="153"/>
      <c r="B64" s="154"/>
      <c r="D64" s="154"/>
      <c r="E64" s="154"/>
      <c r="H64" s="155"/>
      <c r="I64" s="156"/>
      <c r="J64" s="155"/>
      <c r="K64" s="156"/>
      <c r="L64" s="155"/>
      <c r="M64" s="156"/>
      <c r="N64" s="155"/>
      <c r="O64" s="156"/>
      <c r="T64" s="77"/>
      <c r="U64" s="77"/>
      <c r="V64" s="157"/>
      <c r="W64" s="157"/>
      <c r="X64" s="157"/>
      <c r="Y64" s="157"/>
    </row>
    <row r="65" spans="1:25">
      <c r="A65" s="153"/>
      <c r="B65" s="154"/>
      <c r="D65" s="154"/>
      <c r="E65" s="154"/>
      <c r="H65" s="155"/>
      <c r="I65" s="156"/>
      <c r="J65" s="155"/>
      <c r="K65" s="156"/>
      <c r="L65" s="155"/>
      <c r="M65" s="156"/>
      <c r="N65" s="155"/>
      <c r="O65" s="156"/>
      <c r="T65" s="77"/>
      <c r="U65" s="77"/>
      <c r="V65" s="157"/>
      <c r="W65" s="157"/>
      <c r="X65" s="157"/>
      <c r="Y65" s="157"/>
    </row>
    <row r="66" spans="1:25">
      <c r="A66" s="153"/>
      <c r="B66" s="154"/>
      <c r="D66" s="154"/>
      <c r="E66" s="154"/>
      <c r="H66" s="155"/>
      <c r="I66" s="156"/>
      <c r="J66" s="155"/>
      <c r="K66" s="156"/>
      <c r="L66" s="155"/>
      <c r="M66" s="156"/>
      <c r="N66" s="155"/>
      <c r="O66" s="156"/>
      <c r="T66" s="77"/>
      <c r="U66" s="77"/>
      <c r="V66" s="157"/>
      <c r="W66" s="157"/>
      <c r="X66" s="157"/>
      <c r="Y66" s="157"/>
    </row>
    <row r="67" spans="1:25">
      <c r="A67" s="153"/>
      <c r="B67" s="154"/>
      <c r="D67" s="154"/>
      <c r="E67" s="154"/>
      <c r="H67" s="155"/>
      <c r="I67" s="156"/>
      <c r="J67" s="155"/>
      <c r="K67" s="156"/>
      <c r="L67" s="155"/>
      <c r="M67" s="156"/>
      <c r="N67" s="155"/>
      <c r="O67" s="156"/>
      <c r="T67" s="77"/>
      <c r="U67" s="77"/>
      <c r="V67" s="157"/>
      <c r="W67" s="157"/>
      <c r="X67" s="157"/>
      <c r="Y67" s="157"/>
    </row>
    <row r="68" spans="1:25">
      <c r="A68" s="153"/>
      <c r="B68" s="154"/>
      <c r="D68" s="154"/>
      <c r="E68" s="154"/>
      <c r="H68" s="155"/>
      <c r="I68" s="156"/>
      <c r="J68" s="155"/>
      <c r="K68" s="156"/>
      <c r="L68" s="155"/>
      <c r="M68" s="156"/>
      <c r="N68" s="155"/>
      <c r="O68" s="156"/>
      <c r="T68" s="77"/>
      <c r="U68" s="77"/>
      <c r="V68" s="157"/>
      <c r="W68" s="157"/>
      <c r="X68" s="157"/>
      <c r="Y68" s="157"/>
    </row>
    <row r="69" spans="1:25">
      <c r="A69" s="153"/>
      <c r="B69" s="154"/>
      <c r="D69" s="154"/>
      <c r="E69" s="154"/>
      <c r="H69" s="155"/>
      <c r="I69" s="156"/>
      <c r="J69" s="155"/>
      <c r="K69" s="156"/>
      <c r="L69" s="155"/>
      <c r="M69" s="156"/>
      <c r="N69" s="155"/>
      <c r="O69" s="156"/>
      <c r="T69" s="77"/>
      <c r="U69" s="77"/>
      <c r="V69" s="157"/>
      <c r="W69" s="157"/>
      <c r="X69" s="157"/>
      <c r="Y69" s="157"/>
    </row>
    <row r="70" spans="1:25">
      <c r="A70" s="153"/>
      <c r="B70" s="154"/>
      <c r="D70" s="154"/>
      <c r="E70" s="154"/>
      <c r="H70" s="155"/>
      <c r="I70" s="156"/>
      <c r="J70" s="155"/>
      <c r="K70" s="156"/>
      <c r="L70" s="155"/>
      <c r="M70" s="156"/>
      <c r="N70" s="155"/>
      <c r="O70" s="156"/>
      <c r="T70" s="77"/>
      <c r="U70" s="77"/>
      <c r="V70" s="157"/>
      <c r="W70" s="157"/>
      <c r="X70" s="157"/>
      <c r="Y70" s="157"/>
    </row>
    <row r="71" spans="1:25">
      <c r="A71" s="153"/>
      <c r="B71" s="154"/>
      <c r="D71" s="154"/>
      <c r="E71" s="154"/>
      <c r="H71" s="155"/>
      <c r="I71" s="156"/>
      <c r="J71" s="155"/>
      <c r="K71" s="156"/>
      <c r="L71" s="155"/>
      <c r="M71" s="156"/>
      <c r="N71" s="155"/>
      <c r="O71" s="156"/>
      <c r="T71" s="77"/>
      <c r="U71" s="77"/>
      <c r="V71" s="157"/>
      <c r="W71" s="157"/>
      <c r="X71" s="157"/>
      <c r="Y71" s="157"/>
    </row>
  </sheetData>
  <mergeCells count="6">
    <mergeCell ref="A47:A50"/>
    <mergeCell ref="H36:I36"/>
    <mergeCell ref="J36:K36"/>
    <mergeCell ref="L36:M36"/>
    <mergeCell ref="N36:O36"/>
    <mergeCell ref="A38:A46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5F1FC-165B-4817-9DC2-99D997DFD7F2}">
  <sheetPr codeName="Лист6"/>
  <dimension ref="A1:AL231"/>
  <sheetViews>
    <sheetView zoomScale="88" zoomScaleNormal="88" workbookViewId="0">
      <pane xSplit="3" ySplit="3" topLeftCell="N132" activePane="bottomRight" state="frozen"/>
      <selection pane="topRight" activeCell="D1" sqref="D1"/>
      <selection pane="bottomLeft" activeCell="A4" sqref="A4"/>
      <selection pane="bottomRight" activeCell="B35" sqref="B35"/>
    </sheetView>
  </sheetViews>
  <sheetFormatPr defaultColWidth="12.6640625" defaultRowHeight="13.8"/>
  <cols>
    <col min="1" max="1" width="12.6640625" style="89" customWidth="1"/>
    <col min="2" max="2" width="34" style="282" customWidth="1"/>
    <col min="3" max="3" width="26.44140625" style="282" customWidth="1"/>
    <col min="4" max="4" width="13.5546875" style="359" customWidth="1"/>
    <col min="5" max="5" width="14.6640625" style="360" customWidth="1"/>
    <col min="6" max="6" width="11.88671875" style="359" customWidth="1"/>
    <col min="7" max="7" width="12.44140625" style="359" customWidth="1"/>
    <col min="8" max="8" width="12.6640625" style="359"/>
    <col min="9" max="9" width="12.6640625" style="359" customWidth="1"/>
    <col min="10" max="10" width="11.109375" style="359" customWidth="1"/>
    <col min="11" max="11" width="13.88671875" style="359" bestFit="1" customWidth="1"/>
    <col min="12" max="12" width="13.109375" style="359" customWidth="1"/>
    <col min="13" max="14" width="12.6640625" style="359"/>
    <col min="15" max="15" width="15.88671875" customWidth="1"/>
    <col min="16" max="16" width="17.44140625" style="257" customWidth="1"/>
    <col min="17" max="17" width="15.109375" style="382" customWidth="1"/>
    <col min="18" max="18" width="14.88671875" style="258" customWidth="1"/>
  </cols>
  <sheetData>
    <row r="1" spans="1:18" s="272" customFormat="1">
      <c r="A1" s="270"/>
      <c r="B1" s="277"/>
      <c r="C1" s="277"/>
      <c r="D1" s="351"/>
      <c r="E1" s="352"/>
      <c r="F1" s="353"/>
      <c r="G1" s="353"/>
      <c r="H1" s="351"/>
      <c r="I1" s="351"/>
      <c r="J1" s="351"/>
      <c r="K1" s="351"/>
      <c r="L1" s="353"/>
      <c r="M1" s="353"/>
      <c r="N1" s="353"/>
      <c r="O1" s="271"/>
      <c r="P1" s="323"/>
      <c r="Q1" s="395"/>
      <c r="R1" s="385"/>
    </row>
    <row r="2" spans="1:18" s="275" customFormat="1" ht="14.4" thickBot="1">
      <c r="A2" s="273"/>
      <c r="B2" s="278" t="s">
        <v>338</v>
      </c>
      <c r="C2" s="278" t="s">
        <v>219</v>
      </c>
      <c r="D2" s="354" t="s">
        <v>238</v>
      </c>
      <c r="E2" s="355" t="s">
        <v>238</v>
      </c>
      <c r="F2" s="354" t="s">
        <v>238</v>
      </c>
      <c r="G2" s="354" t="s">
        <v>238</v>
      </c>
      <c r="H2" s="354" t="s">
        <v>238</v>
      </c>
      <c r="I2" s="354" t="s">
        <v>238</v>
      </c>
      <c r="J2" s="354" t="s">
        <v>238</v>
      </c>
      <c r="K2" s="354" t="str">
        <f>J2</f>
        <v>факт</v>
      </c>
      <c r="L2" s="354" t="s">
        <v>238</v>
      </c>
      <c r="M2" s="356" t="s">
        <v>238</v>
      </c>
      <c r="N2" s="354" t="s">
        <v>238</v>
      </c>
      <c r="O2" s="274" t="s">
        <v>625</v>
      </c>
      <c r="P2" s="324" t="s">
        <v>626</v>
      </c>
      <c r="Q2" s="396" t="s">
        <v>627</v>
      </c>
      <c r="R2" s="386" t="s">
        <v>629</v>
      </c>
    </row>
    <row r="3" spans="1:18" s="269" customFormat="1" ht="13.2" customHeight="1">
      <c r="A3" s="105"/>
      <c r="B3" s="289"/>
      <c r="C3" s="279" t="s">
        <v>311</v>
      </c>
      <c r="D3" s="357" t="s">
        <v>45</v>
      </c>
      <c r="E3" s="358" t="s">
        <v>46</v>
      </c>
      <c r="F3" s="357" t="s">
        <v>47</v>
      </c>
      <c r="G3" s="357" t="s">
        <v>48</v>
      </c>
      <c r="H3" s="357" t="s">
        <v>49</v>
      </c>
      <c r="I3" s="357" t="s">
        <v>50</v>
      </c>
      <c r="J3" s="357" t="s">
        <v>51</v>
      </c>
      <c r="K3" s="357" t="s">
        <v>52</v>
      </c>
      <c r="L3" s="357" t="s">
        <v>53</v>
      </c>
      <c r="M3" s="357" t="s">
        <v>54</v>
      </c>
      <c r="N3" s="357" t="s">
        <v>55</v>
      </c>
      <c r="O3" s="268" t="s">
        <v>624</v>
      </c>
      <c r="P3" s="325" t="s">
        <v>624</v>
      </c>
      <c r="Q3" s="397" t="s">
        <v>628</v>
      </c>
      <c r="R3" s="387" t="s">
        <v>630</v>
      </c>
    </row>
    <row r="4" spans="1:18">
      <c r="A4" s="89">
        <v>1</v>
      </c>
      <c r="B4" s="276" t="s">
        <v>505</v>
      </c>
      <c r="C4" s="276" t="s">
        <v>104</v>
      </c>
      <c r="D4" s="359">
        <v>478359</v>
      </c>
      <c r="E4" s="360">
        <v>476950</v>
      </c>
      <c r="F4" s="359">
        <v>519300</v>
      </c>
      <c r="G4" s="359">
        <v>519300</v>
      </c>
      <c r="H4" s="359">
        <v>576649.23</v>
      </c>
      <c r="I4" s="359">
        <f>VLOOKUP(B4,[22]Лист_1!$A$8:$B$88,2,0)</f>
        <v>528404.96</v>
      </c>
      <c r="J4" s="359">
        <f>VLOOKUP(B4,[23]Лист_1!$A$1:$C$65536,3,0)</f>
        <v>273010.40000000002</v>
      </c>
      <c r="K4" s="359">
        <f>VLOOKUP(B4,[24]Лист_1!$A$1:$B$65536,2,0)</f>
        <v>848895.52</v>
      </c>
      <c r="L4" s="359">
        <f>VLOOKUP(B4,[25]Лист_1!$A$1:$E$65536,5,0)</f>
        <v>469053.54</v>
      </c>
      <c r="M4" s="359">
        <f>VLOOKUP(B4,[26]Лист_1!$A$6:$B$71,2,0)</f>
        <v>821774.71</v>
      </c>
      <c r="N4" s="359">
        <f>VLOOKUP(B4,[27]ноябрь!$A$1:$B$65536,2,0)</f>
        <v>759828.03</v>
      </c>
      <c r="O4" s="106">
        <f>SUM(D4:N4)/11</f>
        <v>570138.67181818176</v>
      </c>
      <c r="P4" s="326">
        <f>SUM(I4:N4)/6</f>
        <v>616827.86</v>
      </c>
    </row>
    <row r="5" spans="1:18">
      <c r="A5" s="89">
        <f t="shared" ref="A5:A34" si="0">A4+1</f>
        <v>2</v>
      </c>
      <c r="B5" s="282" t="s">
        <v>241</v>
      </c>
      <c r="C5" s="280" t="s">
        <v>105</v>
      </c>
      <c r="D5" s="359">
        <v>53800</v>
      </c>
      <c r="E5" s="360">
        <v>195050</v>
      </c>
      <c r="F5" s="359">
        <v>190050</v>
      </c>
      <c r="G5" s="359">
        <v>246850</v>
      </c>
      <c r="H5" s="359">
        <v>174700</v>
      </c>
      <c r="I5" s="359">
        <f>VLOOKUP(B5,[22]Лист_1!$A$8:$B$88,2,0)</f>
        <v>246150</v>
      </c>
      <c r="J5" s="359">
        <f>VLOOKUP(B5,[23]Лист_1!$A$1:$C$65536,3,0)</f>
        <v>180850</v>
      </c>
      <c r="K5" s="359">
        <f>VLOOKUP(B5,[24]Лист_1!$A$1:$B$65536,2,0)</f>
        <v>389900</v>
      </c>
      <c r="L5" s="359">
        <f>VLOOKUP(B5,[25]Лист_1!$A$1:$E$65536,5,0)</f>
        <v>436750</v>
      </c>
      <c r="M5" s="359">
        <f>VLOOKUP(B5,[26]Лист_1!$A$6:$B$71,2,0)</f>
        <v>385050</v>
      </c>
      <c r="N5" s="359">
        <f>VLOOKUP(B5,[27]ноябрь!$A$1:$B$65536,2,0)</f>
        <v>243850</v>
      </c>
      <c r="O5" s="106">
        <f>SUM(D5:N5)/11</f>
        <v>249363.63636363635</v>
      </c>
      <c r="P5" s="326">
        <f>SUM(I5:N5)/6</f>
        <v>313758.33333333331</v>
      </c>
    </row>
    <row r="6" spans="1:18" s="294" customFormat="1">
      <c r="A6" s="290">
        <f t="shared" si="0"/>
        <v>3</v>
      </c>
      <c r="B6" s="291" t="s">
        <v>240</v>
      </c>
      <c r="C6" s="292" t="s">
        <v>106</v>
      </c>
      <c r="D6" s="361">
        <v>166500</v>
      </c>
      <c r="E6" s="362">
        <v>0</v>
      </c>
      <c r="F6" s="361">
        <v>129250</v>
      </c>
      <c r="G6" s="361">
        <v>0</v>
      </c>
      <c r="H6" s="361">
        <v>0</v>
      </c>
      <c r="I6" s="361"/>
      <c r="J6" s="361">
        <v>0</v>
      </c>
      <c r="K6" s="361">
        <v>0</v>
      </c>
      <c r="L6" s="361">
        <v>0</v>
      </c>
      <c r="M6" s="361"/>
      <c r="N6" s="361"/>
      <c r="O6" s="313"/>
      <c r="P6" s="330"/>
      <c r="Q6" s="398">
        <f>SUM(D6:P6)/3</f>
        <v>98583.333333333328</v>
      </c>
      <c r="R6" s="388">
        <f>Q6*9</f>
        <v>887250</v>
      </c>
    </row>
    <row r="7" spans="1:18">
      <c r="A7" s="89">
        <f t="shared" si="0"/>
        <v>4</v>
      </c>
      <c r="B7" s="282" t="s">
        <v>243</v>
      </c>
      <c r="C7" s="281" t="s">
        <v>107</v>
      </c>
      <c r="D7" s="359">
        <v>126300</v>
      </c>
      <c r="E7" s="360">
        <v>158300</v>
      </c>
      <c r="F7" s="359">
        <v>191000</v>
      </c>
      <c r="G7" s="359">
        <v>143950</v>
      </c>
      <c r="H7" s="359">
        <v>119150</v>
      </c>
      <c r="I7" s="359">
        <f>VLOOKUP(B7,[22]Лист_1!$A$8:$B$88,2,0)</f>
        <v>115250</v>
      </c>
      <c r="J7" s="359">
        <f>VLOOKUP(B7,[23]Лист_1!$A$1:$C$65536,3,0)</f>
        <v>127800</v>
      </c>
      <c r="K7" s="359">
        <f>VLOOKUP(B7,[24]Лист_1!$A$1:$B$65536,2,0)</f>
        <v>126450</v>
      </c>
      <c r="L7" s="359">
        <f>VLOOKUP(B7,[25]Лист_1!$A$1:$E$65536,5,0)</f>
        <v>135500</v>
      </c>
      <c r="M7" s="359">
        <f>VLOOKUP(B7,[26]Лист_1!$A$6:$B$71,2,0)</f>
        <v>164150</v>
      </c>
      <c r="N7" s="359">
        <f>VLOOKUP(B7,[27]ноябрь!$A$1:$B$65536,2,0)</f>
        <v>214800</v>
      </c>
      <c r="O7" s="106">
        <f>SUM(D7:N7)/11</f>
        <v>147513.63636363635</v>
      </c>
      <c r="P7" s="326">
        <f>SUM(I7:N7)/6</f>
        <v>147325</v>
      </c>
      <c r="Q7" s="399"/>
    </row>
    <row r="8" spans="1:18">
      <c r="A8" s="89">
        <f t="shared" si="0"/>
        <v>5</v>
      </c>
      <c r="B8" s="282" t="s">
        <v>244</v>
      </c>
      <c r="C8" s="281" t="s">
        <v>108</v>
      </c>
      <c r="D8" s="359">
        <v>36700</v>
      </c>
      <c r="E8" s="360">
        <v>53975</v>
      </c>
      <c r="F8" s="359">
        <v>19225</v>
      </c>
      <c r="G8" s="359">
        <v>15925</v>
      </c>
      <c r="H8" s="359">
        <v>29200</v>
      </c>
      <c r="I8" s="359">
        <f>VLOOKUP(B8,[22]Лист_1!$A$8:$B$88,2,0)</f>
        <v>55100</v>
      </c>
      <c r="J8" s="359">
        <f>VLOOKUP(B8,[23]Лист_1!$A$1:$C$65536,3,0)</f>
        <v>24250</v>
      </c>
      <c r="K8" s="359">
        <f>VLOOKUP(B8,[24]Лист_1!$A$1:$B$65536,2,0)</f>
        <v>38700</v>
      </c>
      <c r="L8" s="359">
        <f>VLOOKUP(B8,[25]Лист_1!$A$1:$E$65536,5,0)</f>
        <v>29375</v>
      </c>
      <c r="M8" s="359">
        <f>VLOOKUP(B8,[26]Лист_1!$A$6:$B$71,2,0)</f>
        <v>18475</v>
      </c>
      <c r="N8" s="359">
        <f>VLOOKUP(B8,[27]ноябрь!$A$1:$B$65536,2,0)</f>
        <v>24925</v>
      </c>
      <c r="O8" s="106">
        <f>SUM(D8:N8)/11</f>
        <v>31440.909090909092</v>
      </c>
      <c r="P8" s="326">
        <f>SUM(I8:N8)/6</f>
        <v>31804.166666666668</v>
      </c>
      <c r="Q8" s="399"/>
    </row>
    <row r="9" spans="1:18">
      <c r="A9" s="89">
        <f t="shared" si="0"/>
        <v>6</v>
      </c>
      <c r="B9" s="282" t="s">
        <v>328</v>
      </c>
      <c r="C9" s="281" t="s">
        <v>108</v>
      </c>
      <c r="D9" s="359">
        <v>244100</v>
      </c>
      <c r="E9" s="360">
        <v>146650</v>
      </c>
      <c r="F9" s="359">
        <v>89550</v>
      </c>
      <c r="G9" s="359">
        <v>103750</v>
      </c>
      <c r="H9" s="359">
        <v>104200</v>
      </c>
      <c r="I9" s="359">
        <f>VLOOKUP(B9,[22]Лист_1!$A$8:$B$88,2,0)</f>
        <v>53800</v>
      </c>
      <c r="J9" s="359">
        <f>VLOOKUP(B9,[23]Лист_1!$A$1:$C$65536,3,0)</f>
        <v>35300</v>
      </c>
      <c r="K9" s="359">
        <f>VLOOKUP(B9,[24]Лист_1!$A$1:$B$65536,2,0)</f>
        <v>85500</v>
      </c>
      <c r="L9" s="359">
        <f>VLOOKUP(B9,[25]Лист_1!$A$1:$E$65536,5,0)</f>
        <v>110200</v>
      </c>
      <c r="M9" s="359">
        <f>VLOOKUP(B9,[26]Лист_1!$A$6:$B$71,2,0)</f>
        <v>127850</v>
      </c>
      <c r="N9" s="359">
        <f>VLOOKUP(B9,[27]ноябрь!$A$1:$B$65536,2,0)</f>
        <v>86450</v>
      </c>
      <c r="O9" s="106">
        <f>SUM(D9:N9)/11</f>
        <v>107940.90909090909</v>
      </c>
      <c r="P9" s="326">
        <f>SUM(I9:N9)/6</f>
        <v>83183.333333333328</v>
      </c>
      <c r="Q9" s="399"/>
    </row>
    <row r="10" spans="1:18">
      <c r="A10" s="89">
        <f t="shared" si="0"/>
        <v>7</v>
      </c>
      <c r="B10" s="282" t="s">
        <v>329</v>
      </c>
      <c r="C10" s="281" t="s">
        <v>108</v>
      </c>
      <c r="D10" s="359">
        <v>0</v>
      </c>
      <c r="E10" s="360">
        <v>0</v>
      </c>
      <c r="F10" s="359">
        <v>0</v>
      </c>
      <c r="G10" s="359">
        <v>0</v>
      </c>
      <c r="H10" s="359">
        <v>0</v>
      </c>
      <c r="I10" s="359">
        <f>VLOOKUP(B10,[22]Лист_1!$A$8:$B$88,2,0)</f>
        <v>31300</v>
      </c>
      <c r="J10" s="359">
        <f>VLOOKUP(B10,[23]Лист_1!$A$1:$C$65536,3,0)</f>
        <v>12900</v>
      </c>
      <c r="K10" s="359">
        <f>VLOOKUP(B10,[24]Лист_1!$A$1:$B$65536,2,0)</f>
        <v>31300</v>
      </c>
      <c r="L10" s="359">
        <f>VLOOKUP(B10,[25]Лист_1!$A$1:$E$65536,5,0)</f>
        <v>15600</v>
      </c>
      <c r="M10" s="359">
        <f>VLOOKUP(B10,[26]Лист_1!$A$6:$B$71,2,0)</f>
        <v>12700</v>
      </c>
      <c r="O10" s="106">
        <f>SUM(D10:N10)/5</f>
        <v>20760</v>
      </c>
      <c r="P10" s="326">
        <f>SUM(I10:N10)/6</f>
        <v>17300</v>
      </c>
      <c r="Q10" s="399"/>
    </row>
    <row r="11" spans="1:18">
      <c r="A11" s="89">
        <f t="shared" si="0"/>
        <v>8</v>
      </c>
      <c r="B11" s="282" t="s">
        <v>330</v>
      </c>
      <c r="C11" s="281" t="s">
        <v>108</v>
      </c>
      <c r="D11" s="359">
        <v>16100</v>
      </c>
      <c r="E11" s="360">
        <v>25675</v>
      </c>
      <c r="F11" s="359">
        <v>19225</v>
      </c>
      <c r="G11" s="359">
        <v>15925</v>
      </c>
      <c r="H11" s="359">
        <v>16000</v>
      </c>
      <c r="I11" s="359">
        <f>VLOOKUP(B11,[22]Лист_1!$A$8:$B$88,2,0)</f>
        <v>26900</v>
      </c>
      <c r="J11" s="359">
        <f>VLOOKUP(B11,[23]Лист_1!$A$1:$C$65536,3,0)</f>
        <v>17650</v>
      </c>
      <c r="K11" s="359">
        <f>VLOOKUP(B11,[24]Лист_1!$A$1:$B$65536,2,0)</f>
        <v>25900</v>
      </c>
      <c r="L11" s="359">
        <f>VLOOKUP(B11,[25]Лист_1!$A$1:$E$65536,5,0)</f>
        <v>32425</v>
      </c>
      <c r="M11" s="359">
        <f>VLOOKUP(B11,[26]Лист_1!$A$6:$B$71,2,0)</f>
        <v>18475</v>
      </c>
      <c r="N11" s="359">
        <f>VLOOKUP(B11,[27]ноябрь!$A$1:$B$65536,2,0)</f>
        <v>34225</v>
      </c>
      <c r="O11" s="106">
        <f>SUM(D11:N11)/11</f>
        <v>22590.909090909092</v>
      </c>
      <c r="P11" s="326">
        <f>SUM(I11:N11)/6</f>
        <v>25929.166666666668</v>
      </c>
      <c r="Q11" s="399"/>
    </row>
    <row r="12" spans="1:18">
      <c r="A12" s="89">
        <f t="shared" si="0"/>
        <v>9</v>
      </c>
      <c r="B12" s="282" t="s">
        <v>245</v>
      </c>
      <c r="C12" s="281" t="s">
        <v>109</v>
      </c>
      <c r="D12" s="359">
        <v>1845716</v>
      </c>
      <c r="E12" s="360">
        <v>1028356</v>
      </c>
      <c r="F12" s="359">
        <v>989354</v>
      </c>
      <c r="G12" s="359">
        <v>1234766</v>
      </c>
      <c r="H12" s="359">
        <v>915260</v>
      </c>
      <c r="I12" s="359">
        <f>VLOOKUP(B12,[22]Лист_1!$A$8:$B$88,2,0)</f>
        <v>723025.2</v>
      </c>
      <c r="J12" s="359">
        <f>VLOOKUP(B12,[23]Лист_1!$A$1:$C$65536,3,0)</f>
        <v>508008</v>
      </c>
      <c r="K12" s="359">
        <f>VLOOKUP(B12,[24]Лист_1!$A$1:$B$65536,2,0)</f>
        <v>383210</v>
      </c>
      <c r="L12" s="359">
        <f>VLOOKUP(B12,[25]Лист_1!$A$1:$E$65536,5,0)</f>
        <v>350594</v>
      </c>
      <c r="M12" s="359">
        <f>VLOOKUP(B12,[26]Лист_1!$A$6:$B$71,2,0)</f>
        <v>355014</v>
      </c>
      <c r="N12" s="359">
        <f>VLOOKUP(B12,[27]ноябрь!$A$1:$B$65536,2,0)</f>
        <v>366714</v>
      </c>
      <c r="O12" s="106">
        <v>515262.41</v>
      </c>
      <c r="P12" s="326">
        <v>515262.41</v>
      </c>
      <c r="Q12" s="399"/>
    </row>
    <row r="13" spans="1:18" s="294" customFormat="1">
      <c r="A13" s="290">
        <f t="shared" si="0"/>
        <v>10</v>
      </c>
      <c r="B13" s="291" t="s">
        <v>246</v>
      </c>
      <c r="C13" s="295" t="s">
        <v>110</v>
      </c>
      <c r="D13" s="361">
        <v>0</v>
      </c>
      <c r="E13" s="362">
        <v>0</v>
      </c>
      <c r="F13" s="361">
        <v>0</v>
      </c>
      <c r="G13" s="361">
        <v>0</v>
      </c>
      <c r="H13" s="361">
        <v>0</v>
      </c>
      <c r="I13" s="361"/>
      <c r="J13" s="361">
        <v>0</v>
      </c>
      <c r="K13" s="361">
        <v>0</v>
      </c>
      <c r="L13" s="361">
        <v>0</v>
      </c>
      <c r="M13" s="361"/>
      <c r="N13" s="361"/>
      <c r="O13" s="313"/>
      <c r="P13" s="330"/>
      <c r="Q13" s="398"/>
      <c r="R13" s="388"/>
    </row>
    <row r="14" spans="1:18" s="294" customFormat="1">
      <c r="A14" s="290">
        <f t="shared" si="0"/>
        <v>11</v>
      </c>
      <c r="B14" s="291" t="s">
        <v>247</v>
      </c>
      <c r="C14" s="295" t="s">
        <v>110</v>
      </c>
      <c r="D14" s="361">
        <v>0</v>
      </c>
      <c r="E14" s="362">
        <v>0</v>
      </c>
      <c r="F14" s="361">
        <v>0</v>
      </c>
      <c r="G14" s="361">
        <v>0</v>
      </c>
      <c r="H14" s="361">
        <v>0</v>
      </c>
      <c r="I14" s="361"/>
      <c r="J14" s="361">
        <v>0</v>
      </c>
      <c r="K14" s="361">
        <v>0</v>
      </c>
      <c r="L14" s="361">
        <v>0</v>
      </c>
      <c r="M14" s="361"/>
      <c r="N14" s="361"/>
      <c r="O14" s="313"/>
      <c r="P14" s="330"/>
      <c r="Q14" s="398"/>
      <c r="R14" s="388"/>
    </row>
    <row r="15" spans="1:18" s="294" customFormat="1">
      <c r="A15" s="290">
        <f t="shared" si="0"/>
        <v>12</v>
      </c>
      <c r="B15" s="291" t="s">
        <v>248</v>
      </c>
      <c r="C15" s="295" t="s">
        <v>110</v>
      </c>
      <c r="D15" s="361">
        <v>0</v>
      </c>
      <c r="E15" s="362">
        <v>0</v>
      </c>
      <c r="F15" s="361">
        <v>0</v>
      </c>
      <c r="G15" s="361">
        <v>0</v>
      </c>
      <c r="H15" s="361">
        <v>0</v>
      </c>
      <c r="I15" s="361"/>
      <c r="J15" s="361">
        <v>0</v>
      </c>
      <c r="K15" s="361">
        <v>0</v>
      </c>
      <c r="L15" s="361">
        <v>0</v>
      </c>
      <c r="M15" s="361"/>
      <c r="N15" s="361"/>
      <c r="O15" s="313"/>
      <c r="P15" s="330"/>
      <c r="Q15" s="398"/>
      <c r="R15" s="388"/>
    </row>
    <row r="16" spans="1:18">
      <c r="A16" s="89">
        <f t="shared" si="0"/>
        <v>13</v>
      </c>
      <c r="B16" s="282" t="s">
        <v>249</v>
      </c>
      <c r="C16" s="281" t="s">
        <v>111</v>
      </c>
      <c r="D16" s="359">
        <v>116715.4</v>
      </c>
      <c r="E16" s="360">
        <v>124450</v>
      </c>
      <c r="F16" s="359">
        <v>116309</v>
      </c>
      <c r="G16" s="359">
        <v>116309</v>
      </c>
      <c r="H16" s="359">
        <v>115064.06</v>
      </c>
      <c r="I16" s="359">
        <v>69028</v>
      </c>
      <c r="J16" s="359">
        <v>69028</v>
      </c>
      <c r="K16" s="359">
        <v>54560</v>
      </c>
      <c r="L16" s="359">
        <v>1260</v>
      </c>
      <c r="N16" s="359">
        <v>93440</v>
      </c>
      <c r="O16" s="106">
        <f>SUM(D16:N16)/11</f>
        <v>79651.223636363633</v>
      </c>
      <c r="P16" s="326">
        <f>SUM(I16:N16)/6</f>
        <v>47886</v>
      </c>
      <c r="Q16" s="399"/>
    </row>
    <row r="17" spans="1:18">
      <c r="A17" s="89">
        <f t="shared" si="0"/>
        <v>14</v>
      </c>
      <c r="B17" s="282" t="s">
        <v>250</v>
      </c>
      <c r="C17" s="281" t="s">
        <v>112</v>
      </c>
      <c r="D17" s="359">
        <v>20125</v>
      </c>
      <c r="E17" s="360">
        <v>20125</v>
      </c>
      <c r="F17" s="359">
        <v>14375</v>
      </c>
      <c r="G17" s="359">
        <v>14375</v>
      </c>
      <c r="H17" s="359">
        <v>14375</v>
      </c>
      <c r="I17" s="359">
        <f>VLOOKUP(B17,[22]Лист_1!$A$8:$B$88,2,0)</f>
        <v>14375</v>
      </c>
      <c r="J17" s="359">
        <f>VLOOKUP(B17,[23]Лист_1!$A$1:$C$65536,3,0)</f>
        <v>20125</v>
      </c>
      <c r="K17" s="359">
        <f>VLOOKUP(B17,[24]Лист_1!$A$1:$B$65536,2,0)</f>
        <v>17250</v>
      </c>
      <c r="L17" s="359">
        <f>VLOOKUP(B17,[25]Лист_1!$A$1:$E$65536,5,0)</f>
        <v>17250</v>
      </c>
      <c r="M17" s="359">
        <f>VLOOKUP(B17,[26]Лист_1!$A$6:$B$71,2,0)</f>
        <v>17250</v>
      </c>
      <c r="N17" s="359">
        <f>VLOOKUP(B17,[27]ноябрь!$A$1:$B$65536,2,0)</f>
        <v>17250</v>
      </c>
      <c r="O17" s="106">
        <f>SUM(D17:N17)/11</f>
        <v>16988.636363636364</v>
      </c>
      <c r="P17" s="326">
        <f>SUM(I17:N17)/6</f>
        <v>17250</v>
      </c>
      <c r="Q17" s="399"/>
    </row>
    <row r="18" spans="1:18" ht="15" customHeight="1">
      <c r="A18" s="89">
        <f t="shared" si="0"/>
        <v>15</v>
      </c>
      <c r="B18" s="282" t="s">
        <v>251</v>
      </c>
      <c r="C18" s="281" t="s">
        <v>113</v>
      </c>
      <c r="D18" s="359">
        <v>180200</v>
      </c>
      <c r="E18" s="360">
        <v>183200</v>
      </c>
      <c r="F18" s="359">
        <v>183200</v>
      </c>
      <c r="G18" s="359">
        <v>183200</v>
      </c>
      <c r="H18" s="359">
        <v>183200</v>
      </c>
      <c r="I18" s="359">
        <v>183200</v>
      </c>
      <c r="J18" s="359">
        <v>183200</v>
      </c>
      <c r="K18" s="359">
        <v>183200</v>
      </c>
      <c r="L18" s="359">
        <v>194900</v>
      </c>
      <c r="M18" s="359">
        <v>193700</v>
      </c>
      <c r="N18" s="359">
        <v>183200</v>
      </c>
      <c r="O18" s="106">
        <f>SUM(D18:N18)/11</f>
        <v>184945.45454545456</v>
      </c>
      <c r="P18" s="326">
        <f>SUM(I18:N18)/6</f>
        <v>186900</v>
      </c>
      <c r="Q18" s="399"/>
    </row>
    <row r="19" spans="1:18" s="294" customFormat="1">
      <c r="A19" s="290">
        <f t="shared" si="0"/>
        <v>16</v>
      </c>
      <c r="B19" s="291" t="s">
        <v>252</v>
      </c>
      <c r="C19" s="295" t="s">
        <v>114</v>
      </c>
      <c r="D19" s="361">
        <v>59345</v>
      </c>
      <c r="E19" s="362">
        <v>22770</v>
      </c>
      <c r="F19" s="361">
        <v>128453</v>
      </c>
      <c r="G19" s="361">
        <v>21093</v>
      </c>
      <c r="H19" s="361">
        <v>12980</v>
      </c>
      <c r="I19" s="361">
        <f>VLOOKUP(B19,[22]Лист_1!$A$8:$B$88,2,0)+81600</f>
        <v>159480</v>
      </c>
      <c r="J19" s="361">
        <f>VLOOKUP(B19,[23]Лист_1!$A$1:$C$65536,3,0)</f>
        <v>13800</v>
      </c>
      <c r="K19" s="361">
        <v>0</v>
      </c>
      <c r="L19" s="361">
        <v>0</v>
      </c>
      <c r="M19" s="361"/>
      <c r="N19" s="361"/>
      <c r="O19" s="313"/>
      <c r="P19" s="330"/>
      <c r="Q19" s="398">
        <f>SUM(D19:P19)/7</f>
        <v>59703</v>
      </c>
      <c r="R19" s="388">
        <f>Q19*5</f>
        <v>298515</v>
      </c>
    </row>
    <row r="20" spans="1:18" s="294" customFormat="1">
      <c r="A20" s="290">
        <f t="shared" si="0"/>
        <v>17</v>
      </c>
      <c r="B20" s="291" t="s">
        <v>253</v>
      </c>
      <c r="C20" s="295" t="s">
        <v>115</v>
      </c>
      <c r="D20" s="361">
        <v>0</v>
      </c>
      <c r="E20" s="362">
        <v>0</v>
      </c>
      <c r="F20" s="361">
        <v>0</v>
      </c>
      <c r="G20" s="361">
        <v>0</v>
      </c>
      <c r="H20" s="361">
        <v>0</v>
      </c>
      <c r="I20" s="361"/>
      <c r="J20" s="361">
        <v>0</v>
      </c>
      <c r="K20" s="361">
        <v>0</v>
      </c>
      <c r="L20" s="361">
        <v>0</v>
      </c>
      <c r="M20" s="361"/>
      <c r="N20" s="361"/>
      <c r="O20" s="313"/>
      <c r="P20" s="330"/>
      <c r="Q20" s="398"/>
      <c r="R20" s="388"/>
    </row>
    <row r="21" spans="1:18" s="294" customFormat="1">
      <c r="A21" s="290">
        <f t="shared" si="0"/>
        <v>18</v>
      </c>
      <c r="B21" s="291" t="s">
        <v>335</v>
      </c>
      <c r="C21" s="295" t="s">
        <v>116</v>
      </c>
      <c r="D21" s="361">
        <v>0</v>
      </c>
      <c r="E21" s="362">
        <v>0</v>
      </c>
      <c r="F21" s="361">
        <v>0</v>
      </c>
      <c r="G21" s="361">
        <v>0</v>
      </c>
      <c r="H21" s="361">
        <v>0</v>
      </c>
      <c r="I21" s="361"/>
      <c r="J21" s="361">
        <v>0</v>
      </c>
      <c r="K21" s="361">
        <v>0</v>
      </c>
      <c r="L21" s="361">
        <v>0</v>
      </c>
      <c r="M21" s="361"/>
      <c r="N21" s="361"/>
      <c r="O21" s="313"/>
      <c r="P21" s="330"/>
      <c r="Q21" s="398"/>
      <c r="R21" s="388"/>
    </row>
    <row r="22" spans="1:18" s="294" customFormat="1">
      <c r="A22" s="290">
        <f t="shared" si="0"/>
        <v>19</v>
      </c>
      <c r="B22" s="291" t="s">
        <v>254</v>
      </c>
      <c r="C22" s="295" t="s">
        <v>117</v>
      </c>
      <c r="D22" s="361">
        <v>6500</v>
      </c>
      <c r="E22" s="362">
        <v>0</v>
      </c>
      <c r="F22" s="361">
        <v>0</v>
      </c>
      <c r="G22" s="361">
        <v>0</v>
      </c>
      <c r="H22" s="361">
        <v>0</v>
      </c>
      <c r="I22" s="361"/>
      <c r="J22" s="361">
        <v>0</v>
      </c>
      <c r="K22" s="361">
        <v>0</v>
      </c>
      <c r="L22" s="361">
        <v>0</v>
      </c>
      <c r="M22" s="361"/>
      <c r="N22" s="361"/>
      <c r="O22" s="313"/>
      <c r="P22" s="330"/>
      <c r="Q22" s="398"/>
      <c r="R22" s="388"/>
    </row>
    <row r="23" spans="1:18" s="294" customFormat="1">
      <c r="A23" s="290">
        <f t="shared" si="0"/>
        <v>20</v>
      </c>
      <c r="B23" s="291" t="s">
        <v>255</v>
      </c>
      <c r="C23" s="295" t="s">
        <v>118</v>
      </c>
      <c r="D23" s="361">
        <v>110500</v>
      </c>
      <c r="E23" s="362">
        <v>56300</v>
      </c>
      <c r="F23" s="361">
        <v>81100</v>
      </c>
      <c r="G23" s="361">
        <v>77800</v>
      </c>
      <c r="H23" s="361">
        <v>55900</v>
      </c>
      <c r="I23" s="361">
        <f>VLOOKUP(B23,[22]Лист_1!$A$8:$B$88,2,0)</f>
        <v>62050</v>
      </c>
      <c r="J23" s="361">
        <f>VLOOKUP(B23,[23]Лист_1!$A$1:$C$65536,3,0)</f>
        <v>77800</v>
      </c>
      <c r="K23" s="361">
        <v>0</v>
      </c>
      <c r="L23" s="361">
        <v>0</v>
      </c>
      <c r="M23" s="361"/>
      <c r="N23" s="361"/>
      <c r="O23" s="313"/>
      <c r="P23" s="330"/>
      <c r="Q23" s="398">
        <f>SUM(D23:P23)/7</f>
        <v>74492.857142857145</v>
      </c>
      <c r="R23" s="388">
        <f>Q23*5</f>
        <v>372464.28571428574</v>
      </c>
    </row>
    <row r="24" spans="1:18" s="77" customFormat="1">
      <c r="A24" s="296">
        <f t="shared" si="0"/>
        <v>21</v>
      </c>
      <c r="B24" s="288" t="s">
        <v>256</v>
      </c>
      <c r="C24" s="297" t="s">
        <v>119</v>
      </c>
      <c r="D24" s="363">
        <v>74200</v>
      </c>
      <c r="E24" s="360">
        <v>77700</v>
      </c>
      <c r="F24" s="363">
        <v>34800</v>
      </c>
      <c r="G24" s="363">
        <v>26100</v>
      </c>
      <c r="H24" s="363">
        <v>48700</v>
      </c>
      <c r="I24" s="363">
        <f>VLOOKUP(B24,[22]Лист_1!$A$8:$B$88,2,0)</f>
        <v>60000</v>
      </c>
      <c r="J24" s="363">
        <f>VLOOKUP(B24,[23]Лист_1!$A$1:$C$65536,3,0)</f>
        <v>26100</v>
      </c>
      <c r="K24" s="363">
        <f>VLOOKUP(B24,[24]Лист_1!$A$1:$B$65536,2,0)</f>
        <v>140300</v>
      </c>
      <c r="L24" s="363">
        <f>VLOOKUP(B24,[25]Лист_1!$A$1:$E$65536,5,0)</f>
        <v>149800</v>
      </c>
      <c r="M24" s="363">
        <f>VLOOKUP(B24,[26]Лист_1!$A$6:$B$71,2,0)</f>
        <v>79400</v>
      </c>
      <c r="N24" s="363">
        <f>VLOOKUP(B24,[27]ноябрь!$A$1:$B$65536,2,0)</f>
        <v>109600</v>
      </c>
      <c r="O24" s="106">
        <f>SUM(D24:N24)/11</f>
        <v>75154.545454545456</v>
      </c>
      <c r="P24" s="326">
        <f>SUM(I24:N24)/6</f>
        <v>94200</v>
      </c>
      <c r="Q24" s="399"/>
      <c r="R24" s="389"/>
    </row>
    <row r="25" spans="1:18" s="294" customFormat="1">
      <c r="A25" s="290">
        <f t="shared" si="0"/>
        <v>22</v>
      </c>
      <c r="B25" s="291"/>
      <c r="C25" s="295" t="s">
        <v>120</v>
      </c>
      <c r="D25" s="361">
        <v>143020</v>
      </c>
      <c r="E25" s="362">
        <v>0</v>
      </c>
      <c r="F25" s="361">
        <v>0</v>
      </c>
      <c r="G25" s="361">
        <v>0</v>
      </c>
      <c r="H25" s="361">
        <v>0</v>
      </c>
      <c r="I25" s="361"/>
      <c r="J25" s="361">
        <v>0</v>
      </c>
      <c r="K25" s="361">
        <v>0</v>
      </c>
      <c r="L25" s="361">
        <v>0</v>
      </c>
      <c r="M25" s="361"/>
      <c r="N25" s="361"/>
      <c r="O25" s="313"/>
      <c r="P25" s="330"/>
      <c r="Q25" s="398">
        <f>SUM(D25:P25)/1</f>
        <v>143020</v>
      </c>
      <c r="R25" s="388">
        <f>Q25*11</f>
        <v>1573220</v>
      </c>
    </row>
    <row r="26" spans="1:18">
      <c r="A26" s="89">
        <f t="shared" si="0"/>
        <v>23</v>
      </c>
      <c r="B26" s="282" t="s">
        <v>258</v>
      </c>
      <c r="C26" s="281" t="s">
        <v>99</v>
      </c>
      <c r="D26" s="359">
        <v>0</v>
      </c>
      <c r="E26" s="360">
        <v>0</v>
      </c>
      <c r="F26" s="359">
        <v>0</v>
      </c>
      <c r="G26" s="359">
        <v>0</v>
      </c>
      <c r="H26" s="359">
        <v>0</v>
      </c>
      <c r="J26" s="359">
        <v>0</v>
      </c>
      <c r="K26" s="359">
        <v>0</v>
      </c>
      <c r="L26" s="359">
        <f>VLOOKUP(B26,[25]Лист_1!$A$1:$E$65536,5,0)</f>
        <v>105600</v>
      </c>
      <c r="O26" s="106">
        <f>SUM(D26:N26)/11</f>
        <v>9600</v>
      </c>
      <c r="P26" s="326">
        <f>SUM(I26:N26)/6</f>
        <v>17600</v>
      </c>
      <c r="Q26" s="399"/>
    </row>
    <row r="27" spans="1:18" s="294" customFormat="1">
      <c r="A27" s="290">
        <f t="shared" si="0"/>
        <v>24</v>
      </c>
      <c r="B27" s="291" t="s">
        <v>259</v>
      </c>
      <c r="C27" s="295" t="s">
        <v>98</v>
      </c>
      <c r="D27" s="361">
        <v>0</v>
      </c>
      <c r="E27" s="362">
        <v>0</v>
      </c>
      <c r="F27" s="361">
        <v>0</v>
      </c>
      <c r="G27" s="361">
        <v>0</v>
      </c>
      <c r="H27" s="361">
        <v>0</v>
      </c>
      <c r="I27" s="361"/>
      <c r="J27" s="361">
        <v>0</v>
      </c>
      <c r="K27" s="361">
        <v>0</v>
      </c>
      <c r="L27" s="361">
        <v>0</v>
      </c>
      <c r="M27" s="361"/>
      <c r="N27" s="361"/>
      <c r="O27" s="313"/>
      <c r="P27" s="330"/>
      <c r="Q27" s="398"/>
      <c r="R27" s="388"/>
    </row>
    <row r="28" spans="1:18" s="294" customFormat="1">
      <c r="A28" s="290">
        <f t="shared" si="0"/>
        <v>25</v>
      </c>
      <c r="B28" s="291" t="s">
        <v>260</v>
      </c>
      <c r="C28" s="295" t="s">
        <v>98</v>
      </c>
      <c r="D28" s="361">
        <v>0</v>
      </c>
      <c r="E28" s="362">
        <v>0</v>
      </c>
      <c r="F28" s="361">
        <v>0</v>
      </c>
      <c r="G28" s="361">
        <v>0</v>
      </c>
      <c r="H28" s="361">
        <v>0</v>
      </c>
      <c r="I28" s="361"/>
      <c r="J28" s="361">
        <v>0</v>
      </c>
      <c r="K28" s="361">
        <v>0</v>
      </c>
      <c r="L28" s="361">
        <v>0</v>
      </c>
      <c r="M28" s="361"/>
      <c r="N28" s="361"/>
      <c r="O28" s="313"/>
      <c r="P28" s="330"/>
      <c r="Q28" s="398"/>
      <c r="R28" s="388"/>
    </row>
    <row r="29" spans="1:18" s="294" customFormat="1">
      <c r="A29" s="290">
        <f t="shared" si="0"/>
        <v>26</v>
      </c>
      <c r="B29" s="291" t="s">
        <v>261</v>
      </c>
      <c r="C29" s="295" t="s">
        <v>98</v>
      </c>
      <c r="D29" s="361">
        <v>0</v>
      </c>
      <c r="E29" s="362">
        <v>0</v>
      </c>
      <c r="F29" s="361">
        <v>0</v>
      </c>
      <c r="G29" s="361">
        <v>0</v>
      </c>
      <c r="H29" s="361">
        <v>0</v>
      </c>
      <c r="I29" s="361"/>
      <c r="J29" s="361">
        <v>0</v>
      </c>
      <c r="K29" s="361">
        <v>0</v>
      </c>
      <c r="L29" s="361">
        <v>0</v>
      </c>
      <c r="M29" s="361"/>
      <c r="N29" s="361"/>
      <c r="O29" s="313"/>
      <c r="P29" s="330"/>
      <c r="Q29" s="398"/>
      <c r="R29" s="388"/>
    </row>
    <row r="30" spans="1:18">
      <c r="A30" s="89">
        <f t="shared" si="0"/>
        <v>27</v>
      </c>
      <c r="B30" s="276" t="s">
        <v>262</v>
      </c>
      <c r="C30" s="276" t="s">
        <v>121</v>
      </c>
      <c r="D30" s="359">
        <v>0</v>
      </c>
      <c r="E30" s="360">
        <v>22500</v>
      </c>
      <c r="F30" s="359">
        <v>0</v>
      </c>
      <c r="G30" s="359">
        <v>0</v>
      </c>
      <c r="H30" s="359">
        <v>0</v>
      </c>
      <c r="J30" s="359">
        <f>VLOOKUP(B30,[23]Лист_1!$A$1:$C$65536,3,0)</f>
        <v>36000</v>
      </c>
      <c r="K30" s="359">
        <v>0</v>
      </c>
      <c r="L30" s="359">
        <v>0</v>
      </c>
      <c r="M30" s="359">
        <f>VLOOKUP(B30,[26]Лист_1!$A$6:$B$71,2,0)</f>
        <v>18200</v>
      </c>
      <c r="O30" s="106">
        <f>SUM(D30:N30)/11</f>
        <v>6972.727272727273</v>
      </c>
      <c r="P30" s="326">
        <f>SUM(I30:N30)/6</f>
        <v>9033.3333333333339</v>
      </c>
      <c r="Q30" s="399"/>
    </row>
    <row r="31" spans="1:18">
      <c r="A31" s="89">
        <f t="shared" si="0"/>
        <v>28</v>
      </c>
      <c r="B31" s="282" t="s">
        <v>264</v>
      </c>
      <c r="C31" s="281" t="s">
        <v>124</v>
      </c>
      <c r="D31" s="359">
        <v>620600</v>
      </c>
      <c r="E31" s="360">
        <v>524830</v>
      </c>
      <c r="F31" s="359">
        <v>813990</v>
      </c>
      <c r="G31" s="359">
        <v>515070</v>
      </c>
      <c r="H31" s="359">
        <v>573990</v>
      </c>
      <c r="I31" s="359">
        <f>VLOOKUP(B31,[22]Лист_1!$A$8:$B$88,2,0)</f>
        <v>643410</v>
      </c>
      <c r="J31" s="359">
        <f>VLOOKUP(B31,[23]Лист_1!$A$1:$C$65536,3,0)</f>
        <v>484010</v>
      </c>
      <c r="K31" s="359">
        <f>VLOOKUP(B31,[24]Лист_1!$A$1:$B$65536,2,0)</f>
        <v>576280</v>
      </c>
      <c r="L31" s="359">
        <v>689110</v>
      </c>
      <c r="M31" s="359">
        <v>533160</v>
      </c>
      <c r="N31" s="359">
        <v>331810</v>
      </c>
      <c r="O31" s="106">
        <f>SUM(D31:N31)/11</f>
        <v>573296.36363636365</v>
      </c>
      <c r="P31" s="326">
        <f>SUM(I31:N31)/6</f>
        <v>542963.33333333337</v>
      </c>
      <c r="Q31" s="399"/>
    </row>
    <row r="32" spans="1:18" s="294" customFormat="1">
      <c r="A32" s="290">
        <f t="shared" si="0"/>
        <v>29</v>
      </c>
      <c r="B32" s="291" t="s">
        <v>265</v>
      </c>
      <c r="C32" s="295" t="s">
        <v>125</v>
      </c>
      <c r="D32" s="361">
        <v>0</v>
      </c>
      <c r="E32" s="362">
        <v>0</v>
      </c>
      <c r="F32" s="361">
        <v>0</v>
      </c>
      <c r="G32" s="361">
        <v>0</v>
      </c>
      <c r="H32" s="361">
        <v>0</v>
      </c>
      <c r="I32" s="361"/>
      <c r="J32" s="361">
        <v>0</v>
      </c>
      <c r="K32" s="361">
        <v>0</v>
      </c>
      <c r="L32" s="361">
        <v>0</v>
      </c>
      <c r="M32" s="361"/>
      <c r="N32" s="361"/>
      <c r="O32" s="313"/>
      <c r="P32" s="330"/>
      <c r="Q32" s="398"/>
      <c r="R32" s="388"/>
    </row>
    <row r="33" spans="1:18">
      <c r="A33" s="296">
        <f t="shared" si="0"/>
        <v>30</v>
      </c>
      <c r="B33" s="282" t="s">
        <v>267</v>
      </c>
      <c r="C33" s="282" t="s">
        <v>126</v>
      </c>
      <c r="D33" s="359">
        <v>579900</v>
      </c>
      <c r="E33" s="360">
        <v>268600</v>
      </c>
      <c r="F33" s="359">
        <v>271900</v>
      </c>
      <c r="G33" s="363">
        <v>286700</v>
      </c>
      <c r="H33" s="359">
        <v>256700</v>
      </c>
      <c r="I33" s="359">
        <f>VLOOKUP(B33,[22]Лист_1!$A$8:$B$88,2,0)</f>
        <v>240600</v>
      </c>
      <c r="J33" s="359">
        <f>VLOOKUP(B33,[23]Лист_1!$A$1:$C$65536,3,0)</f>
        <v>399900</v>
      </c>
      <c r="K33" s="359">
        <f>VLOOKUP(B33,[24]Лист_1!$A$1:$B$65536,2,0)</f>
        <v>261100</v>
      </c>
      <c r="L33" s="359">
        <f>VLOOKUP(B33,[25]Лист_1!$A$1:$E$65536,5,0)</f>
        <v>286300</v>
      </c>
      <c r="M33" s="359">
        <f>VLOOKUP(B33,[26]Лист_1!$A$6:$B$71,2,0)</f>
        <v>308500</v>
      </c>
      <c r="N33" s="359">
        <f>VLOOKUP(B33,[27]ноябрь!$A$1:$B$65536,2,0)</f>
        <v>371500</v>
      </c>
      <c r="O33" s="106">
        <f>SUM(D33:N33)/11</f>
        <v>321063.63636363635</v>
      </c>
      <c r="P33" s="326">
        <f>SUM(I33:N33)/6</f>
        <v>311316.66666666669</v>
      </c>
      <c r="Q33" s="399"/>
    </row>
    <row r="34" spans="1:18">
      <c r="A34" s="89">
        <f t="shared" si="0"/>
        <v>31</v>
      </c>
      <c r="B34" s="282" t="s">
        <v>313</v>
      </c>
      <c r="C34" s="282" t="s">
        <v>126</v>
      </c>
      <c r="D34" s="359">
        <v>346900</v>
      </c>
      <c r="E34" s="360">
        <v>97200</v>
      </c>
      <c r="F34" s="359">
        <v>70400</v>
      </c>
      <c r="G34" s="359">
        <v>175700</v>
      </c>
      <c r="H34" s="359">
        <v>111600</v>
      </c>
      <c r="I34" s="359">
        <f>VLOOKUP(B34,[22]Лист_1!$A$8:$B$88,2,0)</f>
        <v>231100</v>
      </c>
      <c r="J34" s="359">
        <f>VLOOKUP(B34,[23]Лист_1!$A$1:$C$65536,3,0)</f>
        <v>276000</v>
      </c>
      <c r="K34" s="359">
        <f>VLOOKUP(B34,[24]Лист_1!$A$1:$B$65536,2,0)</f>
        <v>227700</v>
      </c>
      <c r="L34" s="359">
        <f>VLOOKUP(B34,[25]Лист_1!$A$1:$E$65536,5,0)</f>
        <v>257200</v>
      </c>
      <c r="M34" s="359">
        <f>VLOOKUP(B34,[26]Лист_1!$A$6:$B$71,2,0)</f>
        <v>180000</v>
      </c>
      <c r="N34" s="359">
        <f>VLOOKUP(B34,[27]ноябрь!$A$1:$B$65536,2,0)</f>
        <v>206800</v>
      </c>
      <c r="O34" s="106">
        <f>SUM(D34:N34)/11</f>
        <v>198236.36363636365</v>
      </c>
      <c r="P34" s="326">
        <f>SUM(I34:N34)/6</f>
        <v>229800</v>
      </c>
      <c r="Q34" s="399"/>
    </row>
    <row r="35" spans="1:18">
      <c r="A35" s="89">
        <f t="shared" ref="A35:A51" si="1">A34+1</f>
        <v>32</v>
      </c>
      <c r="B35" s="282" t="s">
        <v>268</v>
      </c>
      <c r="C35" s="281" t="s">
        <v>127</v>
      </c>
      <c r="D35" s="359">
        <v>695687</v>
      </c>
      <c r="E35" s="360">
        <v>603410</v>
      </c>
      <c r="F35" s="359">
        <v>440020</v>
      </c>
      <c r="G35" s="359">
        <v>421045</v>
      </c>
      <c r="H35" s="359">
        <v>407275</v>
      </c>
      <c r="I35" s="359">
        <f>VLOOKUP(B35,[22]Лист_1!$A$8:$B$88,2,0)</f>
        <v>399987</v>
      </c>
      <c r="J35" s="359">
        <f>VLOOKUP(B35,[23]Лист_1!$A$1:$C$65536,3,0)</f>
        <v>562178</v>
      </c>
      <c r="K35" s="359">
        <f>VLOOKUP(B35,[24]Лист_1!$A$1:$B$65536,2,0)</f>
        <v>518135</v>
      </c>
      <c r="L35" s="359">
        <f>VLOOKUP(B35,[25]Лист_1!$A$1:$E$65536,5,0)</f>
        <v>539950</v>
      </c>
      <c r="M35" s="359">
        <f>VLOOKUP(B35,[26]Лист_1!$A$6:$B$71,2,0)</f>
        <v>461420</v>
      </c>
      <c r="N35" s="359">
        <f>VLOOKUP(B35,[27]ноябрь!$A$1:$B$65536,2,0)</f>
        <v>558520</v>
      </c>
      <c r="O35" s="106">
        <f>SUM(D35:N35)/11</f>
        <v>509784.27272727271</v>
      </c>
      <c r="P35" s="326">
        <f>SUM(I35:N35)/6</f>
        <v>506698.33333333331</v>
      </c>
      <c r="Q35" s="399"/>
    </row>
    <row r="36" spans="1:18">
      <c r="A36" s="89">
        <f t="shared" si="1"/>
        <v>33</v>
      </c>
      <c r="B36" s="282" t="s">
        <v>269</v>
      </c>
      <c r="C36" s="281" t="s">
        <v>89</v>
      </c>
      <c r="D36" s="359">
        <v>805481</v>
      </c>
      <c r="E36" s="360">
        <v>473857</v>
      </c>
      <c r="F36" s="359">
        <v>564684</v>
      </c>
      <c r="G36" s="359">
        <v>519714</v>
      </c>
      <c r="H36" s="359">
        <v>484956</v>
      </c>
      <c r="I36" s="359">
        <f>VLOOKUP(B36,[22]Лист_1!$A$8:$B$88,2,0)</f>
        <v>696260</v>
      </c>
      <c r="J36" s="359">
        <f>VLOOKUP(B36,[23]Лист_1!$A$1:$C$65536,3,0)</f>
        <v>684654</v>
      </c>
      <c r="K36" s="359">
        <f>VLOOKUP(B36,[24]Лист_1!$A$1:$B$65536,2,0)</f>
        <v>666208</v>
      </c>
      <c r="L36" s="359">
        <v>814979</v>
      </c>
      <c r="M36" s="359">
        <f>VLOOKUP(B36,[26]Лист_1!$A$6:$B$71,2,0)</f>
        <v>657100</v>
      </c>
      <c r="N36" s="359">
        <f>VLOOKUP(B36,[27]ноябрь!$A$1:$B$65536,2,0)-5960580</f>
        <v>2863202</v>
      </c>
      <c r="O36" s="106">
        <f>SUM(D36:M36)/10</f>
        <v>636789.30000000005</v>
      </c>
      <c r="P36" s="326">
        <f>SUM(I36:M36)/5</f>
        <v>703840.2</v>
      </c>
      <c r="Q36" s="399"/>
    </row>
    <row r="37" spans="1:18">
      <c r="A37" s="89">
        <f t="shared" si="1"/>
        <v>34</v>
      </c>
      <c r="B37" s="282" t="s">
        <v>270</v>
      </c>
      <c r="C37" s="281" t="s">
        <v>90</v>
      </c>
      <c r="D37" s="359">
        <v>86970</v>
      </c>
      <c r="E37" s="360">
        <v>86970</v>
      </c>
      <c r="F37" s="359">
        <v>70985</v>
      </c>
      <c r="G37" s="359">
        <v>97785</v>
      </c>
      <c r="H37" s="359">
        <v>102955</v>
      </c>
      <c r="I37" s="359">
        <f>VLOOKUP(B37,[22]Лист_1!$A$8:$B$88,2,0)</f>
        <v>86970</v>
      </c>
      <c r="J37" s="359">
        <f>VLOOKUP(B37,[23]Лист_1!$A$1:$C$65536,3,0)</f>
        <v>86970</v>
      </c>
      <c r="K37" s="359">
        <f>VLOOKUP(B37,[24]Лист_1!$A$1:$B$65536,2,0)</f>
        <v>75470</v>
      </c>
      <c r="L37" s="359">
        <v>86970</v>
      </c>
      <c r="M37" s="359">
        <f>VLOOKUP(B37,[26]Лист_1!$A$6:$B$71,2,0)</f>
        <v>86970</v>
      </c>
      <c r="N37" s="359">
        <f>VLOOKUP(B37,[27]ноябрь!$A$1:$B$65536,2,0)</f>
        <v>80900</v>
      </c>
      <c r="O37" s="106">
        <f>SUM(D37:N37)/11</f>
        <v>86355.909090909088</v>
      </c>
      <c r="P37" s="326">
        <f>SUM(I37:N37)/6</f>
        <v>84041.666666666672</v>
      </c>
      <c r="Q37" s="399"/>
    </row>
    <row r="38" spans="1:18" s="294" customFormat="1">
      <c r="A38" s="290">
        <f t="shared" si="1"/>
        <v>35</v>
      </c>
      <c r="B38" s="291"/>
      <c r="C38" s="293" t="s">
        <v>88</v>
      </c>
      <c r="D38" s="361"/>
      <c r="E38" s="362">
        <v>0</v>
      </c>
      <c r="F38" s="361">
        <v>0</v>
      </c>
      <c r="G38" s="361">
        <v>0</v>
      </c>
      <c r="H38" s="361">
        <v>0</v>
      </c>
      <c r="I38" s="361"/>
      <c r="J38" s="361">
        <v>0</v>
      </c>
      <c r="K38" s="361">
        <v>0</v>
      </c>
      <c r="L38" s="361">
        <v>0</v>
      </c>
      <c r="M38" s="361"/>
      <c r="N38" s="361"/>
      <c r="O38" s="313"/>
      <c r="P38" s="330"/>
      <c r="Q38" s="398"/>
      <c r="R38" s="388"/>
    </row>
    <row r="39" spans="1:18">
      <c r="A39" s="89">
        <f t="shared" si="1"/>
        <v>36</v>
      </c>
      <c r="B39" s="282" t="s">
        <v>271</v>
      </c>
      <c r="C39" s="281" t="s">
        <v>128</v>
      </c>
      <c r="D39" s="359">
        <v>408509</v>
      </c>
      <c r="E39" s="360">
        <v>250667</v>
      </c>
      <c r="F39" s="359">
        <v>254838</v>
      </c>
      <c r="G39" s="359">
        <v>224226</v>
      </c>
      <c r="H39" s="359">
        <v>124164</v>
      </c>
      <c r="I39" s="359">
        <f>VLOOKUP(B39,[22]Лист_1!$A$8:$B$88,2,0)</f>
        <v>129960</v>
      </c>
      <c r="J39" s="359">
        <f>VLOOKUP(B39,[23]Лист_1!$A$1:$C$65536,3,0)</f>
        <v>125186</v>
      </c>
      <c r="K39" s="359">
        <f>VLOOKUP(B39,[24]Лист_1!$A$1:$B$65536,2,0)</f>
        <v>159230</v>
      </c>
      <c r="L39" s="359">
        <f>VLOOKUP(B39,[25]Лист_1!$A$1:$E$65536,5,0)</f>
        <v>170326</v>
      </c>
      <c r="M39" s="359">
        <f>VLOOKUP(B39,[26]Лист_1!$A$6:$B$71,2,0)</f>
        <v>136534</v>
      </c>
      <c r="N39" s="359">
        <f>VLOOKUP(B39,[27]ноябрь!$A$1:$B$65536,2,0)</f>
        <v>38476</v>
      </c>
      <c r="O39" s="106">
        <f>SUM(D39:N39)/11</f>
        <v>183828.72727272726</v>
      </c>
      <c r="P39" s="326">
        <f>SUM(I39:N39)/6</f>
        <v>126618.66666666667</v>
      </c>
      <c r="Q39" s="399"/>
    </row>
    <row r="40" spans="1:18">
      <c r="A40" s="89">
        <f t="shared" si="1"/>
        <v>37</v>
      </c>
      <c r="B40" s="282" t="s">
        <v>272</v>
      </c>
      <c r="C40" s="281" t="s">
        <v>622</v>
      </c>
      <c r="D40" s="359">
        <v>274162</v>
      </c>
      <c r="E40" s="360">
        <v>61509</v>
      </c>
      <c r="F40" s="359">
        <v>462337</v>
      </c>
      <c r="G40" s="359">
        <v>173267</v>
      </c>
      <c r="H40" s="359">
        <v>63579</v>
      </c>
      <c r="I40" s="359">
        <f>VLOOKUP(B40,[22]Лист_1!$A$8:$B$88,2,0)+21145</f>
        <v>69235</v>
      </c>
      <c r="J40" s="359">
        <v>73411</v>
      </c>
      <c r="K40" s="359">
        <f>VLOOKUP(B40,[24]Лист_1!$A$1:$B$65536,2,0)</f>
        <v>42777</v>
      </c>
      <c r="L40" s="359">
        <v>73411</v>
      </c>
      <c r="M40" s="359">
        <v>24045</v>
      </c>
      <c r="N40" s="359">
        <v>61509</v>
      </c>
      <c r="O40" s="106">
        <f>SUM(D40:N40)/11</f>
        <v>125385.63636363637</v>
      </c>
      <c r="P40" s="326">
        <f>SUM(I40:N40)/6</f>
        <v>57398</v>
      </c>
      <c r="Q40" s="399"/>
    </row>
    <row r="41" spans="1:18">
      <c r="A41" s="89">
        <f t="shared" si="1"/>
        <v>38</v>
      </c>
      <c r="B41" s="282" t="s">
        <v>273</v>
      </c>
      <c r="C41" s="281" t="s">
        <v>129</v>
      </c>
      <c r="D41" s="359">
        <v>41200</v>
      </c>
      <c r="E41" s="360">
        <v>41200</v>
      </c>
      <c r="F41" s="359">
        <v>50839</v>
      </c>
      <c r="G41" s="359">
        <v>41200</v>
      </c>
      <c r="H41" s="359">
        <v>113450</v>
      </c>
      <c r="I41" s="359">
        <f>VLOOKUP(B41,[22]Лист_1!$A$8:$B$88,2,0)</f>
        <v>41200</v>
      </c>
      <c r="J41" s="359">
        <f>VLOOKUP(B41,[23]Лист_1!$A$1:$C$65536,3,0)</f>
        <v>41200</v>
      </c>
      <c r="K41" s="359">
        <f>VLOOKUP(B41,[24]Лист_1!$A$1:$B$65536,2,0)</f>
        <v>41200</v>
      </c>
      <c r="L41" s="359">
        <f>VLOOKUP(B41,[25]Лист_1!$A$1:$E$65536,5,0)</f>
        <v>41200</v>
      </c>
      <c r="M41" s="359">
        <f>VLOOKUP(B41,[26]Лист_1!$A$6:$B$71,2,0)</f>
        <v>41200</v>
      </c>
      <c r="N41" s="359">
        <f>VLOOKUP(B41,[27]ноябрь!$A$1:$B$65536,2,0)</f>
        <v>50839</v>
      </c>
      <c r="O41" s="106">
        <f>SUM(D41:N41)/11</f>
        <v>49520.727272727272</v>
      </c>
      <c r="P41" s="326">
        <f>SUM(I41:N41)/6</f>
        <v>42806.5</v>
      </c>
      <c r="Q41" s="399"/>
    </row>
    <row r="42" spans="1:18" s="294" customFormat="1">
      <c r="A42" s="290">
        <f t="shared" si="1"/>
        <v>39</v>
      </c>
      <c r="B42" s="291"/>
      <c r="C42" s="295" t="s">
        <v>130</v>
      </c>
      <c r="D42" s="361">
        <v>0</v>
      </c>
      <c r="E42" s="362">
        <v>0</v>
      </c>
      <c r="F42" s="361">
        <v>0</v>
      </c>
      <c r="G42" s="361">
        <v>0</v>
      </c>
      <c r="H42" s="361">
        <v>0</v>
      </c>
      <c r="I42" s="361"/>
      <c r="J42" s="361">
        <v>0</v>
      </c>
      <c r="K42" s="361">
        <v>0</v>
      </c>
      <c r="L42" s="361">
        <v>0</v>
      </c>
      <c r="M42" s="361"/>
      <c r="N42" s="361"/>
      <c r="O42" s="313"/>
      <c r="P42" s="330"/>
      <c r="Q42" s="398"/>
      <c r="R42" s="388"/>
    </row>
    <row r="43" spans="1:18" s="112" customFormat="1">
      <c r="A43" s="298">
        <f t="shared" si="1"/>
        <v>40</v>
      </c>
      <c r="B43" s="299" t="s">
        <v>274</v>
      </c>
      <c r="C43" s="300" t="s">
        <v>131</v>
      </c>
      <c r="D43" s="364">
        <v>0</v>
      </c>
      <c r="E43" s="365">
        <v>555500</v>
      </c>
      <c r="F43" s="364">
        <v>338400</v>
      </c>
      <c r="G43" s="364">
        <v>373500</v>
      </c>
      <c r="H43" s="364">
        <v>295600</v>
      </c>
      <c r="I43" s="364">
        <f>VLOOKUP(B43,[22]Лист_1!$A$8:$B$88,2,0)</f>
        <v>228880</v>
      </c>
      <c r="J43" s="364">
        <f>VLOOKUP(B43,[23]Лист_1!$A$1:$C$65536,3,0)</f>
        <v>208000</v>
      </c>
      <c r="K43" s="364">
        <f>VLOOKUP(B43,[24]Лист_1!$A$1:$B$65536,2,0)</f>
        <v>230050</v>
      </c>
      <c r="L43" s="364">
        <f>VLOOKUP(B43,[25]Лист_1!$A$1:$E$65536,5,0)</f>
        <v>261100</v>
      </c>
      <c r="M43" s="364">
        <f>VLOOKUP(B43,[26]Лист_1!$A$6:$B$71,2,0)</f>
        <v>357930</v>
      </c>
      <c r="N43" s="364"/>
      <c r="O43" s="106">
        <f>SUM(D43:N43)/11</f>
        <v>258996.36363636365</v>
      </c>
      <c r="P43" s="326">
        <f>SUM(I43:N43)/6</f>
        <v>214326.66666666666</v>
      </c>
      <c r="Q43" s="399"/>
      <c r="R43" s="390"/>
    </row>
    <row r="44" spans="1:18" s="294" customFormat="1">
      <c r="A44" s="290">
        <f t="shared" si="1"/>
        <v>41</v>
      </c>
      <c r="B44" s="291" t="s">
        <v>275</v>
      </c>
      <c r="C44" s="301" t="s">
        <v>132</v>
      </c>
      <c r="D44" s="361">
        <v>85000</v>
      </c>
      <c r="E44" s="362">
        <v>0</v>
      </c>
      <c r="F44" s="361">
        <v>0</v>
      </c>
      <c r="G44" s="361">
        <v>0</v>
      </c>
      <c r="H44" s="361">
        <v>0</v>
      </c>
      <c r="I44" s="361"/>
      <c r="J44" s="361">
        <v>0</v>
      </c>
      <c r="K44" s="361">
        <v>0</v>
      </c>
      <c r="L44" s="361">
        <v>0</v>
      </c>
      <c r="M44" s="361"/>
      <c r="N44" s="361"/>
      <c r="O44" s="313"/>
      <c r="P44" s="330"/>
      <c r="Q44" s="398">
        <f>SUM(D44:P44)/1</f>
        <v>85000</v>
      </c>
      <c r="R44" s="388">
        <f>Q44*11</f>
        <v>935000</v>
      </c>
    </row>
    <row r="45" spans="1:18" s="294" customFormat="1">
      <c r="A45" s="290">
        <f t="shared" si="1"/>
        <v>42</v>
      </c>
      <c r="B45" s="291" t="s">
        <v>276</v>
      </c>
      <c r="C45" s="295" t="s">
        <v>133</v>
      </c>
      <c r="D45" s="361">
        <v>0</v>
      </c>
      <c r="E45" s="362">
        <v>0</v>
      </c>
      <c r="F45" s="361">
        <v>0</v>
      </c>
      <c r="G45" s="361">
        <v>0</v>
      </c>
      <c r="H45" s="361">
        <v>0</v>
      </c>
      <c r="I45" s="361"/>
      <c r="J45" s="361">
        <v>0</v>
      </c>
      <c r="K45" s="361">
        <v>0</v>
      </c>
      <c r="L45" s="361">
        <v>0</v>
      </c>
      <c r="M45" s="361"/>
      <c r="N45" s="361"/>
      <c r="O45" s="313"/>
      <c r="P45" s="330"/>
      <c r="Q45" s="398"/>
      <c r="R45" s="388"/>
    </row>
    <row r="46" spans="1:18" s="294" customFormat="1">
      <c r="A46" s="290">
        <f t="shared" si="1"/>
        <v>43</v>
      </c>
      <c r="B46" s="291" t="s">
        <v>277</v>
      </c>
      <c r="C46" s="295" t="s">
        <v>134</v>
      </c>
      <c r="D46" s="361">
        <v>0</v>
      </c>
      <c r="E46" s="362">
        <v>0</v>
      </c>
      <c r="F46" s="361">
        <v>0</v>
      </c>
      <c r="G46" s="361">
        <v>0</v>
      </c>
      <c r="H46" s="361">
        <v>0</v>
      </c>
      <c r="I46" s="361">
        <v>218700</v>
      </c>
      <c r="J46" s="361">
        <v>0</v>
      </c>
      <c r="K46" s="361">
        <v>0</v>
      </c>
      <c r="L46" s="361">
        <v>0</v>
      </c>
      <c r="M46" s="361"/>
      <c r="N46" s="361"/>
      <c r="O46" s="313"/>
      <c r="P46" s="330"/>
      <c r="Q46" s="398"/>
      <c r="R46" s="388"/>
    </row>
    <row r="47" spans="1:18" ht="12.75" customHeight="1">
      <c r="A47" s="89">
        <f t="shared" si="1"/>
        <v>44</v>
      </c>
      <c r="B47" s="282" t="s">
        <v>278</v>
      </c>
      <c r="C47" s="281" t="s">
        <v>135</v>
      </c>
      <c r="D47" s="359">
        <v>0</v>
      </c>
      <c r="E47" s="360">
        <v>0</v>
      </c>
      <c r="F47" s="359">
        <v>129340</v>
      </c>
      <c r="G47" s="359">
        <v>0</v>
      </c>
      <c r="H47" s="359">
        <v>0</v>
      </c>
      <c r="I47" s="359">
        <v>135080</v>
      </c>
      <c r="J47" s="359">
        <v>0</v>
      </c>
      <c r="K47" s="359">
        <v>0</v>
      </c>
      <c r="L47" s="359">
        <f>VLOOKUP(B47,[25]Лист_1!$A$1:$E$65536,5,0)</f>
        <v>49500</v>
      </c>
      <c r="O47" s="106">
        <f>SUM(D47:N47)/11</f>
        <v>28538.18181818182</v>
      </c>
      <c r="P47" s="326">
        <f>SUM(I47:N47)/6</f>
        <v>30763.333333333332</v>
      </c>
      <c r="Q47" s="399"/>
    </row>
    <row r="48" spans="1:18" s="294" customFormat="1">
      <c r="A48" s="290">
        <f t="shared" si="1"/>
        <v>45</v>
      </c>
      <c r="B48" s="291" t="s">
        <v>279</v>
      </c>
      <c r="C48" s="295" t="s">
        <v>136</v>
      </c>
      <c r="D48" s="361">
        <v>6500</v>
      </c>
      <c r="E48" s="362">
        <v>28200</v>
      </c>
      <c r="F48" s="361">
        <v>43080</v>
      </c>
      <c r="G48" s="361">
        <v>6500</v>
      </c>
      <c r="H48" s="361">
        <v>67500</v>
      </c>
      <c r="I48" s="361">
        <f>VLOOKUP(B48,[22]Лист_1!$A$8:$B$88,2,0)+12400</f>
        <v>18900</v>
      </c>
      <c r="J48" s="361">
        <v>18900</v>
      </c>
      <c r="K48" s="361">
        <f>VLOOKUP(B48,[24]Лист_1!$A$1:$B$65536,2,0)+9300</f>
        <v>15800</v>
      </c>
      <c r="L48" s="361">
        <f>VLOOKUP(B48,[25]Лист_1!$A$1:$E$65536,5,0)</f>
        <v>13000</v>
      </c>
      <c r="M48" s="361">
        <f>VLOOKUP(B48,[26]Лист_1!$A$6:$B$71,2,0)</f>
        <v>6500</v>
      </c>
      <c r="N48" s="361"/>
      <c r="O48" s="313"/>
      <c r="P48" s="326"/>
      <c r="Q48" s="398"/>
      <c r="R48" s="388"/>
    </row>
    <row r="49" spans="1:18" s="294" customFormat="1">
      <c r="A49" s="290">
        <f t="shared" si="1"/>
        <v>46</v>
      </c>
      <c r="B49" s="291" t="s">
        <v>280</v>
      </c>
      <c r="C49" s="295" t="s">
        <v>137</v>
      </c>
      <c r="D49" s="361">
        <v>1500</v>
      </c>
      <c r="E49" s="362">
        <v>19000</v>
      </c>
      <c r="F49" s="361">
        <v>0</v>
      </c>
      <c r="G49" s="361">
        <v>1500</v>
      </c>
      <c r="H49" s="361">
        <v>0</v>
      </c>
      <c r="I49" s="361"/>
      <c r="J49" s="361">
        <v>0</v>
      </c>
      <c r="K49" s="361">
        <v>0</v>
      </c>
      <c r="L49" s="361">
        <v>0</v>
      </c>
      <c r="M49" s="361"/>
      <c r="N49" s="361"/>
      <c r="O49" s="313"/>
      <c r="P49" s="326"/>
      <c r="Q49" s="398"/>
      <c r="R49" s="388"/>
    </row>
    <row r="50" spans="1:18">
      <c r="A50" s="89">
        <f t="shared" si="1"/>
        <v>47</v>
      </c>
      <c r="B50" s="276" t="s">
        <v>242</v>
      </c>
      <c r="C50" s="276" t="s">
        <v>121</v>
      </c>
      <c r="D50" s="359">
        <v>211340</v>
      </c>
      <c r="E50" s="360">
        <v>274380</v>
      </c>
      <c r="F50" s="359">
        <v>289400</v>
      </c>
      <c r="G50" s="359">
        <v>230500</v>
      </c>
      <c r="H50" s="359">
        <v>144000</v>
      </c>
      <c r="I50" s="359">
        <f>VLOOKUP(B50,[22]Лист_1!$A$8:$B$88,2,0)</f>
        <v>107880</v>
      </c>
      <c r="J50" s="359">
        <f>VLOOKUP(B50,[23]Лист_1!$A$1:$C$65536,3,0)</f>
        <v>93000</v>
      </c>
      <c r="K50" s="359">
        <f>VLOOKUP(B50,[24]Лист_1!$A$1:$B$65536,2,0)</f>
        <v>127500</v>
      </c>
      <c r="L50" s="359">
        <f>VLOOKUP(B50,[25]Лист_1!$A$1:$E$65536,5,0)</f>
        <v>99400</v>
      </c>
      <c r="M50" s="359">
        <f>VLOOKUP(B50,[26]Лист_1!$A$6:$B$71,2,0)</f>
        <v>165200</v>
      </c>
      <c r="N50" s="359">
        <f>VLOOKUP(B50,[27]ноябрь!$A$1:$B$65536,2,0)</f>
        <v>75400</v>
      </c>
      <c r="O50" s="106">
        <f>SUM(D50:N50)/11</f>
        <v>165272.72727272726</v>
      </c>
      <c r="P50" s="326">
        <f>SUM(I50:N50)/6</f>
        <v>111396.66666666667</v>
      </c>
      <c r="Q50" s="399"/>
    </row>
    <row r="51" spans="1:18">
      <c r="A51" s="89">
        <f t="shared" si="1"/>
        <v>48</v>
      </c>
      <c r="B51" s="276" t="s">
        <v>486</v>
      </c>
      <c r="C51" s="276" t="s">
        <v>121</v>
      </c>
      <c r="G51" s="359">
        <v>22500</v>
      </c>
      <c r="H51" s="359">
        <v>38800</v>
      </c>
      <c r="J51" s="359">
        <f>VLOOKUP(B51,[23]Лист_1!$A$1:$C$65536,3,0)</f>
        <v>22500</v>
      </c>
      <c r="K51" s="359">
        <v>0</v>
      </c>
      <c r="L51" s="359">
        <v>0</v>
      </c>
      <c r="M51" s="359">
        <f>VLOOKUP(B51,[26]Лист_1!$A$6:$B$71,2,0)</f>
        <v>54600</v>
      </c>
      <c r="N51" s="359">
        <f>VLOOKUP(B51,[27]ноябрь!$A$1:$B$65536,2,0)</f>
        <v>18200</v>
      </c>
      <c r="O51" s="106">
        <f>SUM(D51:N51)/11</f>
        <v>14236.363636363636</v>
      </c>
      <c r="P51" s="326">
        <f>SUM(I51:N51)/6</f>
        <v>15883.333333333334</v>
      </c>
      <c r="Q51" s="399"/>
    </row>
    <row r="52" spans="1:18" ht="15" customHeight="1">
      <c r="A52" s="89">
        <f>A51+1</f>
        <v>49</v>
      </c>
      <c r="B52" s="276" t="s">
        <v>612</v>
      </c>
      <c r="C52" s="276"/>
      <c r="M52" s="359">
        <f>VLOOKUP(B52,[26]Лист_1!$A$6:$B$71,2,0)</f>
        <v>9000</v>
      </c>
      <c r="O52" s="106">
        <f>SUM(D52:N52)/11</f>
        <v>818.18181818181813</v>
      </c>
      <c r="P52" s="326">
        <f>SUM(I52:N52)/6</f>
        <v>1500</v>
      </c>
      <c r="Q52" s="399"/>
    </row>
    <row r="53" spans="1:18" s="294" customFormat="1" ht="15" customHeight="1">
      <c r="A53" s="290">
        <f t="shared" ref="A53:A106" si="2">A52+1</f>
        <v>50</v>
      </c>
      <c r="B53" s="291" t="s">
        <v>281</v>
      </c>
      <c r="C53" s="302" t="s">
        <v>138</v>
      </c>
      <c r="D53" s="361">
        <v>0</v>
      </c>
      <c r="E53" s="362">
        <v>0</v>
      </c>
      <c r="F53" s="361">
        <v>0</v>
      </c>
      <c r="G53" s="361">
        <v>0</v>
      </c>
      <c r="H53" s="361">
        <v>0</v>
      </c>
      <c r="I53" s="361"/>
      <c r="J53" s="361">
        <v>0</v>
      </c>
      <c r="K53" s="361">
        <v>0</v>
      </c>
      <c r="L53" s="361">
        <v>0</v>
      </c>
      <c r="M53" s="361"/>
      <c r="N53" s="361"/>
      <c r="O53" s="313"/>
      <c r="P53" s="326"/>
      <c r="Q53" s="398"/>
      <c r="R53" s="388"/>
    </row>
    <row r="54" spans="1:18" s="294" customFormat="1" ht="15" customHeight="1">
      <c r="A54" s="290">
        <f t="shared" si="2"/>
        <v>51</v>
      </c>
      <c r="B54" s="291" t="s">
        <v>476</v>
      </c>
      <c r="C54" s="302" t="s">
        <v>139</v>
      </c>
      <c r="D54" s="361"/>
      <c r="E54" s="362"/>
      <c r="F54" s="361">
        <v>2280</v>
      </c>
      <c r="G54" s="361">
        <v>0</v>
      </c>
      <c r="H54" s="361">
        <v>0</v>
      </c>
      <c r="I54" s="361"/>
      <c r="J54" s="361">
        <v>0</v>
      </c>
      <c r="K54" s="361">
        <v>0</v>
      </c>
      <c r="L54" s="361">
        <v>0</v>
      </c>
      <c r="M54" s="361"/>
      <c r="N54" s="361"/>
      <c r="O54" s="313"/>
      <c r="P54" s="326"/>
      <c r="Q54" s="398"/>
      <c r="R54" s="388"/>
    </row>
    <row r="55" spans="1:18" s="294" customFormat="1" ht="15" customHeight="1">
      <c r="A55" s="290">
        <f t="shared" si="2"/>
        <v>52</v>
      </c>
      <c r="B55" s="291" t="s">
        <v>477</v>
      </c>
      <c r="C55" s="302" t="s">
        <v>139</v>
      </c>
      <c r="D55" s="361"/>
      <c r="E55" s="362"/>
      <c r="F55" s="361">
        <v>55176</v>
      </c>
      <c r="G55" s="361">
        <v>0</v>
      </c>
      <c r="H55" s="361">
        <v>0</v>
      </c>
      <c r="I55" s="361"/>
      <c r="J55" s="361">
        <v>0</v>
      </c>
      <c r="K55" s="361">
        <v>0</v>
      </c>
      <c r="L55" s="361">
        <v>0</v>
      </c>
      <c r="M55" s="361"/>
      <c r="N55" s="361"/>
      <c r="O55" s="313"/>
      <c r="P55" s="326"/>
      <c r="Q55" s="398"/>
      <c r="R55" s="388"/>
    </row>
    <row r="56" spans="1:18" s="294" customFormat="1">
      <c r="A56" s="290">
        <f t="shared" si="2"/>
        <v>53</v>
      </c>
      <c r="B56" s="291" t="s">
        <v>283</v>
      </c>
      <c r="C56" s="295" t="s">
        <v>139</v>
      </c>
      <c r="D56" s="361">
        <v>479484</v>
      </c>
      <c r="E56" s="362">
        <v>573192</v>
      </c>
      <c r="F56" s="361">
        <v>672144</v>
      </c>
      <c r="G56" s="361">
        <v>633612</v>
      </c>
      <c r="H56" s="361">
        <v>603060</v>
      </c>
      <c r="I56" s="361">
        <f>VLOOKUP(B56,[22]Лист_1!$A$8:$B$88,2,0)</f>
        <v>516419.98</v>
      </c>
      <c r="J56" s="361">
        <f>VLOOKUP(B56,[23]Лист_1!$A$1:$C$65536,3,0)</f>
        <v>561861</v>
      </c>
      <c r="K56" s="361">
        <f>VLOOKUP(B56,[24]Лист_1!$A$1:$B$65536,2,0)</f>
        <v>519600</v>
      </c>
      <c r="L56" s="361">
        <f>VLOOKUP(B56,[25]Лист_1!$A$1:$E$65536,5,0)</f>
        <v>623580</v>
      </c>
      <c r="M56" s="361">
        <f>VLOOKUP(B56,[26]Лист_1!$A$6:$B$71,2,0)</f>
        <v>383030.8</v>
      </c>
      <c r="N56" s="361"/>
      <c r="O56" s="313"/>
      <c r="P56" s="326"/>
      <c r="Q56" s="398">
        <f>(SUM(D54:M61)+SUM(E63:F63))/10</f>
        <v>591140.37800000003</v>
      </c>
      <c r="R56" s="388">
        <f>Q56*1</f>
        <v>591140.37800000003</v>
      </c>
    </row>
    <row r="57" spans="1:18" s="294" customFormat="1">
      <c r="A57" s="290">
        <f t="shared" si="2"/>
        <v>54</v>
      </c>
      <c r="B57" s="291" t="s">
        <v>548</v>
      </c>
      <c r="C57" s="295" t="s">
        <v>139</v>
      </c>
      <c r="D57" s="361"/>
      <c r="E57" s="362"/>
      <c r="F57" s="361"/>
      <c r="G57" s="361"/>
      <c r="H57" s="361"/>
      <c r="I57" s="361">
        <f>VLOOKUP(B57,[22]Лист_1!$A$8:$B$88,2,0)</f>
        <v>103056</v>
      </c>
      <c r="J57" s="361">
        <v>0</v>
      </c>
      <c r="K57" s="361">
        <v>0</v>
      </c>
      <c r="L57" s="361">
        <v>0</v>
      </c>
      <c r="M57" s="361"/>
      <c r="N57" s="361"/>
      <c r="O57" s="313"/>
      <c r="P57" s="326"/>
      <c r="Q57" s="398"/>
      <c r="R57" s="388"/>
    </row>
    <row r="58" spans="1:18" s="294" customFormat="1">
      <c r="A58" s="290">
        <f t="shared" si="2"/>
        <v>55</v>
      </c>
      <c r="B58" s="291" t="s">
        <v>282</v>
      </c>
      <c r="C58" s="291" t="s">
        <v>139</v>
      </c>
      <c r="D58" s="361">
        <v>43320</v>
      </c>
      <c r="E58" s="362">
        <v>0</v>
      </c>
      <c r="F58" s="361">
        <v>41040</v>
      </c>
      <c r="G58" s="361">
        <v>0</v>
      </c>
      <c r="H58" s="361">
        <v>0</v>
      </c>
      <c r="I58" s="361"/>
      <c r="J58" s="361">
        <v>0</v>
      </c>
      <c r="K58" s="361">
        <v>0</v>
      </c>
      <c r="L58" s="361">
        <v>0</v>
      </c>
      <c r="M58" s="361"/>
      <c r="N58" s="361"/>
      <c r="O58" s="313"/>
      <c r="P58" s="326"/>
      <c r="Q58" s="398"/>
      <c r="R58" s="388"/>
    </row>
    <row r="59" spans="1:18" s="294" customFormat="1">
      <c r="A59" s="290">
        <f t="shared" si="2"/>
        <v>56</v>
      </c>
      <c r="B59" s="291" t="s">
        <v>493</v>
      </c>
      <c r="C59" s="291" t="s">
        <v>139</v>
      </c>
      <c r="D59" s="361"/>
      <c r="E59" s="362"/>
      <c r="F59" s="361"/>
      <c r="G59" s="361"/>
      <c r="H59" s="361"/>
      <c r="I59" s="361">
        <f>VLOOKUP(B59,[22]Лист_1!$A$8:$B$88,2,0)</f>
        <v>15276</v>
      </c>
      <c r="J59" s="361">
        <v>0</v>
      </c>
      <c r="K59" s="361">
        <v>0</v>
      </c>
      <c r="L59" s="361">
        <v>0</v>
      </c>
      <c r="M59" s="361"/>
      <c r="N59" s="361"/>
      <c r="O59" s="313"/>
      <c r="P59" s="326"/>
      <c r="Q59" s="398"/>
      <c r="R59" s="388"/>
    </row>
    <row r="60" spans="1:18" s="294" customFormat="1">
      <c r="A60" s="290">
        <f t="shared" si="2"/>
        <v>57</v>
      </c>
      <c r="B60" s="291" t="s">
        <v>492</v>
      </c>
      <c r="C60" s="291" t="s">
        <v>139</v>
      </c>
      <c r="D60" s="361"/>
      <c r="E60" s="362"/>
      <c r="F60" s="361"/>
      <c r="G60" s="361">
        <v>17100</v>
      </c>
      <c r="H60" s="361">
        <v>0</v>
      </c>
      <c r="I60" s="361"/>
      <c r="J60" s="361">
        <v>0</v>
      </c>
      <c r="K60" s="361">
        <v>0</v>
      </c>
      <c r="L60" s="361">
        <v>0</v>
      </c>
      <c r="M60" s="361"/>
      <c r="N60" s="361"/>
      <c r="O60" s="313"/>
      <c r="P60" s="326"/>
      <c r="Q60" s="398"/>
      <c r="R60" s="388"/>
    </row>
    <row r="61" spans="1:18" s="294" customFormat="1">
      <c r="A61" s="290">
        <f t="shared" si="2"/>
        <v>58</v>
      </c>
      <c r="B61" s="291" t="s">
        <v>501</v>
      </c>
      <c r="C61" s="291" t="s">
        <v>139</v>
      </c>
      <c r="D61" s="361"/>
      <c r="E61" s="362"/>
      <c r="F61" s="361"/>
      <c r="G61" s="361">
        <v>17100</v>
      </c>
      <c r="H61" s="361">
        <v>12312</v>
      </c>
      <c r="I61" s="361">
        <f>VLOOKUP(B61,[22]Лист_1!$A$8:$B$88,2,0)</f>
        <v>14136</v>
      </c>
      <c r="J61" s="361">
        <v>0</v>
      </c>
      <c r="K61" s="361">
        <v>0</v>
      </c>
      <c r="L61" s="361">
        <v>0</v>
      </c>
      <c r="M61" s="361"/>
      <c r="N61" s="361"/>
      <c r="O61" s="313"/>
      <c r="P61" s="326"/>
      <c r="Q61" s="398"/>
      <c r="R61" s="388"/>
    </row>
    <row r="62" spans="1:18" s="308" customFormat="1">
      <c r="A62" s="303">
        <f t="shared" si="2"/>
        <v>59</v>
      </c>
      <c r="B62" s="304" t="s">
        <v>435</v>
      </c>
      <c r="C62" s="305" t="s">
        <v>140</v>
      </c>
      <c r="D62" s="366">
        <v>72765</v>
      </c>
      <c r="E62" s="367">
        <v>125400</v>
      </c>
      <c r="F62" s="366">
        <v>0</v>
      </c>
      <c r="G62" s="366">
        <v>0</v>
      </c>
      <c r="H62" s="366">
        <v>0</v>
      </c>
      <c r="I62" s="366"/>
      <c r="J62" s="366">
        <v>0</v>
      </c>
      <c r="K62" s="366">
        <v>0</v>
      </c>
      <c r="L62" s="366">
        <v>0</v>
      </c>
      <c r="M62" s="366"/>
      <c r="N62" s="366">
        <v>0</v>
      </c>
      <c r="O62" s="314"/>
      <c r="P62" s="329"/>
      <c r="Q62" s="400"/>
      <c r="R62" s="391"/>
    </row>
    <row r="63" spans="1:18" s="294" customFormat="1">
      <c r="A63" s="290">
        <f t="shared" si="2"/>
        <v>60</v>
      </c>
      <c r="B63" s="291" t="s">
        <v>440</v>
      </c>
      <c r="C63" s="295" t="s">
        <v>141</v>
      </c>
      <c r="D63" s="361"/>
      <c r="E63" s="362">
        <v>14820</v>
      </c>
      <c r="F63" s="361">
        <v>9804</v>
      </c>
      <c r="G63" s="361">
        <v>0</v>
      </c>
      <c r="H63" s="361">
        <v>0</v>
      </c>
      <c r="I63" s="361"/>
      <c r="J63" s="361">
        <v>0</v>
      </c>
      <c r="K63" s="361">
        <v>0</v>
      </c>
      <c r="L63" s="361">
        <v>0</v>
      </c>
      <c r="M63" s="361"/>
      <c r="N63" s="361"/>
      <c r="O63" s="313"/>
      <c r="P63" s="326"/>
      <c r="Q63" s="398"/>
      <c r="R63" s="388"/>
    </row>
    <row r="64" spans="1:18" s="294" customFormat="1">
      <c r="A64" s="290">
        <f t="shared" si="2"/>
        <v>61</v>
      </c>
      <c r="B64" s="291" t="s">
        <v>284</v>
      </c>
      <c r="C64" s="291" t="s">
        <v>284</v>
      </c>
      <c r="D64" s="361">
        <v>13680</v>
      </c>
      <c r="E64" s="362">
        <v>0</v>
      </c>
      <c r="F64" s="361">
        <v>21660</v>
      </c>
      <c r="G64" s="361">
        <v>0</v>
      </c>
      <c r="H64" s="361">
        <v>0</v>
      </c>
      <c r="I64" s="361"/>
      <c r="J64" s="361">
        <v>0</v>
      </c>
      <c r="K64" s="361">
        <v>0</v>
      </c>
      <c r="L64" s="361">
        <f>VLOOKUP(B64,[25]Лист_1!$A$1:$E$65536,5,0)</f>
        <v>24624</v>
      </c>
      <c r="M64" s="361"/>
      <c r="N64" s="361"/>
      <c r="O64" s="313"/>
      <c r="P64" s="326"/>
      <c r="Q64" s="398"/>
      <c r="R64" s="388"/>
    </row>
    <row r="65" spans="1:18" s="294" customFormat="1">
      <c r="A65" s="290">
        <f t="shared" si="2"/>
        <v>62</v>
      </c>
      <c r="B65" s="291" t="s">
        <v>142</v>
      </c>
      <c r="C65" s="291" t="s">
        <v>142</v>
      </c>
      <c r="D65" s="361">
        <v>0</v>
      </c>
      <c r="E65" s="362">
        <v>0</v>
      </c>
      <c r="F65" s="361">
        <v>0</v>
      </c>
      <c r="G65" s="361">
        <v>0</v>
      </c>
      <c r="H65" s="361">
        <v>0</v>
      </c>
      <c r="I65" s="361"/>
      <c r="J65" s="361">
        <v>0</v>
      </c>
      <c r="K65" s="361">
        <v>0</v>
      </c>
      <c r="L65" s="361">
        <v>0</v>
      </c>
      <c r="M65" s="361"/>
      <c r="N65" s="361"/>
      <c r="O65" s="313"/>
      <c r="P65" s="326"/>
      <c r="Q65" s="398"/>
      <c r="R65" s="388"/>
    </row>
    <row r="66" spans="1:18">
      <c r="A66" s="89">
        <f t="shared" si="2"/>
        <v>63</v>
      </c>
      <c r="B66" s="282" t="s">
        <v>285</v>
      </c>
      <c r="C66" s="281" t="s">
        <v>143</v>
      </c>
      <c r="D66" s="359">
        <v>117600</v>
      </c>
      <c r="E66" s="360">
        <v>94600</v>
      </c>
      <c r="F66" s="359">
        <v>124100</v>
      </c>
      <c r="G66" s="359">
        <v>129500</v>
      </c>
      <c r="H66" s="359">
        <v>126000</v>
      </c>
      <c r="I66" s="359">
        <f>VLOOKUP(B66,[22]Лист_1!$A$8:$B$88,2,0)</f>
        <v>132500</v>
      </c>
      <c r="J66" s="359">
        <f>VLOOKUP(B66,[23]Лист_1!$A$1:$C$65536,3,0)</f>
        <v>114550</v>
      </c>
      <c r="K66" s="359">
        <f>VLOOKUP(B66,[24]Лист_1!$A$1:$B$65536,2,0)</f>
        <v>126000</v>
      </c>
      <c r="L66" s="359">
        <f>VLOOKUP(B66,[25]Лист_1!$A$1:$E$65536,5,0)</f>
        <v>153050</v>
      </c>
      <c r="M66" s="359">
        <f>VLOOKUP(B66,[26]Лист_1!$A$6:$B$71,2,0)</f>
        <v>137450</v>
      </c>
      <c r="N66" s="359">
        <f>VLOOKUP(B66,[27]ноябрь!$A$1:$B$65536,2,0)</f>
        <v>122350</v>
      </c>
      <c r="O66" s="106">
        <f>SUM(D66:N66)/11</f>
        <v>125245.45454545454</v>
      </c>
      <c r="P66" s="326">
        <f>SUM(I66:N66)/6</f>
        <v>130983.33333333333</v>
      </c>
      <c r="Q66" s="399"/>
    </row>
    <row r="67" spans="1:18">
      <c r="A67" s="89">
        <f t="shared" si="2"/>
        <v>64</v>
      </c>
      <c r="B67" s="282" t="s">
        <v>286</v>
      </c>
      <c r="C67" s="281" t="s">
        <v>144</v>
      </c>
      <c r="D67" s="359">
        <v>8262</v>
      </c>
      <c r="E67" s="360">
        <v>0</v>
      </c>
      <c r="F67" s="359">
        <v>22259</v>
      </c>
      <c r="G67" s="359">
        <v>30130</v>
      </c>
      <c r="H67" s="359">
        <v>47380</v>
      </c>
      <c r="I67" s="359">
        <f>VLOOKUP(B67,[22]Лист_1!$A$8:$B$88,2,0)</f>
        <v>55660</v>
      </c>
      <c r="J67" s="359">
        <v>0</v>
      </c>
      <c r="K67" s="359">
        <v>0</v>
      </c>
      <c r="L67" s="359">
        <f>VLOOKUP(B67,[25]Лист_1!$A$1:$E$65536,5,0)</f>
        <v>64262</v>
      </c>
      <c r="N67" s="359">
        <f>VLOOKUP(B67,[27]ноябрь!$A$1:$B$65536,2,0)</f>
        <v>54303</v>
      </c>
      <c r="O67" s="106">
        <f>SUM(D67:N67)/11</f>
        <v>25659.636363636364</v>
      </c>
      <c r="P67" s="326">
        <f>SUM(I67:N67)/6</f>
        <v>29037.5</v>
      </c>
      <c r="Q67" s="399"/>
    </row>
    <row r="68" spans="1:18" s="294" customFormat="1" ht="14.4" customHeight="1">
      <c r="A68" s="290">
        <f t="shared" si="2"/>
        <v>65</v>
      </c>
      <c r="B68" s="291" t="s">
        <v>97</v>
      </c>
      <c r="C68" s="295" t="s">
        <v>97</v>
      </c>
      <c r="D68" s="361">
        <v>178425.5</v>
      </c>
      <c r="E68" s="362">
        <v>358279.05</v>
      </c>
      <c r="F68" s="361">
        <v>501883.61</v>
      </c>
      <c r="G68" s="361">
        <v>279325.36000000004</v>
      </c>
      <c r="H68" s="361">
        <v>305755.49999999994</v>
      </c>
      <c r="I68" s="361">
        <f>VLOOKUP(B68,[22]Лист_1!$A$8:$B$88,2,0)</f>
        <v>342316.7</v>
      </c>
      <c r="J68" s="361">
        <f>VLOOKUP(B68,[23]Лист_1!$A$1:$C$65536,3,0)</f>
        <v>216224.5</v>
      </c>
      <c r="K68" s="361">
        <f>VLOOKUP(B68,[24]Лист_1!$A$1:$B$65536,2,0)</f>
        <v>124220.2</v>
      </c>
      <c r="L68" s="361">
        <v>0</v>
      </c>
      <c r="M68" s="361"/>
      <c r="N68" s="361"/>
      <c r="O68" s="313"/>
      <c r="P68" s="326"/>
      <c r="Q68" s="398">
        <f>SUM(D68:P68)/8</f>
        <v>288303.80249999999</v>
      </c>
      <c r="R68" s="388">
        <f>Q68*4</f>
        <v>1153215.21</v>
      </c>
    </row>
    <row r="69" spans="1:18" s="294" customFormat="1">
      <c r="A69" s="290">
        <f t="shared" si="2"/>
        <v>66</v>
      </c>
      <c r="B69" s="291" t="s">
        <v>287</v>
      </c>
      <c r="C69" s="295" t="s">
        <v>145</v>
      </c>
      <c r="D69" s="361">
        <v>160160</v>
      </c>
      <c r="E69" s="362">
        <v>261536</v>
      </c>
      <c r="F69" s="361">
        <v>263296</v>
      </c>
      <c r="G69" s="361">
        <v>174240</v>
      </c>
      <c r="H69" s="361">
        <v>0</v>
      </c>
      <c r="I69" s="361">
        <v>0</v>
      </c>
      <c r="J69" s="361">
        <v>0</v>
      </c>
      <c r="K69" s="361">
        <v>0</v>
      </c>
      <c r="L69" s="361">
        <v>0</v>
      </c>
      <c r="M69" s="361"/>
      <c r="N69" s="361"/>
      <c r="O69" s="313"/>
      <c r="P69" s="326"/>
      <c r="Q69" s="398">
        <f>SUM(D69:P69)/4</f>
        <v>214808</v>
      </c>
      <c r="R69" s="388">
        <f>Q69*8</f>
        <v>1718464</v>
      </c>
    </row>
    <row r="70" spans="1:18" s="294" customFormat="1">
      <c r="A70" s="290">
        <f t="shared" si="2"/>
        <v>67</v>
      </c>
      <c r="B70" s="291" t="s">
        <v>288</v>
      </c>
      <c r="C70" s="295" t="s">
        <v>100</v>
      </c>
      <c r="D70" s="361">
        <v>256314.5</v>
      </c>
      <c r="E70" s="362">
        <v>136158</v>
      </c>
      <c r="F70" s="361">
        <v>8000</v>
      </c>
      <c r="G70" s="361">
        <v>93228.5</v>
      </c>
      <c r="H70" s="361">
        <v>8000</v>
      </c>
      <c r="I70" s="361">
        <f>VLOOKUP(B70,[22]Лист_1!$A$8:$B$88,2,0)</f>
        <v>8000</v>
      </c>
      <c r="J70" s="361">
        <f>VLOOKUP(B70,[23]Лист_1!$A$1:$C$65536,3,0)</f>
        <v>8000</v>
      </c>
      <c r="K70" s="361">
        <f>VLOOKUP(B70,[24]Лист_1!$A$1:$B$65536,2,0)</f>
        <v>8000</v>
      </c>
      <c r="L70" s="361">
        <f>VLOOKUP(B70,[25]Лист_1!$A$1:$E$65536,5,0)</f>
        <v>8000</v>
      </c>
      <c r="M70" s="361">
        <f>VLOOKUP(B70,[26]Лист_1!$A$6:$B$71,2,0)</f>
        <v>8000</v>
      </c>
      <c r="N70" s="361">
        <f>VLOOKUP(B70,[27]ноябрь!$A$1:$B$65536,2,0)</f>
        <v>8000</v>
      </c>
      <c r="O70" s="313"/>
      <c r="P70" s="326"/>
      <c r="Q70" s="398"/>
      <c r="R70" s="388"/>
    </row>
    <row r="71" spans="1:18">
      <c r="A71" s="89">
        <f t="shared" si="2"/>
        <v>68</v>
      </c>
      <c r="B71" s="282" t="s">
        <v>289</v>
      </c>
      <c r="C71" s="281" t="s">
        <v>92</v>
      </c>
      <c r="D71" s="359">
        <v>237290</v>
      </c>
      <c r="E71" s="360">
        <v>406232.25</v>
      </c>
      <c r="F71" s="359">
        <v>304600.84000000003</v>
      </c>
      <c r="G71" s="359">
        <v>182360</v>
      </c>
      <c r="H71" s="359">
        <v>333751.78999999998</v>
      </c>
      <c r="I71" s="359">
        <f>VLOOKUP(B71,[22]Лист_1!$A$8:$B$88,2,0)+28613.66+33740</f>
        <v>250388.66</v>
      </c>
      <c r="J71" s="359">
        <f>VLOOKUP(B71,[23]Лист_1!$A$1:$C$65536,3,0)</f>
        <v>279873.33</v>
      </c>
      <c r="K71" s="359">
        <f>VLOOKUP(B71,[24]Лист_1!$A$1:$B$65536,2,0)</f>
        <v>277020.77</v>
      </c>
      <c r="L71" s="359">
        <f>VLOOKUP(B71,[25]Лист_1!$A$1:$E$65536,5,0)</f>
        <v>385285.32</v>
      </c>
      <c r="M71" s="359">
        <f>VLOOKUP(B71,[26]Лист_1!$A$6:$B$71,2,0)</f>
        <v>359145.04</v>
      </c>
      <c r="N71" s="359">
        <f>VLOOKUP(B71,[27]ноябрь!$A$1:$B$65536,2,0)</f>
        <v>231428.28</v>
      </c>
      <c r="O71" s="106">
        <f>SUM(D71:N71)/11</f>
        <v>295216.02545454545</v>
      </c>
      <c r="P71" s="326">
        <f>SUM(I71:N71)/6</f>
        <v>297190.23333333334</v>
      </c>
      <c r="Q71" s="399"/>
    </row>
    <row r="72" spans="1:18">
      <c r="A72" s="89">
        <f t="shared" si="2"/>
        <v>69</v>
      </c>
      <c r="B72" s="282" t="s">
        <v>549</v>
      </c>
      <c r="C72" s="281" t="s">
        <v>102</v>
      </c>
      <c r="D72" s="359">
        <v>56250</v>
      </c>
      <c r="E72" s="360">
        <v>66300</v>
      </c>
      <c r="F72" s="359">
        <v>81950</v>
      </c>
      <c r="G72" s="359">
        <v>81800</v>
      </c>
      <c r="H72" s="359">
        <v>59050</v>
      </c>
      <c r="I72" s="359">
        <f>VLOOKUP(B72,[22]Лист_1!$A$8:$B$88,2,0)</f>
        <v>84750</v>
      </c>
      <c r="J72" s="359">
        <f>VLOOKUP(B72,[23]Лист_1!$A$1:$C$65536,3,0)</f>
        <v>59050</v>
      </c>
      <c r="K72" s="359">
        <f>VLOOKUP(B72,[24]Лист_1!$A$1:$B$65536,2,0)</f>
        <v>59050</v>
      </c>
      <c r="L72" s="359">
        <f>VLOOKUP(B72,[25]Лист_1!$A$1:$E$65536,5,0)</f>
        <v>59050</v>
      </c>
      <c r="N72" s="359">
        <f>VLOOKUP(B72,[27]ноябрь!$A$1:$B$65536,2,0)</f>
        <v>59050</v>
      </c>
      <c r="O72" s="106">
        <f>SUM(D72:N72)/11</f>
        <v>60572.727272727272</v>
      </c>
      <c r="P72" s="326">
        <f>SUM(I72:N72)/6</f>
        <v>53491.666666666664</v>
      </c>
      <c r="Q72" s="399"/>
    </row>
    <row r="73" spans="1:18" s="294" customFormat="1">
      <c r="A73" s="290">
        <f t="shared" si="2"/>
        <v>70</v>
      </c>
      <c r="B73" s="291" t="s">
        <v>290</v>
      </c>
      <c r="C73" s="295" t="s">
        <v>146</v>
      </c>
      <c r="D73" s="361">
        <v>91975</v>
      </c>
      <c r="E73" s="362">
        <v>255800</v>
      </c>
      <c r="F73" s="361">
        <v>424887.5</v>
      </c>
      <c r="G73" s="361">
        <v>616225</v>
      </c>
      <c r="H73" s="361">
        <v>614780</v>
      </c>
      <c r="I73" s="361">
        <v>505760</v>
      </c>
      <c r="J73" s="361">
        <f>VLOOKUP(B73,[23]Лист_1!$A$1:$C$65536,3,0)</f>
        <v>486300</v>
      </c>
      <c r="K73" s="361">
        <f>VLOOKUP(B73,[24]Лист_1!$A$1:$B$65536,2,0)</f>
        <v>503810</v>
      </c>
      <c r="L73" s="361">
        <v>735055</v>
      </c>
      <c r="M73" s="361"/>
      <c r="N73" s="361"/>
      <c r="O73" s="313"/>
      <c r="P73" s="330"/>
      <c r="Q73" s="398">
        <f>SUM(D73:L73)/9</f>
        <v>470510.27777777775</v>
      </c>
      <c r="R73" s="388">
        <f>Q73*3</f>
        <v>1411530.8333333333</v>
      </c>
    </row>
    <row r="74" spans="1:18" s="294" customFormat="1">
      <c r="A74" s="290">
        <f t="shared" si="2"/>
        <v>71</v>
      </c>
      <c r="B74" s="291" t="s">
        <v>292</v>
      </c>
      <c r="C74" s="295" t="s">
        <v>147</v>
      </c>
      <c r="D74" s="361">
        <v>0</v>
      </c>
      <c r="E74" s="362">
        <v>0</v>
      </c>
      <c r="F74" s="361">
        <v>0</v>
      </c>
      <c r="G74" s="361">
        <v>0</v>
      </c>
      <c r="H74" s="361">
        <v>0</v>
      </c>
      <c r="I74" s="361"/>
      <c r="J74" s="361">
        <v>0</v>
      </c>
      <c r="K74" s="361">
        <v>0</v>
      </c>
      <c r="L74" s="361">
        <v>0</v>
      </c>
      <c r="M74" s="361"/>
      <c r="N74" s="361"/>
      <c r="O74" s="313"/>
      <c r="P74" s="326"/>
      <c r="Q74" s="398"/>
      <c r="R74" s="388"/>
    </row>
    <row r="75" spans="1:18" s="294" customFormat="1">
      <c r="A75" s="290">
        <f t="shared" si="2"/>
        <v>72</v>
      </c>
      <c r="B75" s="291" t="s">
        <v>293</v>
      </c>
      <c r="C75" s="295" t="s">
        <v>148</v>
      </c>
      <c r="D75" s="361">
        <v>0</v>
      </c>
      <c r="E75" s="362">
        <v>0</v>
      </c>
      <c r="F75" s="361">
        <v>0</v>
      </c>
      <c r="G75" s="361">
        <v>0</v>
      </c>
      <c r="H75" s="361">
        <v>0</v>
      </c>
      <c r="I75" s="361"/>
      <c r="J75" s="361">
        <v>0</v>
      </c>
      <c r="K75" s="361">
        <v>0</v>
      </c>
      <c r="L75" s="361">
        <f>VLOOKUP(B75,[25]Лист_1!$A$1:$E$65536,5,0)</f>
        <v>99040</v>
      </c>
      <c r="M75" s="361"/>
      <c r="N75" s="361">
        <f>VLOOKUP(B75,[27]ноябрь!$A$1:$B$65536,2,0)</f>
        <v>2872.32</v>
      </c>
      <c r="O75" s="313"/>
      <c r="P75" s="326"/>
      <c r="Q75" s="398"/>
      <c r="R75" s="388"/>
    </row>
    <row r="76" spans="1:18">
      <c r="A76" s="89">
        <f t="shared" si="2"/>
        <v>73</v>
      </c>
      <c r="B76" s="282" t="s">
        <v>326</v>
      </c>
      <c r="C76" s="281" t="s">
        <v>149</v>
      </c>
      <c r="D76" s="359">
        <v>178420</v>
      </c>
      <c r="E76" s="360">
        <v>141800</v>
      </c>
      <c r="F76" s="359">
        <v>160700</v>
      </c>
      <c r="G76" s="359">
        <v>180000</v>
      </c>
      <c r="H76" s="359">
        <v>158800</v>
      </c>
      <c r="I76" s="359">
        <f>VLOOKUP(B76,[22]Лист_1!$A$8:$B$88,2,0)</f>
        <v>109250</v>
      </c>
      <c r="J76" s="359">
        <f>VLOOKUP(B76,[23]Лист_1!$A$1:$C$65536,3,0)</f>
        <v>107200</v>
      </c>
      <c r="K76" s="359">
        <f>VLOOKUP(B76,[24]Лист_1!$A$1:$B$65536,2,0)</f>
        <v>80850</v>
      </c>
      <c r="L76" s="359">
        <f>VLOOKUP(B76,[25]Лист_1!$A$1:$E$65536,5,0)</f>
        <v>79950</v>
      </c>
      <c r="M76" s="359">
        <f>VLOOKUP(B76,[26]Лист_1!$A$6:$B$71,2,0)</f>
        <v>137300</v>
      </c>
      <c r="N76" s="359">
        <f>VLOOKUP(B76,[27]ноябрь!$A$1:$B$65536,2,0)</f>
        <v>171600</v>
      </c>
      <c r="O76" s="106">
        <f>SUM(D76:N76)/11</f>
        <v>136897.27272727274</v>
      </c>
      <c r="P76" s="326">
        <f>SUM(I76:N76)/6</f>
        <v>114358.33333333333</v>
      </c>
      <c r="Q76" s="399"/>
    </row>
    <row r="77" spans="1:18">
      <c r="A77" s="89">
        <f t="shared" si="2"/>
        <v>74</v>
      </c>
      <c r="B77" s="282" t="s">
        <v>327</v>
      </c>
      <c r="C77" s="281" t="s">
        <v>150</v>
      </c>
      <c r="D77" s="359">
        <v>192970</v>
      </c>
      <c r="E77" s="360">
        <v>161100</v>
      </c>
      <c r="F77" s="359">
        <v>232700</v>
      </c>
      <c r="G77" s="359">
        <v>252000</v>
      </c>
      <c r="H77" s="359">
        <v>185850</v>
      </c>
      <c r="I77" s="359">
        <f>VLOOKUP(B77,[22]Лист_1!$A$8:$B$88,2,0)</f>
        <v>115000</v>
      </c>
      <c r="J77" s="359">
        <f>VLOOKUP(B77,[23]Лист_1!$A$1:$C$65536,3,0)</f>
        <v>150900</v>
      </c>
      <c r="K77" s="359">
        <f>VLOOKUP(B77,[24]Лист_1!$A$1:$B$65536,2,0)</f>
        <v>121500</v>
      </c>
      <c r="L77" s="359">
        <f>VLOOKUP(B77,[25]Лист_1!$A$1:$E$65536,5,0)</f>
        <v>167700</v>
      </c>
      <c r="M77" s="359">
        <f>VLOOKUP(B77,[26]Лист_1!$A$6:$B$71,2,0)</f>
        <v>228100</v>
      </c>
      <c r="N77" s="359">
        <f>VLOOKUP(B77,[27]ноябрь!$A$1:$B$65536,2,0)</f>
        <v>292500</v>
      </c>
      <c r="O77" s="106">
        <f>SUM(D77:N77)/11</f>
        <v>190938.18181818182</v>
      </c>
      <c r="P77" s="326">
        <f>SUM(I77:N77)/6</f>
        <v>179283.33333333334</v>
      </c>
      <c r="Q77" s="399"/>
    </row>
    <row r="78" spans="1:18">
      <c r="A78" s="89">
        <f t="shared" si="2"/>
        <v>75</v>
      </c>
      <c r="B78" s="282" t="s">
        <v>294</v>
      </c>
      <c r="C78" s="282" t="s">
        <v>151</v>
      </c>
      <c r="D78" s="359">
        <v>0</v>
      </c>
      <c r="E78" s="360">
        <v>0</v>
      </c>
      <c r="F78" s="359">
        <v>0</v>
      </c>
      <c r="G78" s="359">
        <v>44067</v>
      </c>
      <c r="H78" s="359">
        <v>0</v>
      </c>
      <c r="I78" s="359">
        <f>VLOOKUP(B78,[22]Лист_1!$A$8:$B$88,2,0)</f>
        <v>30653</v>
      </c>
      <c r="J78" s="359">
        <f>VLOOKUP(B78,[23]Лист_1!$A$1:$C$65536,3,0)</f>
        <v>18094</v>
      </c>
      <c r="K78" s="359">
        <f>VLOOKUP(B78,[24]Лист_1!$A$1:$B$65536,2,0)</f>
        <v>34355</v>
      </c>
      <c r="L78" s="359">
        <v>0</v>
      </c>
      <c r="O78" s="106">
        <f>SUM(D78:N78)/4</f>
        <v>31792.25</v>
      </c>
      <c r="P78" s="326">
        <f>SUM(I78:N78)/3</f>
        <v>27700.666666666668</v>
      </c>
      <c r="Q78" s="399"/>
    </row>
    <row r="79" spans="1:18">
      <c r="A79" s="89">
        <f t="shared" si="2"/>
        <v>76</v>
      </c>
      <c r="B79" s="282" t="s">
        <v>296</v>
      </c>
      <c r="C79" s="281" t="s">
        <v>152</v>
      </c>
      <c r="D79" s="359">
        <v>142280</v>
      </c>
      <c r="E79" s="360">
        <v>316930</v>
      </c>
      <c r="F79" s="359">
        <v>368620</v>
      </c>
      <c r="G79" s="359">
        <v>359160</v>
      </c>
      <c r="H79" s="359">
        <v>250040</v>
      </c>
      <c r="I79" s="359">
        <f>VLOOKUP(B79,[22]Лист_1!$A$8:$B$88,2,0)</f>
        <v>201620</v>
      </c>
      <c r="J79" s="359">
        <f>VLOOKUP(B79,[23]Лист_1!$A$1:$C$65536,3,0)</f>
        <v>380830</v>
      </c>
      <c r="K79" s="359">
        <f>VLOOKUP(B79,[24]Лист_1!$A$1:$B$65536,2,0)</f>
        <v>383860</v>
      </c>
      <c r="L79" s="359">
        <f>VLOOKUP(B79,[25]Лист_1!$A$1:$E$65536,5,0)</f>
        <v>313780</v>
      </c>
      <c r="M79" s="359">
        <f>VLOOKUP(B79,[26]Лист_1!$A$6:$B$71,2,0)</f>
        <v>374310</v>
      </c>
      <c r="N79" s="359">
        <f>VLOOKUP(B79,[27]ноябрь!$A$1:$B$65536,2,0)</f>
        <v>461130</v>
      </c>
      <c r="O79" s="106">
        <f>SUM(D79:N79)/11</f>
        <v>322960</v>
      </c>
      <c r="P79" s="326">
        <f>SUM(I79:N79)/6</f>
        <v>352588.33333333331</v>
      </c>
      <c r="Q79" s="399"/>
    </row>
    <row r="80" spans="1:18" s="294" customFormat="1">
      <c r="A80" s="290">
        <f t="shared" si="2"/>
        <v>77</v>
      </c>
      <c r="B80" s="291" t="s">
        <v>297</v>
      </c>
      <c r="C80" s="291" t="s">
        <v>153</v>
      </c>
      <c r="D80" s="361">
        <v>10100</v>
      </c>
      <c r="E80" s="362">
        <v>0</v>
      </c>
      <c r="F80" s="361">
        <v>0</v>
      </c>
      <c r="G80" s="361">
        <v>0</v>
      </c>
      <c r="H80" s="361">
        <v>0</v>
      </c>
      <c r="I80" s="361"/>
      <c r="J80" s="361">
        <v>0</v>
      </c>
      <c r="K80" s="361">
        <v>0</v>
      </c>
      <c r="L80" s="361">
        <v>0</v>
      </c>
      <c r="M80" s="361"/>
      <c r="N80" s="361"/>
      <c r="O80" s="313"/>
      <c r="P80" s="326"/>
      <c r="Q80" s="398"/>
      <c r="R80" s="388"/>
    </row>
    <row r="81" spans="1:18">
      <c r="A81" s="89">
        <f t="shared" si="2"/>
        <v>78</v>
      </c>
      <c r="B81" s="282" t="s">
        <v>298</v>
      </c>
      <c r="C81" s="282" t="s">
        <v>154</v>
      </c>
      <c r="D81" s="359">
        <v>0</v>
      </c>
      <c r="E81" s="360">
        <v>185940</v>
      </c>
      <c r="F81" s="359">
        <v>49130</v>
      </c>
      <c r="G81" s="359">
        <v>31900</v>
      </c>
      <c r="H81" s="359">
        <v>29070</v>
      </c>
      <c r="I81" s="359">
        <f>VLOOKUP(B81,[22]Лист_1!$A$8:$B$88,2,0)</f>
        <v>93536</v>
      </c>
      <c r="J81" s="359">
        <f>VLOOKUP(B81,[23]Лист_1!$A$1:$C$65536,3,0)</f>
        <v>106150</v>
      </c>
      <c r="K81" s="359">
        <f>VLOOKUP(B81,[24]Лист_1!$A$1:$B$65536,2,0)</f>
        <v>99309</v>
      </c>
      <c r="L81" s="359">
        <f>VLOOKUP(B81,[25]Лист_1!$A$1:$E$65536,5,0)</f>
        <v>82761</v>
      </c>
      <c r="M81" s="359">
        <f>VLOOKUP(B81,[26]Лист_1!$A$6:$B$71,2,0)</f>
        <v>36980</v>
      </c>
      <c r="N81" s="359">
        <f>VLOOKUP(B81,[27]ноябрь!$A$1:$B$65536,2,0)</f>
        <v>65853</v>
      </c>
      <c r="O81" s="106">
        <f>SUM(D81:N81)/11</f>
        <v>70966.272727272721</v>
      </c>
      <c r="P81" s="326">
        <f>SUM(I81:N81)/6</f>
        <v>80764.833333333328</v>
      </c>
      <c r="Q81" s="399"/>
    </row>
    <row r="82" spans="1:18" s="294" customFormat="1" ht="15" customHeight="1">
      <c r="A82" s="290">
        <f t="shared" si="2"/>
        <v>79</v>
      </c>
      <c r="B82" s="291" t="s">
        <v>299</v>
      </c>
      <c r="C82" s="295" t="s">
        <v>155</v>
      </c>
      <c r="D82" s="361">
        <v>0</v>
      </c>
      <c r="E82" s="362">
        <v>0</v>
      </c>
      <c r="F82" s="361">
        <v>0</v>
      </c>
      <c r="G82" s="361">
        <v>0</v>
      </c>
      <c r="H82" s="361">
        <v>0</v>
      </c>
      <c r="I82" s="361"/>
      <c r="J82" s="361">
        <v>0</v>
      </c>
      <c r="K82" s="361">
        <v>0</v>
      </c>
      <c r="L82" s="361">
        <v>0</v>
      </c>
      <c r="M82" s="361"/>
      <c r="N82" s="361"/>
      <c r="O82" s="313"/>
      <c r="P82" s="326"/>
      <c r="Q82" s="398"/>
      <c r="R82" s="388"/>
    </row>
    <row r="83" spans="1:18" s="294" customFormat="1">
      <c r="A83" s="290">
        <f t="shared" si="2"/>
        <v>80</v>
      </c>
      <c r="B83" s="291" t="s">
        <v>295</v>
      </c>
      <c r="C83" s="295" t="s">
        <v>91</v>
      </c>
      <c r="D83" s="361">
        <v>315330</v>
      </c>
      <c r="E83" s="362">
        <v>591870</v>
      </c>
      <c r="F83" s="361">
        <v>521560</v>
      </c>
      <c r="G83" s="361">
        <v>523020</v>
      </c>
      <c r="H83" s="361">
        <v>522470</v>
      </c>
      <c r="I83" s="361">
        <f>VLOOKUP(B83,[22]Лист_1!$A$8:$B$88,2,0)</f>
        <v>618240</v>
      </c>
      <c r="J83" s="361">
        <f>VLOOKUP(B83,[23]Лист_1!$A$1:$C$65536,3,0)</f>
        <v>428350</v>
      </c>
      <c r="K83" s="361">
        <f>VLOOKUP(B83,[24]Лист_1!$A$1:$B$65536,2,0)</f>
        <v>653360</v>
      </c>
      <c r="L83" s="361">
        <f>VLOOKUP(B83,[25]Лист_1!$A$1:$E$65536,5,0)</f>
        <v>410620</v>
      </c>
      <c r="M83" s="361">
        <f>VLOOKUP(B83,[26]Лист_1!$A$6:$B$71,2,0)</f>
        <v>364441</v>
      </c>
      <c r="N83" s="361">
        <f>VLOOKUP(B83,[27]ноябрь!$A$1:$B$65536,2,0)</f>
        <v>335184</v>
      </c>
      <c r="O83" s="313"/>
      <c r="P83" s="326"/>
      <c r="Q83" s="398">
        <f>SUM(D83:P83)/11</f>
        <v>480404.09090909088</v>
      </c>
      <c r="R83" s="388">
        <f>Q83*1</f>
        <v>480404.09090909088</v>
      </c>
    </row>
    <row r="84" spans="1:18" s="294" customFormat="1">
      <c r="A84" s="290">
        <f t="shared" si="2"/>
        <v>81</v>
      </c>
      <c r="B84" s="291" t="s">
        <v>257</v>
      </c>
      <c r="C84" s="295" t="s">
        <v>156</v>
      </c>
      <c r="D84" s="361"/>
      <c r="E84" s="362">
        <v>103700</v>
      </c>
      <c r="F84" s="361">
        <v>134140</v>
      </c>
      <c r="G84" s="361">
        <v>136610</v>
      </c>
      <c r="H84" s="361">
        <v>85768</v>
      </c>
      <c r="I84" s="361">
        <f>VLOOKUP(B84,[22]Лист_1!$A$8:$B$88,2,0)</f>
        <v>112632</v>
      </c>
      <c r="J84" s="361">
        <f>VLOOKUP(B84,[23]Лист_1!$A$1:$C$65536,3,0)</f>
        <v>132420</v>
      </c>
      <c r="K84" s="361">
        <v>0</v>
      </c>
      <c r="L84" s="361">
        <v>0</v>
      </c>
      <c r="M84" s="361"/>
      <c r="N84" s="361"/>
      <c r="O84" s="313"/>
      <c r="P84" s="326"/>
      <c r="Q84" s="398">
        <f>SUM(D84:P84)/6</f>
        <v>117545</v>
      </c>
      <c r="R84" s="388">
        <f>Q84*6</f>
        <v>705270</v>
      </c>
    </row>
    <row r="85" spans="1:18" s="294" customFormat="1">
      <c r="A85" s="290">
        <f t="shared" si="2"/>
        <v>82</v>
      </c>
      <c r="B85" s="291" t="s">
        <v>300</v>
      </c>
      <c r="C85" s="295" t="s">
        <v>101</v>
      </c>
      <c r="D85" s="361">
        <v>294281.62</v>
      </c>
      <c r="E85" s="362">
        <v>114805.12</v>
      </c>
      <c r="F85" s="361">
        <v>290816.15999999997</v>
      </c>
      <c r="G85" s="361">
        <v>87002.68</v>
      </c>
      <c r="H85" s="361">
        <v>245491</v>
      </c>
      <c r="I85" s="361">
        <v>99538.04</v>
      </c>
      <c r="J85" s="361">
        <f>VLOOKUP(B85,[23]Лист_1!$A$1:$C$65536,3,0)</f>
        <v>86052.41</v>
      </c>
      <c r="K85" s="361">
        <f>VLOOKUP(B85,[24]Лист_1!$A$1:$B$65536,2,0)+156225.06</f>
        <v>544342.05000000005</v>
      </c>
      <c r="L85" s="361">
        <f>VLOOKUP(B85,[25]Лист_1!$A$1:$E$65536,5,0)</f>
        <v>303760.08</v>
      </c>
      <c r="M85" s="361">
        <v>105022.23</v>
      </c>
      <c r="N85" s="361">
        <f>VLOOKUP(B85,[27]ноябрь!$A$1:$B$65536,2,0)</f>
        <v>109742.01</v>
      </c>
      <c r="O85" s="313"/>
      <c r="P85" s="326"/>
      <c r="Q85" s="398">
        <f>SUM(D85:P85)/11</f>
        <v>207350.30909090908</v>
      </c>
      <c r="R85" s="388">
        <f>Q85*1</f>
        <v>207350.30909090908</v>
      </c>
    </row>
    <row r="86" spans="1:18" s="294" customFormat="1">
      <c r="A86" s="290">
        <f t="shared" si="2"/>
        <v>83</v>
      </c>
      <c r="B86" s="291" t="s">
        <v>302</v>
      </c>
      <c r="C86" s="291" t="s">
        <v>157</v>
      </c>
      <c r="D86" s="361">
        <v>0</v>
      </c>
      <c r="E86" s="362">
        <v>0</v>
      </c>
      <c r="F86" s="361">
        <v>0</v>
      </c>
      <c r="G86" s="361">
        <v>0</v>
      </c>
      <c r="H86" s="361">
        <v>0</v>
      </c>
      <c r="I86" s="361"/>
      <c r="J86" s="361">
        <v>0</v>
      </c>
      <c r="K86" s="361">
        <v>0</v>
      </c>
      <c r="L86" s="361">
        <v>0</v>
      </c>
      <c r="M86" s="361"/>
      <c r="N86" s="361"/>
      <c r="O86" s="313"/>
      <c r="P86" s="326"/>
      <c r="Q86" s="398"/>
      <c r="R86" s="388"/>
    </row>
    <row r="87" spans="1:18" s="294" customFormat="1">
      <c r="A87" s="290">
        <f t="shared" si="2"/>
        <v>84</v>
      </c>
      <c r="B87" s="291"/>
      <c r="C87" s="291" t="s">
        <v>93</v>
      </c>
      <c r="D87" s="361"/>
      <c r="E87" s="362">
        <v>0</v>
      </c>
      <c r="F87" s="361">
        <v>0</v>
      </c>
      <c r="G87" s="361">
        <v>0</v>
      </c>
      <c r="H87" s="361">
        <v>0</v>
      </c>
      <c r="I87" s="361"/>
      <c r="J87" s="361">
        <v>0</v>
      </c>
      <c r="K87" s="361">
        <v>0</v>
      </c>
      <c r="L87" s="361">
        <v>0</v>
      </c>
      <c r="M87" s="361"/>
      <c r="N87" s="361"/>
      <c r="O87" s="313"/>
      <c r="P87" s="326"/>
      <c r="Q87" s="398"/>
      <c r="R87" s="388"/>
    </row>
    <row r="88" spans="1:18" s="294" customFormat="1">
      <c r="A88" s="290">
        <f t="shared" si="2"/>
        <v>85</v>
      </c>
      <c r="B88" s="291"/>
      <c r="C88" s="295" t="s">
        <v>94</v>
      </c>
      <c r="D88" s="361"/>
      <c r="E88" s="362">
        <v>0</v>
      </c>
      <c r="F88" s="361">
        <v>0</v>
      </c>
      <c r="G88" s="361">
        <v>0</v>
      </c>
      <c r="H88" s="361">
        <v>0</v>
      </c>
      <c r="I88" s="361"/>
      <c r="J88" s="361">
        <v>0</v>
      </c>
      <c r="K88" s="361">
        <v>0</v>
      </c>
      <c r="L88" s="361">
        <v>0</v>
      </c>
      <c r="M88" s="361"/>
      <c r="N88" s="361"/>
      <c r="O88" s="313"/>
      <c r="P88" s="326"/>
      <c r="Q88" s="398"/>
      <c r="R88" s="388"/>
    </row>
    <row r="89" spans="1:18">
      <c r="A89" s="89">
        <f t="shared" si="2"/>
        <v>86</v>
      </c>
      <c r="B89" s="282" t="s">
        <v>301</v>
      </c>
      <c r="C89" s="281" t="s">
        <v>95</v>
      </c>
      <c r="D89" s="359">
        <v>0</v>
      </c>
      <c r="E89" s="360">
        <v>10400</v>
      </c>
      <c r="F89" s="359">
        <v>41600</v>
      </c>
      <c r="G89" s="359">
        <v>62400</v>
      </c>
      <c r="H89" s="359">
        <v>10400</v>
      </c>
      <c r="I89" s="359">
        <f>VLOOKUP(B89,[22]Лист_1!$A$8:$B$88,2,0)</f>
        <v>10400</v>
      </c>
      <c r="J89" s="359">
        <f>VLOOKUP(B89,[23]Лист_1!$A$1:$C$65536,3,0)</f>
        <v>20800</v>
      </c>
      <c r="K89" s="359">
        <v>0</v>
      </c>
      <c r="L89" s="359">
        <v>0</v>
      </c>
      <c r="M89" s="359">
        <f>VLOOKUP(B89,[26]Лист_1!$A$6:$B$71,2,0)</f>
        <v>15600</v>
      </c>
      <c r="O89" s="106">
        <f>SUM(D89:N89)/11</f>
        <v>15600</v>
      </c>
      <c r="P89" s="326">
        <f>SUM(I89:N89)/3</f>
        <v>15600</v>
      </c>
      <c r="Q89" s="399"/>
    </row>
    <row r="90" spans="1:18">
      <c r="A90" s="89">
        <f t="shared" si="2"/>
        <v>87</v>
      </c>
      <c r="B90" s="282" t="s">
        <v>303</v>
      </c>
      <c r="C90" s="281" t="s">
        <v>96</v>
      </c>
      <c r="D90" s="359">
        <v>25560</v>
      </c>
      <c r="E90" s="360">
        <v>19880</v>
      </c>
      <c r="F90" s="359">
        <v>27080</v>
      </c>
      <c r="G90" s="359">
        <v>14200</v>
      </c>
      <c r="H90" s="359">
        <v>20880</v>
      </c>
      <c r="I90" s="359">
        <f>VLOOKUP(B90,[22]Лист_1!$A$8:$B$88,2,0)</f>
        <v>9940</v>
      </c>
      <c r="J90" s="359">
        <v>0</v>
      </c>
      <c r="K90" s="359">
        <v>0</v>
      </c>
      <c r="L90" s="359">
        <f>VLOOKUP(B90,[25]Лист_1!$A$1:$E$65536,5,0)</f>
        <v>17425</v>
      </c>
      <c r="M90" s="359">
        <f>VLOOKUP(B90,[26]Лист_1!$A$6:$B$71,2,0)</f>
        <v>22250</v>
      </c>
      <c r="N90" s="359">
        <f>VLOOKUP(B90,[27]ноябрь!$A$1:$B$65536,2,0)</f>
        <v>110400</v>
      </c>
      <c r="O90" s="106">
        <f>SUM(D90:N90)/11</f>
        <v>24328.636363636364</v>
      </c>
      <c r="P90" s="326">
        <f>SUM(I90:N90)/6</f>
        <v>26669.166666666668</v>
      </c>
      <c r="Q90" s="399"/>
    </row>
    <row r="91" spans="1:18" s="294" customFormat="1">
      <c r="A91" s="290">
        <f t="shared" si="2"/>
        <v>88</v>
      </c>
      <c r="B91" s="291"/>
      <c r="C91" s="295" t="s">
        <v>109</v>
      </c>
      <c r="D91" s="361"/>
      <c r="E91" s="362">
        <v>0</v>
      </c>
      <c r="F91" s="361">
        <v>0</v>
      </c>
      <c r="G91" s="361">
        <v>0</v>
      </c>
      <c r="H91" s="361">
        <v>0</v>
      </c>
      <c r="I91" s="361"/>
      <c r="J91" s="361">
        <v>0</v>
      </c>
      <c r="K91" s="361">
        <v>0</v>
      </c>
      <c r="L91" s="361">
        <v>0</v>
      </c>
      <c r="M91" s="361"/>
      <c r="N91" s="361"/>
      <c r="O91" s="313"/>
      <c r="P91" s="326"/>
      <c r="Q91" s="398"/>
      <c r="R91" s="388"/>
    </row>
    <row r="92" spans="1:18" s="294" customFormat="1">
      <c r="A92" s="290">
        <f t="shared" si="2"/>
        <v>89</v>
      </c>
      <c r="B92" s="291"/>
      <c r="C92" s="291" t="s">
        <v>158</v>
      </c>
      <c r="D92" s="361"/>
      <c r="E92" s="362">
        <v>0</v>
      </c>
      <c r="F92" s="361">
        <v>0</v>
      </c>
      <c r="G92" s="361">
        <v>0</v>
      </c>
      <c r="H92" s="361">
        <v>0</v>
      </c>
      <c r="I92" s="361"/>
      <c r="J92" s="361">
        <v>0</v>
      </c>
      <c r="K92" s="361">
        <v>0</v>
      </c>
      <c r="L92" s="361">
        <v>0</v>
      </c>
      <c r="M92" s="361"/>
      <c r="N92" s="361"/>
      <c r="O92" s="313"/>
      <c r="P92" s="326"/>
      <c r="Q92" s="398"/>
      <c r="R92" s="388"/>
    </row>
    <row r="93" spans="1:18">
      <c r="A93" s="89">
        <f t="shared" si="2"/>
        <v>90</v>
      </c>
      <c r="B93" s="282" t="s">
        <v>266</v>
      </c>
      <c r="C93" s="282" t="s">
        <v>159</v>
      </c>
      <c r="E93" s="360">
        <v>132594</v>
      </c>
      <c r="F93" s="359">
        <v>149919</v>
      </c>
      <c r="G93" s="359">
        <v>155778</v>
      </c>
      <c r="H93" s="359">
        <v>121113</v>
      </c>
      <c r="I93" s="359">
        <f>VLOOKUP(B93,[22]Лист_1!$A$8:$B$88,2,0)</f>
        <v>103845</v>
      </c>
      <c r="J93" s="359">
        <f>VLOOKUP(B93,[23]Лист_1!$A$1:$C$65536,3,0)</f>
        <v>178857</v>
      </c>
      <c r="K93" s="359">
        <f>VLOOKUP(B93,[24]Лист_1!$A$1:$B$65536,2,0)</f>
        <v>134547</v>
      </c>
      <c r="L93" s="359">
        <f>VLOOKUP(B93,[25]Лист_1!$A$1:$E$65536,5,0)</f>
        <v>155610</v>
      </c>
      <c r="M93" s="359">
        <f>VLOOKUP(B93,[26]Лист_1!$A$6:$B$71,2,0)</f>
        <v>179865</v>
      </c>
      <c r="N93" s="359">
        <f>VLOOKUP(B93,[27]ноябрь!$A$1:$B$65536,2,0)</f>
        <v>169008</v>
      </c>
      <c r="O93" s="106">
        <f>SUM(D93:N93)/11</f>
        <v>134648.72727272726</v>
      </c>
      <c r="P93" s="326">
        <f>SUM(I93:N93)/6</f>
        <v>153622</v>
      </c>
      <c r="Q93" s="399"/>
    </row>
    <row r="94" spans="1:18">
      <c r="A94" s="89">
        <f t="shared" si="2"/>
        <v>91</v>
      </c>
      <c r="B94" s="282" t="s">
        <v>291</v>
      </c>
      <c r="C94" s="281" t="s">
        <v>103</v>
      </c>
      <c r="D94" s="359">
        <v>114875</v>
      </c>
      <c r="E94" s="360">
        <v>114875</v>
      </c>
      <c r="F94" s="359">
        <v>114875</v>
      </c>
      <c r="G94" s="359">
        <v>114875</v>
      </c>
      <c r="H94" s="359">
        <v>114875</v>
      </c>
      <c r="I94" s="359">
        <f>VLOOKUP(B94,[22]Лист_1!$A$8:$B$88,2,0)</f>
        <v>114875</v>
      </c>
      <c r="J94" s="359">
        <f>VLOOKUP(B94,[23]Лист_1!$A$1:$C$65536,3,0)</f>
        <v>114875</v>
      </c>
      <c r="K94" s="359">
        <f>VLOOKUP(B94,[24]Лист_1!$A$1:$B$65536,2,0)</f>
        <v>114875</v>
      </c>
      <c r="L94" s="359">
        <f>VLOOKUP(B94,[25]Лист_1!$A$1:$E$65536,5,0)</f>
        <v>114875</v>
      </c>
      <c r="M94" s="359">
        <f>VLOOKUP(B94,[26]Лист_1!$A$6:$B$71,2,0)</f>
        <v>114875</v>
      </c>
      <c r="N94" s="359">
        <f>VLOOKUP(B94,[27]ноябрь!$A$1:$B$65536,2,0)</f>
        <v>114875</v>
      </c>
      <c r="O94" s="106">
        <f>SUM(D94:N94)/11</f>
        <v>114875</v>
      </c>
      <c r="P94" s="326">
        <f>SUM(I94:N94)/6</f>
        <v>114875</v>
      </c>
      <c r="Q94" s="399"/>
    </row>
    <row r="95" spans="1:18" s="294" customFormat="1">
      <c r="A95" s="290">
        <f t="shared" si="2"/>
        <v>92</v>
      </c>
      <c r="B95" s="291" t="s">
        <v>304</v>
      </c>
      <c r="C95" s="295" t="s">
        <v>160</v>
      </c>
      <c r="D95" s="361">
        <v>49500</v>
      </c>
      <c r="E95" s="362">
        <v>73785</v>
      </c>
      <c r="F95" s="361">
        <v>35928</v>
      </c>
      <c r="G95" s="361">
        <v>0</v>
      </c>
      <c r="H95" s="361">
        <v>0</v>
      </c>
      <c r="I95" s="361"/>
      <c r="J95" s="361">
        <v>0</v>
      </c>
      <c r="K95" s="361">
        <v>0</v>
      </c>
      <c r="L95" s="361">
        <v>0</v>
      </c>
      <c r="M95" s="361"/>
      <c r="N95" s="361"/>
      <c r="O95" s="313"/>
      <c r="P95" s="326"/>
      <c r="Q95" s="398">
        <f>SUM(D95:P95)/3</f>
        <v>53071</v>
      </c>
      <c r="R95" s="388">
        <f>Q95*9</f>
        <v>477639</v>
      </c>
    </row>
    <row r="96" spans="1:18">
      <c r="A96" s="89">
        <f t="shared" si="2"/>
        <v>93</v>
      </c>
      <c r="B96" s="282" t="s">
        <v>305</v>
      </c>
      <c r="C96" s="283" t="s">
        <v>161</v>
      </c>
      <c r="D96" s="359">
        <v>150150</v>
      </c>
      <c r="E96" s="360">
        <v>64350</v>
      </c>
      <c r="F96" s="359">
        <v>0</v>
      </c>
      <c r="G96" s="359">
        <v>9900</v>
      </c>
      <c r="H96" s="359">
        <v>0</v>
      </c>
      <c r="J96" s="359">
        <v>0</v>
      </c>
      <c r="K96" s="359">
        <f>VLOOKUP(B96,[24]Лист_1!$A$1:$B$65536,2,0)</f>
        <v>168300</v>
      </c>
      <c r="L96" s="359">
        <f>VLOOKUP(B96,[25]Лист_1!$A$1:$E$65536,5,0)</f>
        <v>277220</v>
      </c>
      <c r="M96" s="359">
        <f>VLOOKUP(B96,[26]Лист_1!$A$6:$B$71,2,0)</f>
        <v>377725</v>
      </c>
      <c r="N96" s="359">
        <v>307470</v>
      </c>
      <c r="O96" s="106">
        <f>SUM(D96:N96)/7</f>
        <v>193587.85714285713</v>
      </c>
      <c r="P96" s="326">
        <f>SUM(I96:N96)/4</f>
        <v>282678.75</v>
      </c>
      <c r="Q96" s="399"/>
    </row>
    <row r="97" spans="1:19">
      <c r="A97" s="89">
        <f t="shared" si="2"/>
        <v>94</v>
      </c>
      <c r="B97" s="282" t="s">
        <v>331</v>
      </c>
      <c r="C97" s="281"/>
      <c r="D97" s="359">
        <v>26400</v>
      </c>
      <c r="E97" s="360">
        <v>57200</v>
      </c>
      <c r="F97" s="359">
        <v>39600</v>
      </c>
      <c r="G97" s="359">
        <v>35200</v>
      </c>
      <c r="H97" s="359">
        <v>15400</v>
      </c>
      <c r="J97" s="359">
        <f>VLOOKUP(B97,[23]Лист_1!$A$1:$C$65536,3,0)</f>
        <v>17908</v>
      </c>
      <c r="K97" s="359">
        <f>VLOOKUP(B97,[24]Лист_1!$A$1:$B$65536,2,0)</f>
        <v>22880</v>
      </c>
      <c r="L97" s="359">
        <f>VLOOKUP(B97,[25]Лист_1!$A$1:$E$65536,5,0)</f>
        <v>40546</v>
      </c>
      <c r="M97" s="359">
        <f>VLOOKUP(B97,[26]Лист_1!$A$6:$B$71,2,0)</f>
        <v>52228</v>
      </c>
      <c r="N97" s="359">
        <f>VLOOKUP(B97,[27]ноябрь!$A$1:$B$65536,2,0)</f>
        <v>82522</v>
      </c>
      <c r="O97" s="106">
        <f>SUM(D97:N97)/11</f>
        <v>35444</v>
      </c>
      <c r="P97" s="326">
        <f>SUM(I97:N97)/6</f>
        <v>36014</v>
      </c>
      <c r="Q97" s="399"/>
    </row>
    <row r="98" spans="1:19" s="294" customFormat="1">
      <c r="A98" s="290">
        <f t="shared" si="2"/>
        <v>95</v>
      </c>
      <c r="B98" s="291" t="s">
        <v>332</v>
      </c>
      <c r="C98" s="295"/>
      <c r="D98" s="361">
        <v>50650</v>
      </c>
      <c r="E98" s="362">
        <v>0</v>
      </c>
      <c r="F98" s="361">
        <v>0</v>
      </c>
      <c r="G98" s="361">
        <v>0</v>
      </c>
      <c r="H98" s="361">
        <v>0</v>
      </c>
      <c r="I98" s="361"/>
      <c r="J98" s="361">
        <v>0</v>
      </c>
      <c r="K98" s="361">
        <v>0</v>
      </c>
      <c r="L98" s="361">
        <v>0</v>
      </c>
      <c r="M98" s="361"/>
      <c r="N98" s="361"/>
      <c r="O98" s="313"/>
      <c r="P98" s="326"/>
      <c r="Q98" s="398"/>
      <c r="R98" s="388"/>
    </row>
    <row r="99" spans="1:19" s="294" customFormat="1">
      <c r="A99" s="290">
        <f t="shared" si="2"/>
        <v>96</v>
      </c>
      <c r="B99" s="291" t="s">
        <v>437</v>
      </c>
      <c r="C99" s="295"/>
      <c r="D99" s="361"/>
      <c r="E99" s="362">
        <v>1447.5</v>
      </c>
      <c r="F99" s="361">
        <v>1447.5</v>
      </c>
      <c r="G99" s="361">
        <v>1447.5</v>
      </c>
      <c r="H99" s="361">
        <v>1447.5</v>
      </c>
      <c r="I99" s="361">
        <f>VLOOKUP(B99,[22]Лист_1!$A$8:$B$88,2,0)</f>
        <v>1447.5</v>
      </c>
      <c r="J99" s="361">
        <v>0</v>
      </c>
      <c r="K99" s="361">
        <f>VLOOKUP(B99,[24]Лист_1!$A$1:$B$65536,2,0)</f>
        <v>2895</v>
      </c>
      <c r="L99" s="361">
        <f>VLOOKUP(B99,[25]Лист_1!$A$1:$E$65536,5,0)</f>
        <v>1447.5</v>
      </c>
      <c r="M99" s="361">
        <f>VLOOKUP(B99,[26]Лист_1!$A$6:$B$71,2,0)</f>
        <v>1447.5</v>
      </c>
      <c r="N99" s="361">
        <f>VLOOKUP(B99,[27]ноябрь!$A$1:$B$65536,2,0)</f>
        <v>1447.5</v>
      </c>
      <c r="O99" s="313"/>
      <c r="P99" s="326"/>
      <c r="Q99" s="398"/>
      <c r="R99" s="388"/>
    </row>
    <row r="100" spans="1:19" s="294" customFormat="1">
      <c r="A100" s="290">
        <f t="shared" si="2"/>
        <v>97</v>
      </c>
      <c r="B100" s="291" t="s">
        <v>333</v>
      </c>
      <c r="C100" s="295" t="s">
        <v>334</v>
      </c>
      <c r="D100" s="361">
        <v>293600</v>
      </c>
      <c r="E100" s="362">
        <v>0</v>
      </c>
      <c r="F100" s="361">
        <v>0</v>
      </c>
      <c r="G100" s="361">
        <v>0</v>
      </c>
      <c r="H100" s="361">
        <v>0</v>
      </c>
      <c r="I100" s="361"/>
      <c r="J100" s="361">
        <v>0</v>
      </c>
      <c r="K100" s="361">
        <v>0</v>
      </c>
      <c r="L100" s="361">
        <v>0</v>
      </c>
      <c r="M100" s="361"/>
      <c r="N100" s="361"/>
      <c r="O100" s="313"/>
      <c r="P100" s="326"/>
      <c r="Q100" s="398"/>
      <c r="R100" s="388"/>
    </row>
    <row r="101" spans="1:19" s="294" customFormat="1">
      <c r="A101" s="290">
        <f t="shared" si="2"/>
        <v>98</v>
      </c>
      <c r="B101" s="291" t="s">
        <v>441</v>
      </c>
      <c r="C101" s="295"/>
      <c r="D101" s="361"/>
      <c r="E101" s="362">
        <v>12660</v>
      </c>
      <c r="F101" s="361">
        <v>0</v>
      </c>
      <c r="G101" s="361">
        <v>0</v>
      </c>
      <c r="H101" s="361">
        <v>0</v>
      </c>
      <c r="I101" s="361"/>
      <c r="J101" s="361">
        <v>0</v>
      </c>
      <c r="K101" s="361">
        <v>0</v>
      </c>
      <c r="L101" s="361">
        <v>0</v>
      </c>
      <c r="M101" s="361"/>
      <c r="N101" s="361"/>
      <c r="O101" s="313"/>
      <c r="P101" s="326"/>
      <c r="Q101" s="398"/>
      <c r="R101" s="388"/>
    </row>
    <row r="102" spans="1:19" s="294" customFormat="1">
      <c r="A102" s="290">
        <f t="shared" si="2"/>
        <v>99</v>
      </c>
      <c r="B102" s="291" t="s">
        <v>442</v>
      </c>
      <c r="C102" s="309" t="s">
        <v>443</v>
      </c>
      <c r="D102" s="361"/>
      <c r="E102" s="362">
        <v>4400</v>
      </c>
      <c r="F102" s="361">
        <v>0</v>
      </c>
      <c r="G102" s="361">
        <v>10800</v>
      </c>
      <c r="H102" s="361">
        <v>0</v>
      </c>
      <c r="I102" s="361"/>
      <c r="J102" s="361">
        <v>0</v>
      </c>
      <c r="K102" s="361">
        <v>0</v>
      </c>
      <c r="L102" s="361">
        <v>0</v>
      </c>
      <c r="M102" s="361"/>
      <c r="N102" s="361"/>
      <c r="O102" s="313"/>
      <c r="P102" s="326"/>
      <c r="Q102" s="398"/>
      <c r="R102" s="388"/>
    </row>
    <row r="103" spans="1:19" s="294" customFormat="1">
      <c r="A103" s="290">
        <f t="shared" si="2"/>
        <v>100</v>
      </c>
      <c r="B103" s="291" t="s">
        <v>470</v>
      </c>
      <c r="C103" s="309" t="s">
        <v>471</v>
      </c>
      <c r="D103" s="361"/>
      <c r="E103" s="362"/>
      <c r="F103" s="361">
        <v>129559.2</v>
      </c>
      <c r="G103" s="361">
        <v>0</v>
      </c>
      <c r="H103" s="361">
        <v>0</v>
      </c>
      <c r="I103" s="361"/>
      <c r="J103" s="361">
        <v>0</v>
      </c>
      <c r="K103" s="361">
        <v>0</v>
      </c>
      <c r="L103" s="361">
        <v>0</v>
      </c>
      <c r="M103" s="361"/>
      <c r="N103" s="361"/>
      <c r="O103" s="313"/>
      <c r="P103" s="326"/>
      <c r="Q103" s="398"/>
      <c r="R103" s="388"/>
    </row>
    <row r="104" spans="1:19" s="294" customFormat="1">
      <c r="A104" s="290">
        <f t="shared" si="2"/>
        <v>101</v>
      </c>
      <c r="B104" s="291" t="s">
        <v>474</v>
      </c>
      <c r="C104" s="309" t="s">
        <v>475</v>
      </c>
      <c r="D104" s="361"/>
      <c r="E104" s="362"/>
      <c r="F104" s="361">
        <v>15750</v>
      </c>
      <c r="G104" s="361">
        <v>24750</v>
      </c>
      <c r="H104" s="361">
        <v>0</v>
      </c>
      <c r="I104" s="361"/>
      <c r="J104" s="361">
        <v>0</v>
      </c>
      <c r="K104" s="361">
        <v>0</v>
      </c>
      <c r="L104" s="361">
        <v>0</v>
      </c>
      <c r="M104" s="361"/>
      <c r="N104" s="361"/>
      <c r="O104" s="313"/>
      <c r="P104" s="326"/>
      <c r="Q104" s="398"/>
      <c r="R104" s="388"/>
    </row>
    <row r="105" spans="1:19" s="294" customFormat="1" ht="12.75" customHeight="1">
      <c r="A105" s="290">
        <f t="shared" si="2"/>
        <v>102</v>
      </c>
      <c r="B105" s="291"/>
      <c r="C105" s="309"/>
      <c r="D105" s="361"/>
      <c r="E105" s="362"/>
      <c r="F105" s="361"/>
      <c r="G105" s="361"/>
      <c r="H105" s="361">
        <v>0</v>
      </c>
      <c r="I105" s="361"/>
      <c r="J105" s="361">
        <v>0</v>
      </c>
      <c r="K105" s="361">
        <v>0</v>
      </c>
      <c r="L105" s="361">
        <v>0</v>
      </c>
      <c r="M105" s="361"/>
      <c r="N105" s="361"/>
      <c r="O105" s="313"/>
      <c r="P105" s="326"/>
      <c r="Q105" s="398"/>
      <c r="R105" s="388"/>
    </row>
    <row r="106" spans="1:19" s="294" customFormat="1" ht="13.2" customHeight="1">
      <c r="A106" s="290">
        <f t="shared" si="2"/>
        <v>103</v>
      </c>
      <c r="B106" s="291"/>
      <c r="C106" s="309"/>
      <c r="D106" s="361"/>
      <c r="E106" s="362"/>
      <c r="F106" s="361"/>
      <c r="G106" s="361"/>
      <c r="H106" s="361">
        <v>0</v>
      </c>
      <c r="I106" s="361"/>
      <c r="J106" s="361">
        <v>0</v>
      </c>
      <c r="K106" s="361"/>
      <c r="L106" s="361">
        <v>0</v>
      </c>
      <c r="M106" s="361"/>
      <c r="N106" s="361"/>
      <c r="O106" s="313"/>
      <c r="P106" s="326"/>
      <c r="Q106" s="398"/>
      <c r="R106" s="388"/>
    </row>
    <row r="107" spans="1:19" ht="14.4" thickBot="1">
      <c r="B107" s="282" t="s">
        <v>307</v>
      </c>
      <c r="C107" s="285" t="s">
        <v>58</v>
      </c>
      <c r="D107" s="359">
        <v>1031372.5</v>
      </c>
      <c r="E107" s="360">
        <v>1328962.3600000001</v>
      </c>
      <c r="F107" s="359">
        <v>839700</v>
      </c>
      <c r="G107" s="359">
        <v>661800</v>
      </c>
      <c r="H107" s="359">
        <v>757600</v>
      </c>
      <c r="I107" s="359">
        <f>VLOOKUP(B107,[22]Лист_1!$A$8:$B$88,2,0)</f>
        <v>524100</v>
      </c>
      <c r="J107" s="359">
        <f>VLOOKUP(B107,[23]Лист_1!$A$1:$C$65536,3,0)</f>
        <v>480900</v>
      </c>
      <c r="K107" s="359">
        <f>VLOOKUP(B107,[24]Лист_1!$A$1:$C$65536,2,0)</f>
        <v>279932</v>
      </c>
      <c r="L107" s="359">
        <f>VLOOKUP(B107,[25]Лист_1!$A$1:$E$65536,5,0)</f>
        <v>446200</v>
      </c>
      <c r="M107" s="359">
        <f>VLOOKUP(B107,[26]Лист_1!$A$8:$B$71,2,0)</f>
        <v>459800</v>
      </c>
      <c r="N107" s="359">
        <f>VLOOKUP(B107,[27]ноябрь!$A$1:$B$65536,2,0)</f>
        <v>562500</v>
      </c>
      <c r="O107" s="106">
        <f>SUM(D107:N107)/11</f>
        <v>670260.62363636366</v>
      </c>
      <c r="P107" s="326">
        <f>SUM(I107:N107)/6</f>
        <v>458905.33333333331</v>
      </c>
      <c r="Q107" s="399"/>
      <c r="S107" s="33">
        <f>SUM(D107:O107)</f>
        <v>8043127.4836363643</v>
      </c>
    </row>
    <row r="108" spans="1:19" s="294" customFormat="1" ht="14.4" thickBot="1">
      <c r="A108" s="290"/>
      <c r="B108" s="291" t="s">
        <v>308</v>
      </c>
      <c r="C108" s="310" t="s">
        <v>72</v>
      </c>
      <c r="D108" s="361">
        <v>171600</v>
      </c>
      <c r="E108" s="362">
        <v>0</v>
      </c>
      <c r="F108" s="361">
        <v>38912.69</v>
      </c>
      <c r="G108" s="361">
        <v>114840</v>
      </c>
      <c r="H108" s="361">
        <v>112200</v>
      </c>
      <c r="I108" s="361"/>
      <c r="J108" s="361">
        <f>VLOOKUP(B108,[23]Лист_1!$A$1:$C$65536,3,0)</f>
        <v>112200</v>
      </c>
      <c r="K108" s="361">
        <v>0</v>
      </c>
      <c r="L108" s="361">
        <v>0</v>
      </c>
      <c r="M108" s="361"/>
      <c r="N108" s="361"/>
      <c r="O108" s="313"/>
      <c r="P108" s="326"/>
      <c r="Q108" s="398"/>
      <c r="R108" s="388"/>
    </row>
    <row r="109" spans="1:19" ht="14.4" thickBot="1">
      <c r="B109" s="282" t="s">
        <v>306</v>
      </c>
      <c r="C109" s="286" t="s">
        <v>76</v>
      </c>
      <c r="D109" s="359">
        <v>403240</v>
      </c>
      <c r="E109" s="360">
        <v>0</v>
      </c>
      <c r="F109" s="359">
        <v>236340</v>
      </c>
      <c r="G109" s="359">
        <v>374300</v>
      </c>
      <c r="H109" s="359">
        <v>184200</v>
      </c>
      <c r="I109" s="359">
        <f>74700+10050</f>
        <v>84750</v>
      </c>
      <c r="J109" s="359">
        <v>36150</v>
      </c>
      <c r="K109" s="359">
        <v>74700</v>
      </c>
      <c r="M109" s="359">
        <f>87000+43500</f>
        <v>130500</v>
      </c>
      <c r="N109" s="359">
        <v>65700</v>
      </c>
      <c r="O109" s="106">
        <f>SUM(D109:N109)/9</f>
        <v>176653.33333333334</v>
      </c>
      <c r="P109" s="326">
        <f>SUM(I109:N109)/5</f>
        <v>78360</v>
      </c>
      <c r="Q109" s="399"/>
      <c r="S109" s="33">
        <f>SUM(D109:O109)</f>
        <v>1766533.3333333333</v>
      </c>
    </row>
    <row r="110" spans="1:19" s="308" customFormat="1" ht="14.4" thickBot="1">
      <c r="A110" s="303"/>
      <c r="B110" s="304"/>
      <c r="C110" s="331" t="s">
        <v>82</v>
      </c>
      <c r="D110" s="366"/>
      <c r="E110" s="367">
        <v>68000</v>
      </c>
      <c r="F110" s="366">
        <v>0</v>
      </c>
      <c r="G110" s="366"/>
      <c r="H110" s="366"/>
      <c r="I110" s="366"/>
      <c r="J110" s="366">
        <v>0</v>
      </c>
      <c r="K110" s="366">
        <v>0</v>
      </c>
      <c r="L110" s="366">
        <v>0</v>
      </c>
      <c r="M110" s="366"/>
      <c r="N110" s="366"/>
      <c r="O110" s="314"/>
      <c r="P110" s="329"/>
      <c r="Q110" s="400"/>
      <c r="R110" s="391"/>
    </row>
    <row r="111" spans="1:19" s="308" customFormat="1">
      <c r="A111" s="303"/>
      <c r="B111" s="304" t="s">
        <v>457</v>
      </c>
      <c r="C111" s="304" t="s">
        <v>237</v>
      </c>
      <c r="D111" s="366"/>
      <c r="E111" s="368">
        <v>0</v>
      </c>
      <c r="F111" s="369">
        <v>104007</v>
      </c>
      <c r="G111" s="369">
        <v>0</v>
      </c>
      <c r="H111" s="366"/>
      <c r="I111" s="366"/>
      <c r="J111" s="369">
        <v>0</v>
      </c>
      <c r="K111" s="366">
        <v>0</v>
      </c>
      <c r="L111" s="369">
        <v>0</v>
      </c>
      <c r="M111" s="369"/>
      <c r="N111" s="369"/>
      <c r="O111" s="314"/>
      <c r="P111" s="329"/>
      <c r="Q111" s="400"/>
      <c r="R111" s="391"/>
    </row>
    <row r="112" spans="1:19">
      <c r="B112" s="282" t="s">
        <v>502</v>
      </c>
      <c r="C112" s="282" t="s">
        <v>190</v>
      </c>
      <c r="E112" s="370">
        <v>0</v>
      </c>
      <c r="F112" s="371">
        <v>0</v>
      </c>
      <c r="G112" s="372">
        <v>1323425</v>
      </c>
      <c r="H112" s="359">
        <v>1633037</v>
      </c>
      <c r="I112" s="359">
        <f>VLOOKUP(B112,[22]Лист_1!$A$8:$B$88,2,0)+176750+192325</f>
        <v>429525</v>
      </c>
      <c r="J112" s="371">
        <f>VLOOKUP(B112,[23]Лист_1!$A$1:$C$65536,3,0)+643225</f>
        <v>1467487</v>
      </c>
      <c r="K112" s="359">
        <f>VLOOKUP(B112,[24]Лист_1!$A$1:$B$65536,2,0)+868529</f>
        <v>1380944</v>
      </c>
      <c r="L112" s="371">
        <f>VLOOKUP(B112,[25]Лист_1!$A$1:$E$65536,5,0)+618975</f>
        <v>1639925</v>
      </c>
      <c r="M112" s="371">
        <f>VLOOKUP(B112,[26]Лист_1!$A$8:$B$71,2,0)+187262+624200</f>
        <v>1364162</v>
      </c>
      <c r="N112" s="371">
        <f>2502388+771003+144596</f>
        <v>3417987</v>
      </c>
      <c r="O112" s="106">
        <f>SUM(D112:N112)/8</f>
        <v>1582061.5</v>
      </c>
      <c r="P112" s="326">
        <f>SUM(I112:N112)/6</f>
        <v>1616671.6666666667</v>
      </c>
      <c r="Q112" s="399"/>
      <c r="S112" s="33">
        <f>SUM(G112:N112)</f>
        <v>12656492</v>
      </c>
    </row>
    <row r="113" spans="1:19" s="294" customFormat="1">
      <c r="A113" s="290" t="s">
        <v>163</v>
      </c>
      <c r="B113" s="291" t="s">
        <v>310</v>
      </c>
      <c r="C113" s="291" t="s">
        <v>191</v>
      </c>
      <c r="D113" s="361"/>
      <c r="E113" s="373">
        <v>0</v>
      </c>
      <c r="F113" s="374">
        <v>0</v>
      </c>
      <c r="G113" s="374">
        <v>0</v>
      </c>
      <c r="H113" s="361"/>
      <c r="I113" s="361"/>
      <c r="J113" s="374">
        <v>0</v>
      </c>
      <c r="K113" s="361">
        <v>0</v>
      </c>
      <c r="L113" s="374">
        <v>0</v>
      </c>
      <c r="M113" s="374"/>
      <c r="N113" s="374"/>
      <c r="O113" s="313"/>
      <c r="P113" s="326"/>
      <c r="Q113" s="398"/>
      <c r="R113" s="388"/>
    </row>
    <row r="114" spans="1:19" s="294" customFormat="1">
      <c r="A114" s="290"/>
      <c r="B114" s="291"/>
      <c r="C114" s="291" t="s">
        <v>192</v>
      </c>
      <c r="D114" s="361"/>
      <c r="E114" s="373">
        <v>0</v>
      </c>
      <c r="F114" s="374">
        <v>0</v>
      </c>
      <c r="G114" s="374">
        <v>0</v>
      </c>
      <c r="H114" s="361"/>
      <c r="I114" s="361"/>
      <c r="J114" s="374">
        <v>0</v>
      </c>
      <c r="K114" s="361">
        <v>0</v>
      </c>
      <c r="L114" s="374">
        <v>0</v>
      </c>
      <c r="M114" s="374"/>
      <c r="N114" s="374"/>
      <c r="O114" s="313"/>
      <c r="P114" s="326"/>
      <c r="Q114" s="398"/>
      <c r="R114" s="388"/>
    </row>
    <row r="115" spans="1:19" s="308" customFormat="1">
      <c r="A115" s="303"/>
      <c r="B115" s="304" t="s">
        <v>500</v>
      </c>
      <c r="C115" s="304" t="s">
        <v>193</v>
      </c>
      <c r="D115" s="366"/>
      <c r="E115" s="368">
        <v>0</v>
      </c>
      <c r="F115" s="369">
        <v>0</v>
      </c>
      <c r="G115" s="369">
        <v>80773</v>
      </c>
      <c r="H115" s="366"/>
      <c r="I115" s="366"/>
      <c r="J115" s="369">
        <v>0</v>
      </c>
      <c r="K115" s="366">
        <v>0</v>
      </c>
      <c r="L115" s="369">
        <v>0</v>
      </c>
      <c r="M115" s="369"/>
      <c r="N115" s="369"/>
      <c r="O115" s="314"/>
      <c r="P115" s="329"/>
      <c r="Q115" s="400"/>
      <c r="R115" s="391"/>
    </row>
    <row r="116" spans="1:19" s="308" customFormat="1">
      <c r="A116" s="303"/>
      <c r="B116" s="304" t="s">
        <v>613</v>
      </c>
      <c r="C116" s="304" t="s">
        <v>196</v>
      </c>
      <c r="D116" s="366"/>
      <c r="E116" s="368">
        <v>0</v>
      </c>
      <c r="F116" s="369">
        <v>0</v>
      </c>
      <c r="G116" s="369">
        <v>0</v>
      </c>
      <c r="H116" s="366"/>
      <c r="I116" s="366"/>
      <c r="J116" s="369">
        <v>0</v>
      </c>
      <c r="K116" s="366">
        <v>0</v>
      </c>
      <c r="L116" s="369">
        <v>0</v>
      </c>
      <c r="M116" s="369">
        <f>VLOOKUP(B116,[26]Лист_1!$A$8:$B$71,2,0)</f>
        <v>303950</v>
      </c>
      <c r="N116" s="369"/>
      <c r="O116" s="314"/>
      <c r="P116" s="329"/>
      <c r="Q116" s="400"/>
      <c r="R116" s="391"/>
    </row>
    <row r="117" spans="1:19" s="308" customFormat="1">
      <c r="A117" s="303"/>
      <c r="B117" s="304" t="s">
        <v>436</v>
      </c>
      <c r="C117" s="304"/>
      <c r="D117" s="366"/>
      <c r="E117" s="368">
        <v>100800</v>
      </c>
      <c r="F117" s="369">
        <v>0</v>
      </c>
      <c r="G117" s="369">
        <v>0</v>
      </c>
      <c r="H117" s="366"/>
      <c r="I117" s="366"/>
      <c r="J117" s="369">
        <v>0</v>
      </c>
      <c r="K117" s="366">
        <v>0</v>
      </c>
      <c r="L117" s="369">
        <v>0</v>
      </c>
      <c r="M117" s="369"/>
      <c r="N117" s="369"/>
      <c r="O117" s="314"/>
      <c r="P117" s="329"/>
      <c r="Q117" s="400"/>
      <c r="R117" s="391"/>
    </row>
    <row r="118" spans="1:19" s="308" customFormat="1" ht="12.75" customHeight="1">
      <c r="A118" s="303"/>
      <c r="B118" s="304" t="s">
        <v>438</v>
      </c>
      <c r="C118" s="304" t="s">
        <v>439</v>
      </c>
      <c r="D118" s="366"/>
      <c r="E118" s="368">
        <v>3860</v>
      </c>
      <c r="F118" s="369">
        <v>0</v>
      </c>
      <c r="G118" s="369">
        <v>0</v>
      </c>
      <c r="H118" s="366"/>
      <c r="I118" s="366"/>
      <c r="J118" s="369">
        <v>0</v>
      </c>
      <c r="K118" s="366">
        <v>0</v>
      </c>
      <c r="L118" s="369">
        <v>0</v>
      </c>
      <c r="M118" s="369"/>
      <c r="N118" s="369"/>
      <c r="O118" s="314"/>
      <c r="P118" s="329"/>
      <c r="Q118" s="400"/>
      <c r="R118" s="391"/>
    </row>
    <row r="119" spans="1:19">
      <c r="B119" s="282" t="s">
        <v>444</v>
      </c>
      <c r="C119" s="282" t="s">
        <v>445</v>
      </c>
      <c r="E119" s="375">
        <v>78366.789999999994</v>
      </c>
      <c r="F119" s="371">
        <v>150861</v>
      </c>
      <c r="G119" s="371">
        <v>100665.7</v>
      </c>
      <c r="H119" s="359">
        <v>158101</v>
      </c>
      <c r="I119" s="359">
        <v>81898</v>
      </c>
      <c r="J119" s="371">
        <v>86033</v>
      </c>
      <c r="K119" s="359">
        <v>106009</v>
      </c>
      <c r="L119" s="371">
        <v>110198</v>
      </c>
      <c r="M119" s="371">
        <v>83194</v>
      </c>
      <c r="N119" s="371">
        <v>100791</v>
      </c>
      <c r="O119" s="106">
        <f>SUM(D119:N119)/11</f>
        <v>96010.680909090908</v>
      </c>
      <c r="P119" s="326">
        <f>SUM(I119:N119)/6</f>
        <v>94687.166666666672</v>
      </c>
      <c r="Q119" s="399"/>
      <c r="S119" s="33">
        <f>SUM(E119:N119)</f>
        <v>1056117.49</v>
      </c>
    </row>
    <row r="120" spans="1:19" s="308" customFormat="1">
      <c r="A120" s="303"/>
      <c r="B120" s="304" t="s">
        <v>448</v>
      </c>
      <c r="C120" s="304"/>
      <c r="D120" s="366"/>
      <c r="E120" s="376">
        <v>70480</v>
      </c>
      <c r="F120" s="369">
        <v>0</v>
      </c>
      <c r="G120" s="369">
        <v>0</v>
      </c>
      <c r="H120" s="366"/>
      <c r="I120" s="366"/>
      <c r="J120" s="369">
        <v>0</v>
      </c>
      <c r="K120" s="366">
        <v>0</v>
      </c>
      <c r="L120" s="369">
        <v>0</v>
      </c>
      <c r="M120" s="369"/>
      <c r="N120" s="369"/>
      <c r="O120" s="314"/>
      <c r="P120" s="329"/>
      <c r="Q120" s="400"/>
      <c r="R120" s="391"/>
    </row>
    <row r="121" spans="1:19">
      <c r="A121" s="89" t="s">
        <v>163</v>
      </c>
      <c r="B121" s="282" t="s">
        <v>447</v>
      </c>
      <c r="C121" s="276" t="s">
        <v>480</v>
      </c>
      <c r="E121" s="360">
        <v>41989</v>
      </c>
      <c r="F121" s="371">
        <v>116564</v>
      </c>
      <c r="G121" s="371">
        <v>29141</v>
      </c>
      <c r="I121" s="359">
        <f>VLOOKUP(B121,[22]Лист_1!$A$8:$B$88,2,0)</f>
        <v>96513</v>
      </c>
      <c r="J121" s="371">
        <f>VLOOKUP(B121,[23]Лист_1!$A$1:$C$65536,3,0)</f>
        <v>95113</v>
      </c>
      <c r="K121" s="359">
        <f>VLOOKUP(B121,[24]Лист_1!$A$1:$B$65536,2,0)</f>
        <v>62082</v>
      </c>
      <c r="L121" s="371">
        <v>0</v>
      </c>
      <c r="M121" s="371"/>
      <c r="N121" s="371"/>
      <c r="O121" s="106">
        <f>SUM(D121:N121)/6</f>
        <v>73567</v>
      </c>
      <c r="P121" s="326">
        <f>SUM(I121:N121)/3</f>
        <v>84569.333333333328</v>
      </c>
      <c r="Q121" s="399"/>
      <c r="S121" s="33">
        <f>SUM(E121:N121)</f>
        <v>441402</v>
      </c>
    </row>
    <row r="122" spans="1:19" s="294" customFormat="1">
      <c r="A122" s="290"/>
      <c r="B122" s="291"/>
      <c r="C122" s="293" t="s">
        <v>449</v>
      </c>
      <c r="D122" s="361"/>
      <c r="E122" s="362"/>
      <c r="F122" s="374">
        <v>0</v>
      </c>
      <c r="G122" s="374">
        <v>0</v>
      </c>
      <c r="H122" s="361"/>
      <c r="I122" s="361"/>
      <c r="J122" s="374">
        <v>0</v>
      </c>
      <c r="K122" s="361">
        <v>0</v>
      </c>
      <c r="L122" s="374">
        <v>0</v>
      </c>
      <c r="M122" s="374"/>
      <c r="N122" s="374"/>
      <c r="O122" s="313"/>
      <c r="P122" s="330"/>
      <c r="Q122" s="398"/>
      <c r="R122" s="388"/>
    </row>
    <row r="123" spans="1:19" s="308" customFormat="1">
      <c r="A123" s="303"/>
      <c r="B123" s="304" t="s">
        <v>491</v>
      </c>
      <c r="C123" s="306"/>
      <c r="D123" s="366"/>
      <c r="E123" s="367"/>
      <c r="F123" s="369">
        <v>0</v>
      </c>
      <c r="G123" s="369">
        <v>246822</v>
      </c>
      <c r="H123" s="366"/>
      <c r="I123" s="366"/>
      <c r="J123" s="369">
        <v>0</v>
      </c>
      <c r="K123" s="366">
        <v>0</v>
      </c>
      <c r="L123" s="369">
        <v>0</v>
      </c>
      <c r="M123" s="369"/>
      <c r="N123" s="369"/>
      <c r="O123" s="314"/>
      <c r="P123" s="329"/>
      <c r="Q123" s="400"/>
      <c r="R123" s="391"/>
    </row>
    <row r="124" spans="1:19">
      <c r="B124" s="282" t="s">
        <v>497</v>
      </c>
      <c r="C124" s="276" t="s">
        <v>498</v>
      </c>
      <c r="F124" s="371">
        <v>0</v>
      </c>
      <c r="G124" s="371">
        <v>134785.62</v>
      </c>
      <c r="J124" s="371">
        <v>0</v>
      </c>
      <c r="K124" s="359">
        <v>0</v>
      </c>
      <c r="L124" s="371">
        <v>0</v>
      </c>
      <c r="M124" s="371"/>
      <c r="N124" s="371">
        <f>VLOOKUP(B124,[27]ноябрь!$A$1:$B$65536,2,0)</f>
        <v>33753</v>
      </c>
      <c r="O124" s="106">
        <f>SUM(D124:N124)/11</f>
        <v>15321.692727272726</v>
      </c>
      <c r="P124" s="326">
        <f>SUM(I124:N124)/2</f>
        <v>16876.5</v>
      </c>
      <c r="Q124" s="399"/>
      <c r="S124" s="33">
        <f>SUM(D124:N124)</f>
        <v>168538.62</v>
      </c>
    </row>
    <row r="125" spans="1:19">
      <c r="B125" s="282" t="s">
        <v>458</v>
      </c>
      <c r="C125" s="276" t="s">
        <v>459</v>
      </c>
      <c r="F125" s="371">
        <v>300000</v>
      </c>
      <c r="G125" s="371">
        <v>300000</v>
      </c>
      <c r="H125" s="359">
        <v>300000</v>
      </c>
      <c r="I125" s="359">
        <f>VLOOKUP(B125,[22]Лист_1!$A$8:$B$88,2,0)</f>
        <v>300000</v>
      </c>
      <c r="J125" s="371">
        <f>VLOOKUP(B125,[23]Лист_1!$A$1:$C$65536,3,0)</f>
        <v>300000</v>
      </c>
      <c r="K125" s="359">
        <f>VLOOKUP(B125,[24]Лист_1!$A$1:$B$65536,2,0)</f>
        <v>300000</v>
      </c>
      <c r="L125" s="359">
        <f>VLOOKUP(B125,[25]Лист_1!$A$1:$E$65536,5,0)</f>
        <v>300000</v>
      </c>
      <c r="M125" s="359">
        <f>VLOOKUP(B125,[26]Лист_1!$A$8:$B$71,2,0)</f>
        <v>300000</v>
      </c>
      <c r="N125" s="359">
        <f>VLOOKUP(B125,[27]ноябрь!$A$1:$B$65536,2,0)</f>
        <v>300000</v>
      </c>
      <c r="O125" s="106">
        <f>SUM(D125:N125)/11</f>
        <v>245454.54545454544</v>
      </c>
      <c r="P125" s="326">
        <f>SUM(I125:N125)/6</f>
        <v>300000</v>
      </c>
      <c r="Q125" s="399"/>
      <c r="S125" s="33">
        <f>SUM(F125:N125)</f>
        <v>2700000</v>
      </c>
    </row>
    <row r="126" spans="1:19" s="308" customFormat="1">
      <c r="A126" s="303"/>
      <c r="B126" s="304" t="s">
        <v>460</v>
      </c>
      <c r="C126" s="306" t="s">
        <v>461</v>
      </c>
      <c r="D126" s="366"/>
      <c r="E126" s="367"/>
      <c r="F126" s="369">
        <v>24925</v>
      </c>
      <c r="G126" s="369">
        <v>0</v>
      </c>
      <c r="H126" s="366"/>
      <c r="I126" s="366"/>
      <c r="J126" s="369">
        <v>0</v>
      </c>
      <c r="K126" s="366">
        <v>0</v>
      </c>
      <c r="L126" s="366">
        <v>0</v>
      </c>
      <c r="M126" s="366"/>
      <c r="N126" s="366"/>
      <c r="O126" s="314"/>
      <c r="P126" s="329"/>
      <c r="Q126" s="400"/>
      <c r="R126" s="391"/>
    </row>
    <row r="127" spans="1:19">
      <c r="B127" s="282" t="s">
        <v>462</v>
      </c>
      <c r="C127" s="276"/>
      <c r="F127" s="371">
        <v>134250</v>
      </c>
      <c r="G127" s="372">
        <v>0</v>
      </c>
      <c r="H127" s="359">
        <v>58700</v>
      </c>
      <c r="I127" s="359">
        <v>29900</v>
      </c>
      <c r="J127" s="371">
        <v>0</v>
      </c>
      <c r="K127" s="359">
        <v>0</v>
      </c>
      <c r="L127" s="359">
        <v>70600</v>
      </c>
      <c r="M127" s="359">
        <v>61450</v>
      </c>
      <c r="O127" s="106">
        <f>SUM(D127:N127)/11</f>
        <v>32263.636363636364</v>
      </c>
      <c r="P127" s="326">
        <f>SUM(I127:N127)/5</f>
        <v>32390</v>
      </c>
      <c r="Q127" s="399"/>
      <c r="S127" s="33">
        <f>SUM(F127:N127)</f>
        <v>354900</v>
      </c>
    </row>
    <row r="128" spans="1:19">
      <c r="B128" s="282" t="s">
        <v>487</v>
      </c>
      <c r="C128" s="276" t="s">
        <v>481</v>
      </c>
      <c r="F128" s="371"/>
      <c r="G128" s="371">
        <v>157008</v>
      </c>
      <c r="H128" s="359">
        <v>146250</v>
      </c>
      <c r="I128" s="359">
        <f>VLOOKUP(B128,[22]Лист_1!$A$8:$B$88,2,0)</f>
        <v>50625</v>
      </c>
      <c r="J128" s="371">
        <f>VLOOKUP(B128,[23]Лист_1!$A$1:$C$65536,3,0)</f>
        <v>234800</v>
      </c>
      <c r="K128" s="359">
        <f>VLOOKUP(B128,[24]Лист_1!$A$1:$B$65536,2,0)</f>
        <v>224075</v>
      </c>
      <c r="L128" s="359">
        <f>VLOOKUP(B128,[25]Лист_1!$A$1:$E$65536,5,0)</f>
        <v>199650</v>
      </c>
      <c r="M128" s="359">
        <f>VLOOKUP(B128,[26]Лист_1!$A$8:$B$71,2,0)</f>
        <v>113750</v>
      </c>
      <c r="N128" s="359">
        <f>VLOOKUP(B128,[27]ноябрь!$A$1:$B$65536,2,0)</f>
        <v>40175</v>
      </c>
      <c r="O128" s="106">
        <f>SUM(D128:N128)/11</f>
        <v>106030.27272727272</v>
      </c>
      <c r="P128" s="326">
        <f>SUM(I128:N128)/6</f>
        <v>143845.83333333334</v>
      </c>
      <c r="Q128" s="399"/>
      <c r="S128" s="33">
        <f>SUM(G128:N128)</f>
        <v>1166333</v>
      </c>
    </row>
    <row r="129" spans="1:19" s="308" customFormat="1">
      <c r="A129" s="303"/>
      <c r="B129" s="304" t="s">
        <v>489</v>
      </c>
      <c r="C129" s="306" t="s">
        <v>488</v>
      </c>
      <c r="D129" s="366"/>
      <c r="E129" s="367"/>
      <c r="F129" s="369"/>
      <c r="G129" s="369">
        <v>9000</v>
      </c>
      <c r="H129" s="366">
        <v>0</v>
      </c>
      <c r="I129" s="366">
        <v>0</v>
      </c>
      <c r="J129" s="369">
        <v>0</v>
      </c>
      <c r="K129" s="366">
        <v>0</v>
      </c>
      <c r="L129" s="366">
        <v>0</v>
      </c>
      <c r="M129" s="366"/>
      <c r="N129" s="366"/>
      <c r="O129" s="314"/>
      <c r="P129" s="329"/>
      <c r="Q129" s="400"/>
      <c r="R129" s="391"/>
    </row>
    <row r="130" spans="1:19" s="308" customFormat="1">
      <c r="A130" s="303"/>
      <c r="B130" s="304" t="s">
        <v>495</v>
      </c>
      <c r="C130" s="304" t="s">
        <v>496</v>
      </c>
      <c r="D130" s="366"/>
      <c r="E130" s="367"/>
      <c r="F130" s="369"/>
      <c r="G130" s="369">
        <v>15937</v>
      </c>
      <c r="H130" s="366">
        <v>3450</v>
      </c>
      <c r="I130" s="366"/>
      <c r="J130" s="369">
        <v>0</v>
      </c>
      <c r="K130" s="366">
        <f>VLOOKUP(B130,[24]Лист_1!$A$1:$B$65536,2,0)</f>
        <v>100000</v>
      </c>
      <c r="L130" s="366">
        <v>0</v>
      </c>
      <c r="M130" s="366"/>
      <c r="N130" s="366"/>
      <c r="O130" s="314"/>
      <c r="P130" s="329"/>
      <c r="Q130" s="400"/>
      <c r="R130" s="391"/>
    </row>
    <row r="131" spans="1:19" s="308" customFormat="1">
      <c r="A131" s="303"/>
      <c r="B131" s="304"/>
      <c r="C131" s="306" t="s">
        <v>511</v>
      </c>
      <c r="D131" s="366"/>
      <c r="E131" s="367"/>
      <c r="F131" s="369"/>
      <c r="G131" s="369">
        <v>0</v>
      </c>
      <c r="H131" s="366">
        <v>87367.41</v>
      </c>
      <c r="I131" s="366"/>
      <c r="J131" s="369">
        <v>0</v>
      </c>
      <c r="K131" s="366">
        <v>0</v>
      </c>
      <c r="L131" s="366">
        <v>0</v>
      </c>
      <c r="M131" s="366"/>
      <c r="N131" s="366"/>
      <c r="O131" s="314"/>
      <c r="P131" s="329"/>
      <c r="Q131" s="400"/>
      <c r="R131" s="391"/>
    </row>
    <row r="132" spans="1:19" s="308" customFormat="1">
      <c r="A132" s="303"/>
      <c r="B132" s="304" t="s">
        <v>554</v>
      </c>
      <c r="C132" s="306"/>
      <c r="D132" s="366"/>
      <c r="E132" s="367"/>
      <c r="F132" s="369"/>
      <c r="G132" s="369">
        <v>0</v>
      </c>
      <c r="H132" s="366"/>
      <c r="I132" s="366">
        <f>VLOOKUP(B132,[22]Лист_1!$A$8:$B$88,2,0)</f>
        <v>28797</v>
      </c>
      <c r="J132" s="369">
        <v>0</v>
      </c>
      <c r="K132" s="366">
        <v>0</v>
      </c>
      <c r="L132" s="366">
        <v>0</v>
      </c>
      <c r="M132" s="366"/>
      <c r="N132" s="366"/>
      <c r="O132" s="314"/>
      <c r="P132" s="329"/>
      <c r="Q132" s="400"/>
      <c r="R132" s="391"/>
    </row>
    <row r="133" spans="1:19" s="308" customFormat="1">
      <c r="A133" s="303"/>
      <c r="B133" s="304" t="s">
        <v>598</v>
      </c>
      <c r="C133" s="306"/>
      <c r="D133" s="366"/>
      <c r="E133" s="367"/>
      <c r="F133" s="369"/>
      <c r="G133" s="369">
        <v>0</v>
      </c>
      <c r="H133" s="366"/>
      <c r="I133" s="366"/>
      <c r="J133" s="369">
        <f>VLOOKUP(B133,[23]Лист_1!$A$1:$C$65536,3,0)</f>
        <v>20755</v>
      </c>
      <c r="K133" s="366">
        <v>0</v>
      </c>
      <c r="L133" s="366">
        <v>0</v>
      </c>
      <c r="M133" s="366"/>
      <c r="N133" s="366"/>
      <c r="O133" s="314"/>
      <c r="P133" s="329"/>
      <c r="Q133" s="400"/>
      <c r="R133" s="391"/>
    </row>
    <row r="134" spans="1:19">
      <c r="A134" s="76"/>
      <c r="B134" s="282" t="s">
        <v>599</v>
      </c>
      <c r="C134" s="276"/>
      <c r="F134" s="371"/>
      <c r="G134" s="371"/>
      <c r="J134" s="371">
        <v>507400</v>
      </c>
      <c r="K134" s="359">
        <v>0</v>
      </c>
      <c r="L134" s="359">
        <v>1912900</v>
      </c>
      <c r="O134" s="106">
        <f>SUM(D134:N134)/11</f>
        <v>220027.27272727274</v>
      </c>
      <c r="P134" s="326">
        <f>SUM(I134:N134)/4</f>
        <v>605075</v>
      </c>
      <c r="Q134" s="399"/>
      <c r="S134" s="33">
        <f>SUM(J134:L134)</f>
        <v>2420300</v>
      </c>
    </row>
    <row r="135" spans="1:19" s="308" customFormat="1">
      <c r="A135" s="307"/>
      <c r="B135" s="304" t="s">
        <v>602</v>
      </c>
      <c r="C135" s="306"/>
      <c r="D135" s="366"/>
      <c r="E135" s="367"/>
      <c r="F135" s="369"/>
      <c r="G135" s="369"/>
      <c r="H135" s="366"/>
      <c r="I135" s="366"/>
      <c r="J135" s="369"/>
      <c r="K135" s="366">
        <f>VLOOKUP(B135,[24]Лист_1!$A$1:$B$65536,2,0)</f>
        <v>120000</v>
      </c>
      <c r="L135" s="366">
        <v>0</v>
      </c>
      <c r="M135" s="366">
        <f>VLOOKUP(B135,[26]Лист_1!$A$8:$B$71,2,0)</f>
        <v>105000</v>
      </c>
      <c r="N135" s="366">
        <f>VLOOKUP(B135,[27]ноябрь!$A$1:$B$65536,2,0)</f>
        <v>215000</v>
      </c>
      <c r="O135" s="314"/>
      <c r="P135" s="329"/>
      <c r="Q135" s="400"/>
      <c r="R135" s="391"/>
    </row>
    <row r="136" spans="1:19" s="308" customFormat="1" ht="13.95" customHeight="1">
      <c r="A136" s="307"/>
      <c r="B136" s="304" t="s">
        <v>600</v>
      </c>
      <c r="C136" s="306" t="s">
        <v>623</v>
      </c>
      <c r="D136" s="366"/>
      <c r="E136" s="367"/>
      <c r="F136" s="369"/>
      <c r="G136" s="369"/>
      <c r="H136" s="366"/>
      <c r="I136" s="366"/>
      <c r="J136" s="369">
        <v>121132</v>
      </c>
      <c r="K136" s="366">
        <v>0</v>
      </c>
      <c r="L136" s="366">
        <v>0</v>
      </c>
      <c r="M136" s="366"/>
      <c r="N136" s="366"/>
      <c r="O136" s="314"/>
      <c r="P136" s="329"/>
      <c r="Q136" s="400"/>
      <c r="R136" s="391"/>
    </row>
    <row r="137" spans="1:19" s="308" customFormat="1" ht="13.95" customHeight="1">
      <c r="A137" s="307"/>
      <c r="B137" s="304" t="s">
        <v>614</v>
      </c>
      <c r="C137" s="306"/>
      <c r="D137" s="366"/>
      <c r="E137" s="367"/>
      <c r="F137" s="369"/>
      <c r="G137" s="369"/>
      <c r="H137" s="366"/>
      <c r="I137" s="366"/>
      <c r="J137" s="369"/>
      <c r="K137" s="366"/>
      <c r="L137" s="366"/>
      <c r="M137" s="366">
        <f>VLOOKUP(B137,[26]Лист_1!$A$8:$B$71,2,0)</f>
        <v>155225</v>
      </c>
      <c r="N137" s="366"/>
      <c r="O137" s="314"/>
      <c r="P137" s="329"/>
      <c r="Q137" s="400"/>
      <c r="R137" s="391"/>
    </row>
    <row r="138" spans="1:19" s="308" customFormat="1" ht="13.95" customHeight="1">
      <c r="A138" s="307"/>
      <c r="B138" s="304" t="s">
        <v>618</v>
      </c>
      <c r="C138" s="306"/>
      <c r="D138" s="366"/>
      <c r="E138" s="367"/>
      <c r="F138" s="369"/>
      <c r="G138" s="369"/>
      <c r="H138" s="366"/>
      <c r="I138" s="366"/>
      <c r="J138" s="369"/>
      <c r="K138" s="366"/>
      <c r="L138" s="366"/>
      <c r="M138" s="366"/>
      <c r="N138" s="366">
        <v>201260</v>
      </c>
      <c r="O138" s="314"/>
      <c r="P138" s="329"/>
      <c r="Q138" s="400"/>
      <c r="R138" s="391"/>
    </row>
    <row r="139" spans="1:19" s="308" customFormat="1" ht="13.95" customHeight="1">
      <c r="A139" s="307"/>
      <c r="B139" s="304" t="s">
        <v>616</v>
      </c>
      <c r="C139" s="306"/>
      <c r="D139" s="366"/>
      <c r="E139" s="367"/>
      <c r="F139" s="369"/>
      <c r="G139" s="369"/>
      <c r="H139" s="366"/>
      <c r="I139" s="366"/>
      <c r="J139" s="369"/>
      <c r="K139" s="366"/>
      <c r="L139" s="366"/>
      <c r="M139" s="366">
        <v>116525</v>
      </c>
      <c r="N139" s="366"/>
      <c r="O139" s="314"/>
      <c r="P139" s="329"/>
      <c r="Q139" s="400"/>
      <c r="R139" s="391"/>
    </row>
    <row r="140" spans="1:19" s="308" customFormat="1" ht="13.95" customHeight="1">
      <c r="A140" s="307"/>
      <c r="B140" s="304" t="s">
        <v>620</v>
      </c>
      <c r="C140" s="306"/>
      <c r="D140" s="366"/>
      <c r="E140" s="367"/>
      <c r="F140" s="369"/>
      <c r="G140" s="369"/>
      <c r="H140" s="366"/>
      <c r="I140" s="366"/>
      <c r="J140" s="369"/>
      <c r="K140" s="366"/>
      <c r="L140" s="366"/>
      <c r="M140" s="366"/>
      <c r="N140" s="366">
        <v>16875</v>
      </c>
      <c r="O140" s="314"/>
      <c r="P140" s="329"/>
      <c r="Q140" s="400"/>
      <c r="R140" s="391"/>
    </row>
    <row r="141" spans="1:19" s="308" customFormat="1" ht="13.95" customHeight="1">
      <c r="A141" s="307"/>
      <c r="B141" s="304" t="s">
        <v>621</v>
      </c>
      <c r="C141" s="306"/>
      <c r="D141" s="366"/>
      <c r="E141" s="367"/>
      <c r="F141" s="369"/>
      <c r="G141" s="369"/>
      <c r="H141" s="366"/>
      <c r="I141" s="366"/>
      <c r="J141" s="369"/>
      <c r="K141" s="366"/>
      <c r="L141" s="366"/>
      <c r="M141" s="366"/>
      <c r="N141" s="366">
        <v>26180</v>
      </c>
      <c r="O141" s="314"/>
      <c r="P141" s="329"/>
      <c r="Q141" s="400"/>
      <c r="R141" s="391"/>
    </row>
    <row r="142" spans="1:19" ht="13.95" customHeight="1" thickBot="1">
      <c r="A142" s="76"/>
      <c r="B142" s="282" t="s">
        <v>607</v>
      </c>
      <c r="C142" s="276" t="s">
        <v>608</v>
      </c>
      <c r="F142" s="371"/>
      <c r="G142" s="371"/>
      <c r="J142" s="371"/>
      <c r="L142" s="359">
        <f>VLOOKUP(B142,[25]Лист_1!$A$1:$E$65536,5,0)</f>
        <v>121800</v>
      </c>
      <c r="M142" s="359">
        <v>321650</v>
      </c>
      <c r="N142" s="359">
        <v>93550</v>
      </c>
      <c r="O142" s="106">
        <f>SUM(D142:N142)/11</f>
        <v>48818.181818181816</v>
      </c>
      <c r="P142" s="326">
        <f>SUM(I142:N142)/4</f>
        <v>134250</v>
      </c>
      <c r="Q142" s="399"/>
      <c r="S142" s="33">
        <f>SUM(L142:N142)</f>
        <v>537000</v>
      </c>
    </row>
    <row r="143" spans="1:19" s="319" customFormat="1" ht="13.2" customHeight="1" thickBot="1">
      <c r="A143" s="315"/>
      <c r="B143" s="316"/>
      <c r="C143" s="317" t="s">
        <v>312</v>
      </c>
      <c r="D143" s="377" t="s">
        <v>45</v>
      </c>
      <c r="E143" s="378" t="s">
        <v>46</v>
      </c>
      <c r="F143" s="377" t="s">
        <v>47</v>
      </c>
      <c r="G143" s="377" t="s">
        <v>48</v>
      </c>
      <c r="H143" s="377"/>
      <c r="I143" s="377" t="s">
        <v>50</v>
      </c>
      <c r="J143" s="377"/>
      <c r="K143" s="377" t="s">
        <v>52</v>
      </c>
      <c r="L143" s="377"/>
      <c r="M143" s="377"/>
      <c r="N143" s="377"/>
      <c r="O143" s="318">
        <f>SUM(D143:N143)/11</f>
        <v>0</v>
      </c>
      <c r="P143" s="326"/>
      <c r="Q143" s="398"/>
      <c r="R143" s="392"/>
      <c r="S143" s="322"/>
    </row>
    <row r="144" spans="1:19">
      <c r="B144" s="287" t="s">
        <v>314</v>
      </c>
      <c r="C144" s="282" t="s">
        <v>322</v>
      </c>
      <c r="D144" s="359">
        <v>65894</v>
      </c>
      <c r="E144" s="360">
        <v>85313</v>
      </c>
      <c r="F144" s="359">
        <v>50359</v>
      </c>
      <c r="G144" s="359">
        <v>23225</v>
      </c>
      <c r="H144" s="359">
        <v>33706</v>
      </c>
      <c r="I144" s="359">
        <f>VLOOKUP(B144,[22]Лист_1!$A$8:$B$88,2,0)</f>
        <v>14595</v>
      </c>
      <c r="J144" s="359">
        <f>VLOOKUP(B144,[23]Лист_1!$A$1:$C$65536,3,0)</f>
        <v>39935</v>
      </c>
      <c r="K144" s="359">
        <f>VLOOKUP(B144,[24]Лист_1!$A$1:$B$65536,2,0)</f>
        <v>32824</v>
      </c>
      <c r="L144" s="359">
        <f>VLOOKUP(B144,[25]Лист_1!$A$1:$E$65536,5,0)</f>
        <v>10417</v>
      </c>
      <c r="M144" s="359">
        <f>VLOOKUP(B144,[26]Лист_1!$A$8:$B$71,2,0)</f>
        <v>81280</v>
      </c>
      <c r="N144" s="359">
        <f>VLOOKUP(B144,[27]ноябрь!$A$1:$B$65536,2,0)</f>
        <v>35430</v>
      </c>
      <c r="O144" s="106">
        <f>SUM(D144:N144)/11</f>
        <v>42998</v>
      </c>
      <c r="P144" s="326">
        <f>SUM(I144:N144)/6</f>
        <v>35746.833333333336</v>
      </c>
      <c r="Q144" s="399">
        <f>SUM(D144:N144)/11</f>
        <v>42998</v>
      </c>
    </row>
    <row r="145" spans="1:18" ht="24" customHeight="1">
      <c r="B145" s="287" t="s">
        <v>315</v>
      </c>
      <c r="C145" s="287" t="s">
        <v>321</v>
      </c>
      <c r="D145" s="359">
        <v>234721</v>
      </c>
      <c r="E145" s="360">
        <v>13929</v>
      </c>
      <c r="F145" s="359">
        <v>0</v>
      </c>
      <c r="G145" s="359">
        <v>209820</v>
      </c>
      <c r="H145" s="359">
        <v>53799</v>
      </c>
      <c r="J145" s="359">
        <f>VLOOKUP(B145,[23]Лист_1!$A$1:$C$65536,3,0)</f>
        <v>22950.5</v>
      </c>
      <c r="K145" s="359">
        <f>VLOOKUP(B145,[24]Лист_1!$A$1:$B$65536,2,0)</f>
        <v>19853</v>
      </c>
      <c r="L145" s="359">
        <f>VLOOKUP(B145,[25]Лист_1!$A$1:$E$65536,5,0)</f>
        <v>196308</v>
      </c>
      <c r="N145" s="359">
        <f>VLOOKUP(B145,[27]ноябрь!$A$1:$B$65536,2,0)</f>
        <v>65860</v>
      </c>
      <c r="O145" s="106">
        <f>SUM(D145:N145)/8</f>
        <v>102155.0625</v>
      </c>
      <c r="P145" s="326">
        <f>SUM(I145:N145)/4</f>
        <v>76242.875</v>
      </c>
      <c r="Q145" s="399"/>
    </row>
    <row r="146" spans="1:18">
      <c r="B146" s="287" t="s">
        <v>316</v>
      </c>
      <c r="C146" s="287" t="s">
        <v>316</v>
      </c>
      <c r="D146" s="359">
        <v>234750</v>
      </c>
      <c r="E146" s="360">
        <v>214350</v>
      </c>
      <c r="F146" s="359">
        <v>185150</v>
      </c>
      <c r="G146" s="359">
        <v>192750</v>
      </c>
      <c r="H146" s="359">
        <v>329400</v>
      </c>
      <c r="I146" s="359">
        <f>VLOOKUP(B146,[22]Лист_1!$A$8:$B$88,2,0)</f>
        <v>221750</v>
      </c>
      <c r="J146" s="359">
        <v>318700</v>
      </c>
      <c r="K146" s="359">
        <f>VLOOKUP(B146,[24]Лист_1!$A$1:$B$65536,2,0)</f>
        <v>350300</v>
      </c>
      <c r="L146" s="359">
        <f>VLOOKUP(B146,[25]Лист_1!$A$1:$E$65536,5,0)</f>
        <v>185350</v>
      </c>
      <c r="M146" s="359">
        <f>VLOOKUP(B146,[26]Лист_1!$A$8:$B$71,2,0)+117400</f>
        <v>334150</v>
      </c>
      <c r="N146" s="359">
        <f>VLOOKUP(B146,[27]ноябрь!$A$1:$B$65536,2,0)</f>
        <v>208950</v>
      </c>
      <c r="O146" s="106">
        <f>SUM(D146:N146)/11</f>
        <v>252327.27272727274</v>
      </c>
      <c r="P146" s="326">
        <f>SUM(I146:N146)/6</f>
        <v>269866.66666666669</v>
      </c>
      <c r="Q146" s="399"/>
    </row>
    <row r="147" spans="1:18" s="294" customFormat="1" ht="16.95" customHeight="1">
      <c r="A147" s="290"/>
      <c r="B147" s="311" t="s">
        <v>317</v>
      </c>
      <c r="C147" s="311" t="s">
        <v>317</v>
      </c>
      <c r="D147" s="361">
        <v>78200</v>
      </c>
      <c r="E147" s="362">
        <v>44200</v>
      </c>
      <c r="F147" s="361">
        <v>14450</v>
      </c>
      <c r="G147" s="361">
        <v>15300</v>
      </c>
      <c r="H147" s="361">
        <v>11900</v>
      </c>
      <c r="I147" s="361"/>
      <c r="J147" s="361">
        <v>0</v>
      </c>
      <c r="K147" s="361">
        <v>0</v>
      </c>
      <c r="L147" s="361">
        <v>0</v>
      </c>
      <c r="M147" s="361"/>
      <c r="N147" s="361"/>
      <c r="O147" s="313"/>
      <c r="P147" s="326"/>
      <c r="Q147" s="398">
        <f>SUM(D147:P147)/5</f>
        <v>32810</v>
      </c>
      <c r="R147" s="388">
        <f>Q147*7</f>
        <v>229670</v>
      </c>
    </row>
    <row r="148" spans="1:18" s="308" customFormat="1">
      <c r="A148" s="303"/>
      <c r="B148" s="304" t="s">
        <v>258</v>
      </c>
      <c r="C148" s="304" t="s">
        <v>258</v>
      </c>
      <c r="D148" s="366">
        <v>242550</v>
      </c>
      <c r="E148" s="367">
        <v>260400</v>
      </c>
      <c r="F148" s="366">
        <v>51150</v>
      </c>
      <c r="G148" s="366">
        <v>136902.5</v>
      </c>
      <c r="H148" s="366">
        <v>82350</v>
      </c>
      <c r="I148" s="366"/>
      <c r="J148" s="366">
        <v>0</v>
      </c>
      <c r="K148" s="366">
        <v>0</v>
      </c>
      <c r="L148" s="366">
        <v>0</v>
      </c>
      <c r="M148" s="366"/>
      <c r="N148" s="366"/>
      <c r="O148" s="314"/>
      <c r="P148" s="326"/>
      <c r="Q148" s="400"/>
      <c r="R148" s="391"/>
    </row>
    <row r="149" spans="1:18" s="308" customFormat="1">
      <c r="A149" s="303"/>
      <c r="B149" s="320" t="s">
        <v>506</v>
      </c>
      <c r="C149" s="320" t="s">
        <v>323</v>
      </c>
      <c r="D149" s="366"/>
      <c r="E149" s="367"/>
      <c r="F149" s="366">
        <v>468089</v>
      </c>
      <c r="G149" s="366">
        <v>136050</v>
      </c>
      <c r="H149" s="366">
        <v>153900</v>
      </c>
      <c r="I149" s="366">
        <f>VLOOKUP(B149,[22]Лист_1!$A$8:$B$88,2,0)</f>
        <v>16650</v>
      </c>
      <c r="J149" s="366">
        <v>0</v>
      </c>
      <c r="K149" s="366">
        <f>VLOOKUP(B149,[24]Лист_1!$A$1:$B$65536,2,0)</f>
        <v>16650</v>
      </c>
      <c r="L149" s="366">
        <v>0</v>
      </c>
      <c r="M149" s="366"/>
      <c r="N149" s="366"/>
      <c r="O149" s="314"/>
      <c r="P149" s="326"/>
      <c r="Q149" s="400"/>
      <c r="R149" s="391"/>
    </row>
    <row r="150" spans="1:18" s="294" customFormat="1">
      <c r="A150" s="290"/>
      <c r="B150" s="311" t="s">
        <v>324</v>
      </c>
      <c r="C150" s="311" t="s">
        <v>324</v>
      </c>
      <c r="D150" s="361">
        <v>122835</v>
      </c>
      <c r="E150" s="362"/>
      <c r="F150" s="361"/>
      <c r="G150" s="361">
        <v>0</v>
      </c>
      <c r="H150" s="361"/>
      <c r="I150" s="361"/>
      <c r="J150" s="361">
        <v>0</v>
      </c>
      <c r="K150" s="361">
        <v>0</v>
      </c>
      <c r="L150" s="361">
        <v>0</v>
      </c>
      <c r="M150" s="361"/>
      <c r="N150" s="361"/>
      <c r="O150" s="313"/>
      <c r="P150" s="326"/>
      <c r="Q150" s="398"/>
      <c r="R150" s="388"/>
    </row>
    <row r="151" spans="1:18">
      <c r="B151" s="287" t="s">
        <v>325</v>
      </c>
      <c r="C151" s="287" t="s">
        <v>325</v>
      </c>
      <c r="D151" s="359">
        <v>38475</v>
      </c>
      <c r="E151" s="360">
        <v>168815</v>
      </c>
      <c r="F151" s="359">
        <v>30720</v>
      </c>
      <c r="G151" s="359">
        <v>24765</v>
      </c>
      <c r="H151" s="359">
        <v>102000</v>
      </c>
      <c r="J151" s="359">
        <v>0</v>
      </c>
      <c r="K151" s="359">
        <v>0</v>
      </c>
      <c r="L151" s="359">
        <v>0</v>
      </c>
      <c r="N151" s="359">
        <f>VLOOKUP(B151,[27]ноябрь!$A$1:$B$65536,2,0)</f>
        <v>39000</v>
      </c>
      <c r="O151" s="106">
        <f>SUM(D151:N151)/6</f>
        <v>67295.833333333328</v>
      </c>
      <c r="P151" s="326">
        <f>SUM(I151:N151)/1</f>
        <v>39000</v>
      </c>
      <c r="Q151" s="399"/>
    </row>
    <row r="152" spans="1:18">
      <c r="B152" s="282" t="s">
        <v>263</v>
      </c>
      <c r="C152" s="281" t="s">
        <v>122</v>
      </c>
      <c r="D152" s="359">
        <v>27916</v>
      </c>
      <c r="E152" s="360">
        <v>13371</v>
      </c>
      <c r="F152" s="359">
        <v>8964</v>
      </c>
      <c r="G152" s="359">
        <v>0</v>
      </c>
      <c r="I152" s="359">
        <f>VLOOKUP(B152,[22]Лист_1!$A$8:$B$88,2,0)</f>
        <v>34904</v>
      </c>
      <c r="J152" s="359">
        <v>0</v>
      </c>
      <c r="K152" s="359">
        <f>VLOOKUP(B152,[24]Лист_1!$A$1:$B$65536,2,0)</f>
        <v>7880</v>
      </c>
      <c r="L152" s="359">
        <v>0</v>
      </c>
      <c r="O152" s="106">
        <f>SUM(D152:N152)/5</f>
        <v>18607</v>
      </c>
      <c r="P152" s="326">
        <f>SUM(I152:N152)/2</f>
        <v>21392</v>
      </c>
      <c r="Q152" s="399"/>
    </row>
    <row r="153" spans="1:18" s="294" customFormat="1">
      <c r="A153" s="290"/>
      <c r="B153" s="291" t="s">
        <v>490</v>
      </c>
      <c r="C153" s="295" t="s">
        <v>123</v>
      </c>
      <c r="D153" s="361">
        <v>3500</v>
      </c>
      <c r="E153" s="362">
        <v>3500</v>
      </c>
      <c r="F153" s="361">
        <v>0</v>
      </c>
      <c r="G153" s="361">
        <v>10000</v>
      </c>
      <c r="H153" s="361"/>
      <c r="I153" s="361"/>
      <c r="J153" s="361">
        <v>0</v>
      </c>
      <c r="K153" s="361">
        <v>0</v>
      </c>
      <c r="L153" s="361">
        <v>0</v>
      </c>
      <c r="M153" s="361"/>
      <c r="N153" s="361"/>
      <c r="O153" s="313"/>
      <c r="P153" s="326"/>
      <c r="Q153" s="398">
        <f>SUM(D153:N154)/4</f>
        <v>45625</v>
      </c>
      <c r="R153" s="388">
        <f>Q153*8</f>
        <v>365000</v>
      </c>
    </row>
    <row r="154" spans="1:18" s="294" customFormat="1" ht="14.4" thickBot="1">
      <c r="A154" s="290"/>
      <c r="B154" s="291" t="s">
        <v>466</v>
      </c>
      <c r="C154" s="295" t="s">
        <v>123</v>
      </c>
      <c r="D154" s="361"/>
      <c r="E154" s="362"/>
      <c r="F154" s="361">
        <v>165500</v>
      </c>
      <c r="G154" s="361">
        <v>0</v>
      </c>
      <c r="H154" s="361"/>
      <c r="I154" s="361"/>
      <c r="J154" s="361">
        <v>0</v>
      </c>
      <c r="K154" s="361">
        <v>0</v>
      </c>
      <c r="L154" s="361">
        <v>0</v>
      </c>
      <c r="M154" s="361"/>
      <c r="N154" s="361"/>
      <c r="O154" s="313"/>
      <c r="P154" s="326"/>
      <c r="Q154" s="398"/>
      <c r="R154" s="388"/>
    </row>
    <row r="155" spans="1:18" s="308" customFormat="1" ht="14.4" thickBot="1">
      <c r="A155" s="332"/>
      <c r="B155" s="333" t="s">
        <v>79</v>
      </c>
      <c r="C155" s="304" t="s">
        <v>309</v>
      </c>
      <c r="D155" s="366">
        <v>288467.5</v>
      </c>
      <c r="E155" s="367"/>
      <c r="F155" s="366"/>
      <c r="G155" s="366">
        <v>0</v>
      </c>
      <c r="H155" s="366"/>
      <c r="I155" s="366"/>
      <c r="J155" s="366">
        <v>0</v>
      </c>
      <c r="K155" s="366">
        <v>0</v>
      </c>
      <c r="L155" s="366">
        <v>0</v>
      </c>
      <c r="M155" s="366"/>
      <c r="N155" s="366"/>
      <c r="O155" s="314"/>
      <c r="P155" s="329"/>
      <c r="Q155" s="400"/>
      <c r="R155" s="391"/>
    </row>
    <row r="156" spans="1:18" s="308" customFormat="1">
      <c r="A156" s="303"/>
      <c r="B156" s="304" t="s">
        <v>446</v>
      </c>
      <c r="C156" s="304" t="s">
        <v>446</v>
      </c>
      <c r="D156" s="366"/>
      <c r="E156" s="367">
        <v>117000</v>
      </c>
      <c r="F156" s="366">
        <v>58000</v>
      </c>
      <c r="G156" s="366">
        <v>0</v>
      </c>
      <c r="H156" s="366"/>
      <c r="I156" s="366"/>
      <c r="J156" s="366">
        <v>0</v>
      </c>
      <c r="K156" s="366">
        <v>0</v>
      </c>
      <c r="L156" s="366">
        <v>0</v>
      </c>
      <c r="M156" s="366"/>
      <c r="N156" s="366"/>
      <c r="O156" s="314"/>
      <c r="P156" s="329"/>
      <c r="Q156" s="400"/>
      <c r="R156" s="391"/>
    </row>
    <row r="157" spans="1:18" s="308" customFormat="1">
      <c r="A157" s="303"/>
      <c r="B157" s="304" t="s">
        <v>456</v>
      </c>
      <c r="C157" s="304" t="s">
        <v>456</v>
      </c>
      <c r="D157" s="366"/>
      <c r="E157" s="367"/>
      <c r="F157" s="366">
        <v>362000</v>
      </c>
      <c r="G157" s="366">
        <v>66000</v>
      </c>
      <c r="H157" s="366"/>
      <c r="I157" s="366"/>
      <c r="J157" s="366">
        <v>0</v>
      </c>
      <c r="K157" s="366">
        <v>0</v>
      </c>
      <c r="L157" s="366">
        <v>0</v>
      </c>
      <c r="M157" s="366"/>
      <c r="N157" s="366"/>
      <c r="O157" s="314"/>
      <c r="P157" s="329"/>
      <c r="Q157" s="400"/>
      <c r="R157" s="391"/>
    </row>
    <row r="158" spans="1:18" s="308" customFormat="1">
      <c r="A158" s="303"/>
      <c r="B158" s="304" t="s">
        <v>467</v>
      </c>
      <c r="C158" s="304" t="s">
        <v>467</v>
      </c>
      <c r="D158" s="366"/>
      <c r="E158" s="367"/>
      <c r="F158" s="366">
        <v>116600</v>
      </c>
      <c r="G158" s="366">
        <v>0</v>
      </c>
      <c r="H158" s="366">
        <v>27400</v>
      </c>
      <c r="I158" s="366"/>
      <c r="J158" s="366">
        <v>0</v>
      </c>
      <c r="K158" s="366">
        <v>0</v>
      </c>
      <c r="L158" s="366">
        <v>0</v>
      </c>
      <c r="M158" s="366"/>
      <c r="N158" s="366"/>
      <c r="O158" s="314"/>
      <c r="P158" s="329"/>
      <c r="Q158" s="400"/>
      <c r="R158" s="391"/>
    </row>
    <row r="159" spans="1:18" s="308" customFormat="1">
      <c r="A159" s="303"/>
      <c r="B159" s="304" t="s">
        <v>468</v>
      </c>
      <c r="C159" s="312" t="s">
        <v>469</v>
      </c>
      <c r="D159" s="366"/>
      <c r="E159" s="367"/>
      <c r="F159" s="366">
        <v>102300</v>
      </c>
      <c r="G159" s="366">
        <v>0</v>
      </c>
      <c r="H159" s="366"/>
      <c r="I159" s="366"/>
      <c r="J159" s="366">
        <v>0</v>
      </c>
      <c r="K159" s="366">
        <v>0</v>
      </c>
      <c r="L159" s="366">
        <v>0</v>
      </c>
      <c r="M159" s="366"/>
      <c r="N159" s="366"/>
      <c r="O159" s="314"/>
      <c r="P159" s="329"/>
      <c r="Q159" s="400"/>
      <c r="R159" s="391"/>
    </row>
    <row r="160" spans="1:18">
      <c r="B160" s="284" t="s">
        <v>472</v>
      </c>
      <c r="C160" s="284" t="s">
        <v>473</v>
      </c>
      <c r="F160" s="359">
        <v>41000</v>
      </c>
      <c r="G160" s="359">
        <v>107900</v>
      </c>
      <c r="H160" s="359">
        <v>73200</v>
      </c>
      <c r="I160" s="359">
        <f>VLOOKUP(B160,[22]Лист_1!$A$8:$B$88,2,0)</f>
        <v>121800</v>
      </c>
      <c r="J160" s="359">
        <f>VLOOKUP(B160,[23]Лист_1!$A$1:$C$65536,3,0)</f>
        <v>160700</v>
      </c>
      <c r="K160" s="359">
        <f>VLOOKUP(B160,[24]Лист_1!$A$1:$B$65536,2,0)</f>
        <v>69000</v>
      </c>
      <c r="L160" s="359">
        <f>VLOOKUP(B160,[25]Лист_1!$A$1:$E$65536,5,0)</f>
        <v>145300</v>
      </c>
      <c r="M160" s="359">
        <f>VLOOKUP(B160,[26]Лист_1!$A$8:$B$71,2,0)</f>
        <v>76700</v>
      </c>
      <c r="N160" s="359">
        <f>VLOOKUP(B160,[27]ноябрь!$A$1:$B$65536,2,0)</f>
        <v>163500</v>
      </c>
      <c r="O160" s="106">
        <f>SUM(D160:N160)/9</f>
        <v>106566.66666666667</v>
      </c>
      <c r="P160" s="326">
        <f>SUM(I160:N160)/6</f>
        <v>122833.33333333333</v>
      </c>
      <c r="Q160" s="399"/>
    </row>
    <row r="161" spans="1:18">
      <c r="B161" s="282" t="s">
        <v>465</v>
      </c>
      <c r="C161" s="284" t="s">
        <v>464</v>
      </c>
      <c r="F161" s="359">
        <v>502400</v>
      </c>
      <c r="G161" s="359">
        <v>57300</v>
      </c>
      <c r="J161" s="359">
        <f>VLOOKUP(B161,[23]Лист_1!$A$1:$C$65536,3,0)</f>
        <v>18000</v>
      </c>
      <c r="K161" s="359">
        <v>0</v>
      </c>
      <c r="L161" s="359">
        <f>VLOOKUP(B161,[25]Лист_1!$A$1:$E$65536,5,0)</f>
        <v>52500</v>
      </c>
      <c r="M161" s="359">
        <f>VLOOKUP(B161,[26]Лист_1!$A$8:$B$71,2,0)</f>
        <v>29230</v>
      </c>
      <c r="N161" s="359">
        <f>VLOOKUP(B161,[27]ноябрь!$A$1:$B$65536,2,0)</f>
        <v>34100</v>
      </c>
      <c r="O161" s="106">
        <f>SUM(D161:N161)/6</f>
        <v>115588.33333333333</v>
      </c>
      <c r="P161" s="326">
        <f>SUM(I161:N161)/4</f>
        <v>33457.5</v>
      </c>
      <c r="Q161" s="399"/>
    </row>
    <row r="162" spans="1:18" s="308" customFormat="1">
      <c r="A162" s="303"/>
      <c r="B162" s="304" t="s">
        <v>435</v>
      </c>
      <c r="C162" s="305" t="s">
        <v>140</v>
      </c>
      <c r="D162" s="366"/>
      <c r="E162" s="367"/>
      <c r="F162" s="366"/>
      <c r="G162" s="366">
        <v>200000</v>
      </c>
      <c r="H162" s="366"/>
      <c r="I162" s="366"/>
      <c r="J162" s="366">
        <v>0</v>
      </c>
      <c r="K162" s="366">
        <v>0</v>
      </c>
      <c r="L162" s="366">
        <v>0</v>
      </c>
      <c r="M162" s="366"/>
      <c r="N162" s="366">
        <v>247000</v>
      </c>
      <c r="O162" s="314"/>
      <c r="P162" s="326"/>
      <c r="Q162" s="400"/>
      <c r="R162" s="391"/>
    </row>
    <row r="163" spans="1:18">
      <c r="B163" s="282" t="s">
        <v>479</v>
      </c>
      <c r="C163" s="284"/>
      <c r="F163" s="359">
        <v>91767</v>
      </c>
      <c r="G163" s="359">
        <v>275301</v>
      </c>
      <c r="H163" s="359">
        <v>224627</v>
      </c>
      <c r="I163" s="359">
        <f>VLOOKUP(B163,[22]Лист_1!$A$8:$B$88,2,0)</f>
        <v>261040</v>
      </c>
      <c r="J163" s="359">
        <f>VLOOKUP(B163,[23]Лист_1!$A$1:$C$65536,3,0)</f>
        <v>426765</v>
      </c>
      <c r="K163" s="359">
        <v>0</v>
      </c>
      <c r="L163" s="359">
        <v>0</v>
      </c>
      <c r="M163" s="359">
        <f>VLOOKUP(B163,[26]Лист_1!$A$8:$B$71,2,0)</f>
        <v>658867</v>
      </c>
      <c r="N163" s="359">
        <f>VLOOKUP(B163,[27]ноябрь!$A$1:$B$65536,2,0)</f>
        <v>369265</v>
      </c>
      <c r="O163" s="106">
        <f>SUM(D163:N163)/7</f>
        <v>329661.71428571426</v>
      </c>
      <c r="P163" s="326">
        <f>SUM(I163:N163)/4</f>
        <v>428984.25</v>
      </c>
      <c r="Q163" s="399"/>
    </row>
    <row r="164" spans="1:18" s="308" customFormat="1">
      <c r="A164" s="303"/>
      <c r="B164" s="304" t="s">
        <v>485</v>
      </c>
      <c r="C164" s="312"/>
      <c r="D164" s="366"/>
      <c r="E164" s="367"/>
      <c r="F164" s="366"/>
      <c r="G164" s="366">
        <v>70000</v>
      </c>
      <c r="H164" s="366">
        <v>5000</v>
      </c>
      <c r="I164" s="366"/>
      <c r="J164" s="366">
        <v>0</v>
      </c>
      <c r="K164" s="366">
        <v>0</v>
      </c>
      <c r="L164" s="366">
        <v>0</v>
      </c>
      <c r="M164" s="366"/>
      <c r="N164" s="366"/>
      <c r="O164" s="314"/>
      <c r="P164" s="329"/>
      <c r="Q164" s="400"/>
      <c r="R164" s="391"/>
    </row>
    <row r="165" spans="1:18" s="308" customFormat="1">
      <c r="A165" s="303"/>
      <c r="B165" s="304" t="s">
        <v>494</v>
      </c>
      <c r="C165" s="312"/>
      <c r="D165" s="366"/>
      <c r="E165" s="367"/>
      <c r="F165" s="366"/>
      <c r="G165" s="366">
        <v>16500</v>
      </c>
      <c r="H165" s="366"/>
      <c r="I165" s="366">
        <f>VLOOKUP(B165,[22]Лист_1!$A$8:$B$88,2,0)</f>
        <v>17490</v>
      </c>
      <c r="J165" s="366">
        <v>0</v>
      </c>
      <c r="K165" s="366">
        <v>0</v>
      </c>
      <c r="L165" s="366">
        <v>0</v>
      </c>
      <c r="M165" s="366"/>
      <c r="N165" s="366"/>
      <c r="O165" s="314"/>
      <c r="P165" s="329"/>
      <c r="Q165" s="400"/>
      <c r="R165" s="391"/>
    </row>
    <row r="166" spans="1:18">
      <c r="B166" s="282" t="s">
        <v>499</v>
      </c>
      <c r="C166" s="284" t="s">
        <v>615</v>
      </c>
      <c r="G166" s="359">
        <v>11600</v>
      </c>
      <c r="H166" s="359">
        <v>51400</v>
      </c>
      <c r="J166" s="359">
        <v>0</v>
      </c>
      <c r="K166" s="359">
        <v>91000</v>
      </c>
      <c r="L166" s="359">
        <v>48650</v>
      </c>
      <c r="M166" s="359">
        <v>76000</v>
      </c>
      <c r="O166" s="106">
        <f>SUM(D166:N166)/5</f>
        <v>55730</v>
      </c>
      <c r="P166" s="326">
        <f>SUM(I166:N166)/3</f>
        <v>71883.333333333328</v>
      </c>
      <c r="Q166" s="399"/>
    </row>
    <row r="167" spans="1:18" s="308" customFormat="1">
      <c r="A167" s="303"/>
      <c r="B167" s="304" t="s">
        <v>507</v>
      </c>
      <c r="C167" s="312"/>
      <c r="D167" s="366"/>
      <c r="E167" s="367"/>
      <c r="F167" s="366"/>
      <c r="G167" s="366"/>
      <c r="H167" s="366">
        <v>184014</v>
      </c>
      <c r="I167" s="366"/>
      <c r="J167" s="366">
        <v>0</v>
      </c>
      <c r="K167" s="366">
        <v>0</v>
      </c>
      <c r="L167" s="366">
        <v>0</v>
      </c>
      <c r="M167" s="366"/>
      <c r="N167" s="366"/>
      <c r="O167" s="314"/>
      <c r="P167" s="329"/>
      <c r="Q167" s="400"/>
      <c r="R167" s="391"/>
    </row>
    <row r="168" spans="1:18" s="308" customFormat="1">
      <c r="A168" s="303"/>
      <c r="B168" s="304" t="s">
        <v>508</v>
      </c>
      <c r="C168" s="312"/>
      <c r="D168" s="366"/>
      <c r="E168" s="367"/>
      <c r="F168" s="366"/>
      <c r="G168" s="366"/>
      <c r="H168" s="366">
        <v>63750</v>
      </c>
      <c r="I168" s="366"/>
      <c r="J168" s="366">
        <f>VLOOKUP(B168,[23]Лист_1!$A$1:$C$65536,3,0)</f>
        <v>89250</v>
      </c>
      <c r="K168" s="366">
        <v>0</v>
      </c>
      <c r="L168" s="366">
        <v>0</v>
      </c>
      <c r="M168" s="366"/>
      <c r="N168" s="366"/>
      <c r="O168" s="314"/>
      <c r="P168" s="329"/>
      <c r="Q168" s="400"/>
      <c r="R168" s="391"/>
    </row>
    <row r="169" spans="1:18" s="308" customFormat="1">
      <c r="A169" s="303"/>
      <c r="B169" s="304" t="s">
        <v>550</v>
      </c>
      <c r="C169" s="312"/>
      <c r="D169" s="366"/>
      <c r="E169" s="367"/>
      <c r="F169" s="366"/>
      <c r="G169" s="366"/>
      <c r="H169" s="366"/>
      <c r="I169" s="366">
        <f>VLOOKUP(B169,[22]Лист_1!$A$8:$B$88,2,0)</f>
        <v>236000</v>
      </c>
      <c r="J169" s="366">
        <v>0</v>
      </c>
      <c r="K169" s="366">
        <v>0</v>
      </c>
      <c r="L169" s="366">
        <v>0</v>
      </c>
      <c r="M169" s="366"/>
      <c r="N169" s="366">
        <f>VLOOKUP(B169,[27]ноябрь!$A$1:$B$65536,2,0)</f>
        <v>89000</v>
      </c>
      <c r="O169" s="314"/>
      <c r="P169" s="329"/>
      <c r="Q169" s="400"/>
      <c r="R169" s="391"/>
    </row>
    <row r="170" spans="1:18" s="308" customFormat="1">
      <c r="A170" s="303"/>
      <c r="B170" s="304" t="s">
        <v>551</v>
      </c>
      <c r="C170" s="312" t="s">
        <v>552</v>
      </c>
      <c r="D170" s="366"/>
      <c r="E170" s="367"/>
      <c r="F170" s="366"/>
      <c r="G170" s="366"/>
      <c r="H170" s="366"/>
      <c r="I170" s="366">
        <f>VLOOKUP(B170,[22]Лист_1!$A$8:$B$88,2,0)</f>
        <v>380000</v>
      </c>
      <c r="J170" s="366">
        <f>VLOOKUP(B170,[23]Лист_1!$A$1:$C$65536,3,0)</f>
        <v>240000</v>
      </c>
      <c r="K170" s="366">
        <v>0</v>
      </c>
      <c r="L170" s="366">
        <f>VLOOKUP(B170,[25]Лист_1!$A$1:$E$65536,5,0)</f>
        <v>300000</v>
      </c>
      <c r="M170" s="366"/>
      <c r="N170" s="366">
        <f>VLOOKUP(B170,[27]ноябрь!$A$1:$B$65536,2,0)</f>
        <v>40000</v>
      </c>
      <c r="O170" s="314"/>
      <c r="P170" s="329"/>
      <c r="Q170" s="400"/>
      <c r="R170" s="391"/>
    </row>
    <row r="171" spans="1:18" s="308" customFormat="1">
      <c r="A171" s="303"/>
      <c r="B171" s="304" t="s">
        <v>595</v>
      </c>
      <c r="C171" s="312"/>
      <c r="D171" s="366"/>
      <c r="E171" s="367"/>
      <c r="F171" s="366"/>
      <c r="G171" s="366"/>
      <c r="H171" s="366"/>
      <c r="I171" s="366"/>
      <c r="J171" s="366">
        <f>VLOOKUP(B171,[23]Лист_1!$A$1:$C$65536,3,0)</f>
        <v>15792</v>
      </c>
      <c r="K171" s="366">
        <v>0</v>
      </c>
      <c r="L171" s="366">
        <v>0</v>
      </c>
      <c r="M171" s="366"/>
      <c r="N171" s="366"/>
      <c r="O171" s="314"/>
      <c r="P171" s="329"/>
      <c r="Q171" s="400"/>
      <c r="R171" s="391"/>
    </row>
    <row r="172" spans="1:18" s="308" customFormat="1">
      <c r="A172" s="303"/>
      <c r="B172" s="304" t="s">
        <v>596</v>
      </c>
      <c r="C172" s="312"/>
      <c r="D172" s="366"/>
      <c r="E172" s="367"/>
      <c r="F172" s="366"/>
      <c r="G172" s="366"/>
      <c r="H172" s="366"/>
      <c r="I172" s="366"/>
      <c r="J172" s="366">
        <f>VLOOKUP(B172,[23]Лист_1!$A$1:$C$65536,3,0)</f>
        <v>33150</v>
      </c>
      <c r="K172" s="366">
        <v>0</v>
      </c>
      <c r="L172" s="366">
        <v>0</v>
      </c>
      <c r="M172" s="366"/>
      <c r="N172" s="366"/>
      <c r="O172" s="314"/>
      <c r="P172" s="329"/>
      <c r="Q172" s="400"/>
      <c r="R172" s="391"/>
    </row>
    <row r="173" spans="1:18" s="308" customFormat="1">
      <c r="A173" s="303"/>
      <c r="B173" s="304" t="s">
        <v>597</v>
      </c>
      <c r="C173" s="312"/>
      <c r="D173" s="366"/>
      <c r="E173" s="367"/>
      <c r="F173" s="366"/>
      <c r="G173" s="366"/>
      <c r="H173" s="366"/>
      <c r="I173" s="366"/>
      <c r="J173" s="366">
        <f>VLOOKUP(B173,[23]Лист_1!$A$1:$C$65536,3,0)</f>
        <v>84075</v>
      </c>
      <c r="K173" s="366">
        <v>0</v>
      </c>
      <c r="L173" s="366">
        <v>0</v>
      </c>
      <c r="M173" s="366"/>
      <c r="N173" s="366"/>
      <c r="O173" s="314"/>
      <c r="P173" s="329"/>
      <c r="Q173" s="400"/>
      <c r="R173" s="391"/>
    </row>
    <row r="174" spans="1:18" s="308" customFormat="1">
      <c r="A174" s="303"/>
      <c r="B174" s="304" t="s">
        <v>553</v>
      </c>
      <c r="C174" s="312"/>
      <c r="D174" s="366"/>
      <c r="E174" s="367"/>
      <c r="F174" s="366"/>
      <c r="G174" s="366"/>
      <c r="H174" s="366"/>
      <c r="I174" s="366">
        <f>VLOOKUP(B174,[22]Лист_1!$A$8:$B$88,2,0)</f>
        <v>339150</v>
      </c>
      <c r="J174" s="366">
        <v>0</v>
      </c>
      <c r="K174" s="366">
        <v>0</v>
      </c>
      <c r="L174" s="366">
        <v>0</v>
      </c>
      <c r="M174" s="366">
        <f>VLOOKUP(B174,[26]Лист_1!$A$8:$B$71,2,0)</f>
        <v>585300</v>
      </c>
      <c r="N174" s="366">
        <f>VLOOKUP(B174,[27]ноябрь!$A$1:$B$65536,2,0)</f>
        <v>650000</v>
      </c>
      <c r="O174" s="314"/>
      <c r="P174" s="329"/>
      <c r="Q174" s="400"/>
      <c r="R174" s="391"/>
    </row>
    <row r="175" spans="1:18" s="308" customFormat="1">
      <c r="A175" s="303"/>
      <c r="B175" s="304" t="s">
        <v>502</v>
      </c>
      <c r="C175" s="312" t="s">
        <v>510</v>
      </c>
      <c r="D175" s="366"/>
      <c r="E175" s="367"/>
      <c r="F175" s="366"/>
      <c r="G175" s="366"/>
      <c r="H175" s="366">
        <v>623550</v>
      </c>
      <c r="I175" s="366">
        <v>0</v>
      </c>
      <c r="J175" s="366">
        <v>0</v>
      </c>
      <c r="K175" s="366">
        <v>0</v>
      </c>
      <c r="L175" s="366">
        <v>0</v>
      </c>
      <c r="M175" s="366"/>
      <c r="N175" s="366"/>
      <c r="O175" s="314"/>
      <c r="P175" s="329"/>
      <c r="Q175" s="400"/>
      <c r="R175" s="391"/>
    </row>
    <row r="176" spans="1:18" s="308" customFormat="1">
      <c r="A176" s="303"/>
      <c r="B176" s="304" t="s">
        <v>619</v>
      </c>
      <c r="C176" s="312"/>
      <c r="D176" s="366"/>
      <c r="E176" s="367"/>
      <c r="F176" s="366"/>
      <c r="G176" s="366"/>
      <c r="H176" s="366"/>
      <c r="I176" s="366"/>
      <c r="J176" s="366"/>
      <c r="K176" s="366"/>
      <c r="L176" s="366"/>
      <c r="M176" s="366"/>
      <c r="N176" s="366">
        <v>49200</v>
      </c>
      <c r="O176" s="314"/>
      <c r="P176" s="329"/>
      <c r="Q176" s="400"/>
      <c r="R176" s="391"/>
    </row>
    <row r="177" spans="1:19">
      <c r="B177" s="282" t="s">
        <v>447</v>
      </c>
      <c r="C177" s="276" t="s">
        <v>480</v>
      </c>
      <c r="M177" s="359">
        <f>141000+140667</f>
        <v>281667</v>
      </c>
      <c r="N177" s="359">
        <v>78866</v>
      </c>
      <c r="O177" s="106">
        <f>SUM(D177:N177)/2</f>
        <v>180266.5</v>
      </c>
      <c r="P177" s="326">
        <f>SUM(I177:N177)/2</f>
        <v>180266.5</v>
      </c>
      <c r="Q177" s="399"/>
    </row>
    <row r="178" spans="1:19" ht="14.4" thickBot="1">
      <c r="B178" s="282" t="s">
        <v>603</v>
      </c>
      <c r="C178" s="284"/>
      <c r="K178" s="359">
        <v>15300</v>
      </c>
      <c r="L178" s="359">
        <f>VLOOKUP(B178,[25]Лист_1!$A$1:$E$65536,5,0)</f>
        <v>45900</v>
      </c>
      <c r="M178" s="359">
        <f>VLOOKUP(B178,[26]Лист_1!$A$8:$B$71,2,0)</f>
        <v>72050</v>
      </c>
      <c r="O178" s="106">
        <f>SUM(D178:N178)/3</f>
        <v>44416.666666666664</v>
      </c>
      <c r="P178" s="326">
        <f>SUM(I178:N178)/3</f>
        <v>44416.666666666664</v>
      </c>
      <c r="Q178" s="399"/>
    </row>
    <row r="179" spans="1:19" s="341" customFormat="1" ht="13.2" customHeight="1" thickBot="1">
      <c r="A179" s="336"/>
      <c r="B179" s="337"/>
      <c r="C179" s="338" t="s">
        <v>320</v>
      </c>
      <c r="D179" s="379" t="s">
        <v>45</v>
      </c>
      <c r="E179" s="380" t="s">
        <v>46</v>
      </c>
      <c r="F179" s="379" t="s">
        <v>47</v>
      </c>
      <c r="G179" s="379" t="s">
        <v>48</v>
      </c>
      <c r="H179" s="379" t="s">
        <v>49</v>
      </c>
      <c r="I179" s="379" t="s">
        <v>50</v>
      </c>
      <c r="J179" s="379"/>
      <c r="K179" s="379" t="s">
        <v>52</v>
      </c>
      <c r="L179" s="379"/>
      <c r="M179" s="379"/>
      <c r="N179" s="379"/>
      <c r="O179" s="339">
        <f>SUM(D179:N179)/11</f>
        <v>0</v>
      </c>
      <c r="P179" s="340"/>
      <c r="Q179" s="401"/>
      <c r="R179" s="342"/>
      <c r="S179" s="411">
        <f>SUM(S107:S178)</f>
        <v>31310743.9269697</v>
      </c>
    </row>
    <row r="180" spans="1:19" s="294" customFormat="1" ht="15" customHeight="1">
      <c r="A180" s="290"/>
      <c r="B180" s="311" t="s">
        <v>318</v>
      </c>
      <c r="C180" s="311" t="s">
        <v>318</v>
      </c>
      <c r="D180" s="361">
        <v>162400</v>
      </c>
      <c r="E180" s="362">
        <v>162400</v>
      </c>
      <c r="F180" s="361">
        <v>287000</v>
      </c>
      <c r="G180" s="361">
        <v>279500</v>
      </c>
      <c r="H180" s="361">
        <v>282000</v>
      </c>
      <c r="I180" s="361">
        <v>282000</v>
      </c>
      <c r="J180" s="361">
        <v>282000</v>
      </c>
      <c r="K180" s="361">
        <v>282000</v>
      </c>
      <c r="L180" s="361">
        <v>282000</v>
      </c>
      <c r="M180" s="361"/>
      <c r="N180" s="361"/>
      <c r="O180" s="313"/>
      <c r="P180" s="327"/>
      <c r="Q180" s="398">
        <f>SUM(D180:P180)/9</f>
        <v>255700</v>
      </c>
      <c r="R180" s="388">
        <f>Q180*3</f>
        <v>767100</v>
      </c>
    </row>
    <row r="181" spans="1:19" s="294" customFormat="1" ht="14.4" customHeight="1">
      <c r="A181" s="290"/>
      <c r="B181" s="311" t="s">
        <v>319</v>
      </c>
      <c r="C181" s="311" t="s">
        <v>478</v>
      </c>
      <c r="D181" s="361"/>
      <c r="E181" s="362"/>
      <c r="F181" s="361">
        <v>103500</v>
      </c>
      <c r="G181" s="361">
        <v>0</v>
      </c>
      <c r="H181" s="361">
        <v>215750</v>
      </c>
      <c r="I181" s="361"/>
      <c r="J181" s="361">
        <v>0</v>
      </c>
      <c r="K181" s="361">
        <v>0</v>
      </c>
      <c r="L181" s="361">
        <v>0</v>
      </c>
      <c r="M181" s="361"/>
      <c r="N181" s="361"/>
      <c r="O181" s="313"/>
      <c r="P181" s="327"/>
      <c r="Q181" s="398">
        <f>SUM(D181:P181)/2</f>
        <v>159625</v>
      </c>
      <c r="R181" s="388">
        <f>Q181*10</f>
        <v>1596250</v>
      </c>
    </row>
    <row r="182" spans="1:19" s="308" customFormat="1" ht="13.2" customHeight="1">
      <c r="A182" s="303"/>
      <c r="B182" s="320" t="s">
        <v>463</v>
      </c>
      <c r="C182" s="320" t="s">
        <v>463</v>
      </c>
      <c r="D182" s="366"/>
      <c r="E182" s="367"/>
      <c r="F182" s="366">
        <v>140000</v>
      </c>
      <c r="G182" s="366">
        <v>140000</v>
      </c>
      <c r="H182" s="366"/>
      <c r="I182" s="366"/>
      <c r="J182" s="366">
        <v>0</v>
      </c>
      <c r="K182" s="366">
        <v>0</v>
      </c>
      <c r="L182" s="366">
        <v>0</v>
      </c>
      <c r="M182" s="366"/>
      <c r="N182" s="366"/>
      <c r="O182" s="314"/>
      <c r="P182" s="334"/>
      <c r="Q182" s="400"/>
      <c r="R182" s="391"/>
    </row>
    <row r="183" spans="1:19" s="308" customFormat="1" ht="15" customHeight="1">
      <c r="A183" s="303"/>
      <c r="B183" s="320" t="s">
        <v>512</v>
      </c>
      <c r="C183" s="320" t="s">
        <v>509</v>
      </c>
      <c r="D183" s="366"/>
      <c r="E183" s="367"/>
      <c r="F183" s="366"/>
      <c r="G183" s="366"/>
      <c r="H183" s="366">
        <v>40000</v>
      </c>
      <c r="I183" s="366"/>
      <c r="J183" s="366">
        <v>0</v>
      </c>
      <c r="K183" s="366">
        <v>0</v>
      </c>
      <c r="L183" s="366">
        <v>0</v>
      </c>
      <c r="M183" s="366"/>
      <c r="N183" s="366"/>
      <c r="O183" s="314"/>
      <c r="P183" s="334"/>
      <c r="Q183" s="400"/>
      <c r="R183" s="391"/>
    </row>
    <row r="184" spans="1:19" s="308" customFormat="1" ht="15" customHeight="1">
      <c r="A184" s="303"/>
      <c r="B184" s="320" t="s">
        <v>555</v>
      </c>
      <c r="C184" s="320"/>
      <c r="D184" s="366"/>
      <c r="E184" s="367"/>
      <c r="F184" s="366"/>
      <c r="G184" s="366"/>
      <c r="H184" s="366"/>
      <c r="I184" s="366">
        <v>22783.5</v>
      </c>
      <c r="J184" s="366">
        <v>0</v>
      </c>
      <c r="K184" s="366">
        <v>0</v>
      </c>
      <c r="L184" s="366">
        <v>0</v>
      </c>
      <c r="M184" s="366"/>
      <c r="N184" s="366"/>
      <c r="O184" s="314"/>
      <c r="P184" s="334"/>
      <c r="Q184" s="400"/>
      <c r="R184" s="391"/>
    </row>
    <row r="185" spans="1:19" s="308" customFormat="1" ht="15" customHeight="1">
      <c r="A185" s="303"/>
      <c r="B185" s="320" t="s">
        <v>604</v>
      </c>
      <c r="C185" s="320"/>
      <c r="D185" s="366"/>
      <c r="E185" s="367"/>
      <c r="F185" s="366"/>
      <c r="G185" s="366"/>
      <c r="H185" s="366"/>
      <c r="I185" s="366"/>
      <c r="J185" s="366"/>
      <c r="K185" s="366">
        <v>60000</v>
      </c>
      <c r="L185" s="366">
        <v>0</v>
      </c>
      <c r="M185" s="366"/>
      <c r="N185" s="366"/>
      <c r="O185" s="314"/>
      <c r="P185" s="334"/>
      <c r="Q185" s="400"/>
      <c r="R185" s="391"/>
    </row>
    <row r="186" spans="1:19" s="308" customFormat="1" ht="14.4" customHeight="1">
      <c r="A186" s="303"/>
      <c r="B186" s="304" t="s">
        <v>485</v>
      </c>
      <c r="C186" s="320"/>
      <c r="D186" s="366"/>
      <c r="E186" s="367"/>
      <c r="F186" s="366"/>
      <c r="G186" s="366">
        <v>70000</v>
      </c>
      <c r="H186" s="366">
        <v>5000</v>
      </c>
      <c r="I186" s="366"/>
      <c r="J186" s="366">
        <v>0</v>
      </c>
      <c r="K186" s="366">
        <v>0</v>
      </c>
      <c r="L186" s="366">
        <v>0</v>
      </c>
      <c r="M186" s="366"/>
      <c r="N186" s="366"/>
      <c r="O186" s="314"/>
      <c r="P186" s="334"/>
      <c r="Q186" s="400"/>
      <c r="R186" s="391"/>
    </row>
    <row r="187" spans="1:19" s="308" customFormat="1" ht="14.4" customHeight="1" thickBot="1">
      <c r="A187" s="303"/>
      <c r="B187" s="304" t="s">
        <v>609</v>
      </c>
      <c r="C187" s="320"/>
      <c r="D187" s="366"/>
      <c r="E187" s="367"/>
      <c r="F187" s="366"/>
      <c r="G187" s="366"/>
      <c r="H187" s="366"/>
      <c r="I187" s="366"/>
      <c r="J187" s="366"/>
      <c r="K187" s="366"/>
      <c r="L187" s="366">
        <v>35000</v>
      </c>
      <c r="M187" s="366"/>
      <c r="N187" s="366"/>
      <c r="O187" s="314"/>
      <c r="P187" s="334"/>
      <c r="Q187" s="400"/>
      <c r="R187" s="391"/>
    </row>
    <row r="188" spans="1:19" s="319" customFormat="1" ht="13.2" customHeight="1" thickBot="1">
      <c r="A188" s="315"/>
      <c r="B188" s="316"/>
      <c r="C188" s="317" t="s">
        <v>336</v>
      </c>
      <c r="D188" s="377">
        <v>342627.27</v>
      </c>
      <c r="E188" s="378">
        <v>356010.16000000003</v>
      </c>
      <c r="F188" s="377">
        <v>274308.91000000003</v>
      </c>
      <c r="G188" s="377">
        <v>297832.33</v>
      </c>
      <c r="H188" s="377"/>
      <c r="I188" s="377" t="s">
        <v>50</v>
      </c>
      <c r="J188" s="377"/>
      <c r="K188" s="377" t="s">
        <v>52</v>
      </c>
      <c r="L188" s="377"/>
      <c r="M188" s="377"/>
      <c r="N188" s="377"/>
      <c r="O188" s="321">
        <f>SUM(O4:O142)</f>
        <v>10235647.205021648</v>
      </c>
      <c r="P188" s="328">
        <f>SUM(P4:P142)</f>
        <v>10564100.953333333</v>
      </c>
      <c r="Q188" s="402">
        <f>SUM(Q4:Q187)</f>
        <v>3420690.0487539684</v>
      </c>
      <c r="R188" s="392">
        <f>SUM(R4:R187)</f>
        <v>13769483.107047619</v>
      </c>
      <c r="S188" s="322"/>
    </row>
    <row r="189" spans="1:19" s="410" customFormat="1" ht="13.2" customHeight="1" thickBot="1">
      <c r="A189" s="315"/>
      <c r="B189" s="316"/>
      <c r="C189" s="317"/>
      <c r="D189" s="377"/>
      <c r="E189" s="378"/>
      <c r="F189" s="377"/>
      <c r="G189" s="377"/>
      <c r="H189" s="377"/>
      <c r="I189" s="377"/>
      <c r="J189" s="377"/>
      <c r="K189" s="377"/>
      <c r="L189" s="377"/>
      <c r="M189" s="377"/>
      <c r="N189" s="377"/>
      <c r="O189" s="409"/>
      <c r="P189" s="328">
        <f>P144+P145+P146+P151+P152+P160+P161+P163+P166+P177+P178</f>
        <v>1324089.9583333335</v>
      </c>
      <c r="Q189" s="402"/>
      <c r="R189" s="392"/>
    </row>
    <row r="190" spans="1:19" s="410" customFormat="1" ht="13.2" customHeight="1" thickBot="1">
      <c r="A190" s="315"/>
      <c r="B190" s="316"/>
      <c r="C190" s="317"/>
      <c r="D190" s="377"/>
      <c r="E190" s="378"/>
      <c r="F190" s="377"/>
      <c r="G190" s="377"/>
      <c r="H190" s="377"/>
      <c r="I190" s="377"/>
      <c r="J190" s="377"/>
      <c r="K190" s="377"/>
      <c r="L190" s="377"/>
      <c r="M190" s="377"/>
      <c r="N190" s="377"/>
      <c r="O190" s="409"/>
      <c r="P190" s="328">
        <f>P144+P145+P146+P151+P152+P160+P161+P163+P166+P177+P178</f>
        <v>1324089.9583333335</v>
      </c>
      <c r="Q190" s="402"/>
      <c r="R190" s="392"/>
    </row>
    <row r="191" spans="1:19" s="344" customFormat="1" ht="14.4" thickBot="1">
      <c r="A191" s="343"/>
      <c r="B191" s="316"/>
      <c r="C191" s="317"/>
      <c r="D191" s="377"/>
      <c r="E191" s="378"/>
      <c r="F191" s="377"/>
      <c r="G191" s="377"/>
      <c r="H191" s="377"/>
      <c r="I191" s="377"/>
      <c r="J191" s="377"/>
      <c r="K191" s="377"/>
      <c r="L191" s="377"/>
      <c r="M191" s="377"/>
      <c r="N191" s="377"/>
      <c r="O191" s="318"/>
      <c r="P191" s="328" t="s">
        <v>631</v>
      </c>
      <c r="Q191" s="402"/>
      <c r="R191" s="392">
        <f>R188/12</f>
        <v>1147456.9255873016</v>
      </c>
    </row>
    <row r="192" spans="1:19">
      <c r="O192" s="76"/>
      <c r="P192" s="259" t="s">
        <v>632</v>
      </c>
      <c r="Q192" s="382">
        <f>COUNT(Q4:Q187)</f>
        <v>18</v>
      </c>
      <c r="R192" s="258">
        <f>R191/205000</f>
        <v>5.5973508565234225</v>
      </c>
    </row>
    <row r="193" spans="1:38">
      <c r="O193" s="76"/>
      <c r="P193" s="259" t="s">
        <v>633</v>
      </c>
      <c r="Q193" s="382">
        <f>Q188/Q192</f>
        <v>190038.33604188715</v>
      </c>
    </row>
    <row r="194" spans="1:38">
      <c r="O194" s="76"/>
      <c r="P194" s="259"/>
    </row>
    <row r="195" spans="1:38">
      <c r="O195" s="76"/>
      <c r="P195" s="259"/>
    </row>
    <row r="196" spans="1:38">
      <c r="O196" s="76"/>
      <c r="R196" s="258">
        <f>AA231</f>
        <v>5637500</v>
      </c>
    </row>
    <row r="197" spans="1:38">
      <c r="N197" s="51" t="s">
        <v>219</v>
      </c>
      <c r="O197" s="59">
        <v>1</v>
      </c>
      <c r="P197" s="60"/>
      <c r="Q197" s="403"/>
      <c r="R197" s="405">
        <f>(R196-R188)/R196*100</f>
        <v>-144.24803737556752</v>
      </c>
      <c r="S197" s="383"/>
      <c r="T197" s="60"/>
      <c r="U197" s="60"/>
      <c r="V197" s="60"/>
      <c r="W197" s="60"/>
      <c r="X197" s="60"/>
      <c r="Y197" s="60"/>
      <c r="Z197" s="60"/>
      <c r="AA197" s="60"/>
    </row>
    <row r="198" spans="1:38">
      <c r="N198" s="51" t="s">
        <v>179</v>
      </c>
      <c r="O198" s="61">
        <f>Q193</f>
        <v>190038.33604188715</v>
      </c>
      <c r="P198" s="61"/>
      <c r="Q198" s="403"/>
      <c r="R198" s="393"/>
      <c r="S198" s="383"/>
      <c r="T198" s="60"/>
      <c r="U198" s="60"/>
      <c r="V198" s="60"/>
      <c r="W198" s="60"/>
      <c r="X198" s="60"/>
      <c r="Y198" s="60"/>
      <c r="Z198" s="60"/>
      <c r="AA198" s="60"/>
    </row>
    <row r="199" spans="1:38" ht="13.2">
      <c r="A199" s="345"/>
      <c r="B199" s="346"/>
      <c r="C199" s="347"/>
      <c r="D199" s="350"/>
      <c r="E199" s="350"/>
      <c r="F199" s="350"/>
      <c r="G199" s="350"/>
      <c r="H199" s="350"/>
      <c r="I199" s="350"/>
      <c r="J199" s="350"/>
      <c r="K199" s="350"/>
      <c r="L199" s="350"/>
      <c r="M199" s="350"/>
      <c r="N199" s="381"/>
      <c r="O199" s="1949">
        <v>2024</v>
      </c>
      <c r="P199" s="1949"/>
      <c r="Q199" s="1949"/>
      <c r="R199" s="1949"/>
      <c r="S199" s="1949"/>
      <c r="T199" s="1949"/>
      <c r="U199" s="1949"/>
      <c r="V199" s="1949"/>
      <c r="W199" s="1949"/>
      <c r="X199" s="1949"/>
      <c r="Y199" s="1949"/>
      <c r="Z199" s="1949"/>
      <c r="AA199" s="1949">
        <v>2025</v>
      </c>
      <c r="AB199" s="1949"/>
      <c r="AC199" s="1949"/>
      <c r="AD199" s="1949"/>
      <c r="AE199" s="1949"/>
      <c r="AF199" s="1949"/>
      <c r="AG199" s="1949"/>
      <c r="AH199" s="1949"/>
      <c r="AI199" s="1949"/>
      <c r="AJ199" s="1949"/>
      <c r="AK199" s="1949"/>
      <c r="AL199" s="1949"/>
    </row>
    <row r="200" spans="1:38" ht="13.2">
      <c r="A200" s="345"/>
      <c r="B200" s="348"/>
      <c r="C200" s="348"/>
      <c r="D200" s="350"/>
      <c r="E200" s="350"/>
      <c r="F200" s="350"/>
      <c r="G200" s="350"/>
      <c r="H200" s="350"/>
      <c r="I200" s="350"/>
      <c r="J200" s="350"/>
      <c r="K200" s="350"/>
      <c r="L200" s="350"/>
      <c r="M200" s="350"/>
      <c r="N200" s="381"/>
      <c r="O200" s="60">
        <v>1</v>
      </c>
      <c r="P200" s="60">
        <v>2</v>
      </c>
      <c r="Q200" s="403">
        <v>3</v>
      </c>
      <c r="R200" s="393">
        <v>4</v>
      </c>
      <c r="S200" s="383">
        <v>5</v>
      </c>
      <c r="T200" s="60">
        <v>6</v>
      </c>
      <c r="U200" s="60">
        <v>7</v>
      </c>
      <c r="V200" s="60">
        <v>8</v>
      </c>
      <c r="W200" s="60">
        <v>9</v>
      </c>
      <c r="X200" s="60">
        <v>10</v>
      </c>
      <c r="Y200" s="60">
        <v>11</v>
      </c>
      <c r="Z200" s="60">
        <v>12</v>
      </c>
      <c r="AA200" s="60" t="s">
        <v>206</v>
      </c>
    </row>
    <row r="201" spans="1:38" ht="13.2">
      <c r="A201" s="349"/>
      <c r="B201" s="1950"/>
      <c r="C201" s="1950"/>
      <c r="D201" s="1950"/>
      <c r="E201" s="1950"/>
      <c r="F201" s="1950"/>
      <c r="G201" s="1950"/>
      <c r="H201" s="1950"/>
      <c r="I201" s="1950"/>
      <c r="J201" s="1950"/>
      <c r="K201" s="1950"/>
      <c r="L201" s="1950"/>
      <c r="M201" s="1950"/>
      <c r="N201" s="381"/>
      <c r="O201" s="64">
        <f>O198*O197</f>
        <v>190038.33604188715</v>
      </c>
      <c r="P201" s="64">
        <f t="shared" ref="P201:Z201" si="3">O201</f>
        <v>190038.33604188715</v>
      </c>
      <c r="Q201" s="403">
        <f t="shared" si="3"/>
        <v>190038.33604188715</v>
      </c>
      <c r="R201" s="405">
        <f t="shared" si="3"/>
        <v>190038.33604188715</v>
      </c>
      <c r="S201" s="406">
        <f t="shared" si="3"/>
        <v>190038.33604188715</v>
      </c>
      <c r="T201" s="64">
        <f t="shared" si="3"/>
        <v>190038.33604188715</v>
      </c>
      <c r="U201" s="64">
        <f t="shared" si="3"/>
        <v>190038.33604188715</v>
      </c>
      <c r="V201" s="64">
        <f t="shared" si="3"/>
        <v>190038.33604188715</v>
      </c>
      <c r="W201" s="64">
        <f t="shared" si="3"/>
        <v>190038.33604188715</v>
      </c>
      <c r="X201" s="64">
        <f t="shared" si="3"/>
        <v>190038.33604188715</v>
      </c>
      <c r="Y201" s="64">
        <f t="shared" si="3"/>
        <v>190038.33604188715</v>
      </c>
      <c r="Z201" s="64">
        <f t="shared" si="3"/>
        <v>190038.33604188715</v>
      </c>
      <c r="AA201" s="33"/>
    </row>
    <row r="202" spans="1:38" ht="13.2">
      <c r="A202" s="349"/>
      <c r="B202" s="347"/>
      <c r="C202" s="347"/>
      <c r="D202" s="350"/>
      <c r="E202" s="350"/>
      <c r="F202" s="350"/>
      <c r="G202" s="350"/>
      <c r="H202" s="350"/>
      <c r="I202" s="350"/>
      <c r="J202" s="350"/>
      <c r="K202" s="350"/>
      <c r="L202" s="350"/>
      <c r="M202" s="350"/>
      <c r="N202" s="381"/>
      <c r="O202" s="64"/>
      <c r="P202" s="64">
        <f t="shared" ref="P202:U202" si="4">P201</f>
        <v>190038.33604188715</v>
      </c>
      <c r="Q202" s="403">
        <f t="shared" si="4"/>
        <v>190038.33604188715</v>
      </c>
      <c r="R202" s="405">
        <f t="shared" si="4"/>
        <v>190038.33604188715</v>
      </c>
      <c r="S202" s="406">
        <f t="shared" si="4"/>
        <v>190038.33604188715</v>
      </c>
      <c r="T202" s="64">
        <f t="shared" si="4"/>
        <v>190038.33604188715</v>
      </c>
      <c r="U202" s="64">
        <f t="shared" si="4"/>
        <v>190038.33604188715</v>
      </c>
      <c r="V202" s="64">
        <f>U202</f>
        <v>190038.33604188715</v>
      </c>
      <c r="W202" s="64">
        <f>V202</f>
        <v>190038.33604188715</v>
      </c>
      <c r="X202" s="64">
        <f>W202</f>
        <v>190038.33604188715</v>
      </c>
      <c r="Y202" s="64">
        <f>X202</f>
        <v>190038.33604188715</v>
      </c>
      <c r="Z202" s="64">
        <f>Y202</f>
        <v>190038.33604188715</v>
      </c>
      <c r="AA202" s="33"/>
    </row>
    <row r="203" spans="1:38" ht="13.2">
      <c r="A203" s="349"/>
      <c r="B203" s="350"/>
      <c r="C203" s="347"/>
      <c r="D203" s="350"/>
      <c r="E203" s="350"/>
      <c r="F203" s="350"/>
      <c r="G203" s="350"/>
      <c r="H203" s="350"/>
      <c r="I203" s="350"/>
      <c r="J203" s="350"/>
      <c r="K203" s="350"/>
      <c r="L203" s="350"/>
      <c r="M203" s="350"/>
      <c r="N203" s="381"/>
      <c r="O203" s="64"/>
      <c r="P203" s="64"/>
      <c r="Q203" s="403">
        <f t="shared" ref="Q203:V203" si="5">Q202</f>
        <v>190038.33604188715</v>
      </c>
      <c r="R203" s="405">
        <f t="shared" si="5"/>
        <v>190038.33604188715</v>
      </c>
      <c r="S203" s="406">
        <f t="shared" si="5"/>
        <v>190038.33604188715</v>
      </c>
      <c r="T203" s="64">
        <f t="shared" si="5"/>
        <v>190038.33604188715</v>
      </c>
      <c r="U203" s="64">
        <f t="shared" si="5"/>
        <v>190038.33604188715</v>
      </c>
      <c r="V203" s="64">
        <f t="shared" si="5"/>
        <v>190038.33604188715</v>
      </c>
      <c r="W203" s="64">
        <f>V203</f>
        <v>190038.33604188715</v>
      </c>
      <c r="X203" s="64">
        <f>W203</f>
        <v>190038.33604188715</v>
      </c>
      <c r="Y203" s="64">
        <f>X203</f>
        <v>190038.33604188715</v>
      </c>
      <c r="Z203" s="64">
        <f>Y203</f>
        <v>190038.33604188715</v>
      </c>
      <c r="AA203" s="33"/>
    </row>
    <row r="204" spans="1:38" ht="13.2">
      <c r="A204" s="349"/>
      <c r="B204" s="347"/>
      <c r="C204" s="347"/>
      <c r="D204" s="350"/>
      <c r="E204" s="350"/>
      <c r="F204" s="350"/>
      <c r="G204" s="350"/>
      <c r="H204" s="350"/>
      <c r="I204" s="350"/>
      <c r="J204" s="350"/>
      <c r="K204" s="350"/>
      <c r="L204" s="350"/>
      <c r="M204" s="350"/>
      <c r="N204" s="381"/>
      <c r="O204" s="64"/>
      <c r="P204" s="64"/>
      <c r="Q204" s="403"/>
      <c r="R204" s="405">
        <f t="shared" ref="R204:W204" si="6">R203</f>
        <v>190038.33604188715</v>
      </c>
      <c r="S204" s="406">
        <f t="shared" si="6"/>
        <v>190038.33604188715</v>
      </c>
      <c r="T204" s="64">
        <f t="shared" si="6"/>
        <v>190038.33604188715</v>
      </c>
      <c r="U204" s="64">
        <f t="shared" si="6"/>
        <v>190038.33604188715</v>
      </c>
      <c r="V204" s="64">
        <f t="shared" si="6"/>
        <v>190038.33604188715</v>
      </c>
      <c r="W204" s="64">
        <f t="shared" si="6"/>
        <v>190038.33604188715</v>
      </c>
      <c r="X204" s="64">
        <f>W204</f>
        <v>190038.33604188715</v>
      </c>
      <c r="Y204" s="64">
        <f>X204</f>
        <v>190038.33604188715</v>
      </c>
      <c r="Z204" s="64">
        <f>Y204</f>
        <v>190038.33604188715</v>
      </c>
      <c r="AA204" s="33"/>
    </row>
    <row r="205" spans="1:38" ht="13.2">
      <c r="A205" s="349"/>
      <c r="B205" s="347"/>
      <c r="C205" s="347"/>
      <c r="D205" s="350"/>
      <c r="E205" s="350"/>
      <c r="F205" s="350"/>
      <c r="G205" s="350"/>
      <c r="H205" s="350"/>
      <c r="I205" s="350"/>
      <c r="J205" s="350"/>
      <c r="K205" s="350"/>
      <c r="L205" s="350"/>
      <c r="M205" s="350"/>
      <c r="N205" s="381"/>
      <c r="O205" s="64"/>
      <c r="P205" s="64"/>
      <c r="Q205" s="403"/>
      <c r="R205" s="405"/>
      <c r="S205" s="406">
        <f t="shared" ref="S205:X205" si="7">S204</f>
        <v>190038.33604188715</v>
      </c>
      <c r="T205" s="64">
        <f t="shared" si="7"/>
        <v>190038.33604188715</v>
      </c>
      <c r="U205" s="64">
        <f t="shared" si="7"/>
        <v>190038.33604188715</v>
      </c>
      <c r="V205" s="64">
        <f t="shared" si="7"/>
        <v>190038.33604188715</v>
      </c>
      <c r="W205" s="64">
        <f t="shared" si="7"/>
        <v>190038.33604188715</v>
      </c>
      <c r="X205" s="64">
        <f t="shared" si="7"/>
        <v>190038.33604188715</v>
      </c>
      <c r="Y205" s="64">
        <f>X205</f>
        <v>190038.33604188715</v>
      </c>
      <c r="Z205" s="64">
        <f>Y205</f>
        <v>190038.33604188715</v>
      </c>
      <c r="AA205" s="33"/>
    </row>
    <row r="206" spans="1:38" ht="13.2">
      <c r="A206" s="349"/>
      <c r="B206" s="347"/>
      <c r="C206" s="347"/>
      <c r="D206" s="350"/>
      <c r="E206" s="350"/>
      <c r="F206" s="350"/>
      <c r="G206" s="350"/>
      <c r="H206" s="350"/>
      <c r="I206" s="350"/>
      <c r="J206" s="350"/>
      <c r="K206" s="350"/>
      <c r="L206" s="350"/>
      <c r="M206" s="350"/>
      <c r="N206" s="381"/>
      <c r="O206" s="64"/>
      <c r="P206" s="64"/>
      <c r="Q206" s="403"/>
      <c r="R206" s="405"/>
      <c r="S206" s="406"/>
      <c r="T206" s="64">
        <f t="shared" ref="T206:Y206" si="8">T205</f>
        <v>190038.33604188715</v>
      </c>
      <c r="U206" s="64">
        <f t="shared" si="8"/>
        <v>190038.33604188715</v>
      </c>
      <c r="V206" s="64">
        <f t="shared" si="8"/>
        <v>190038.33604188715</v>
      </c>
      <c r="W206" s="64">
        <f t="shared" si="8"/>
        <v>190038.33604188715</v>
      </c>
      <c r="X206" s="64">
        <f t="shared" si="8"/>
        <v>190038.33604188715</v>
      </c>
      <c r="Y206" s="64">
        <f t="shared" si="8"/>
        <v>190038.33604188715</v>
      </c>
      <c r="Z206" s="64">
        <f>Y206</f>
        <v>190038.33604188715</v>
      </c>
      <c r="AA206" s="33"/>
    </row>
    <row r="207" spans="1:38" ht="13.2">
      <c r="A207" s="349"/>
      <c r="B207" s="347"/>
      <c r="C207" s="347"/>
      <c r="D207" s="350"/>
      <c r="E207" s="350"/>
      <c r="F207" s="350"/>
      <c r="G207" s="350"/>
      <c r="H207" s="350"/>
      <c r="I207" s="350"/>
      <c r="J207" s="350"/>
      <c r="K207" s="350"/>
      <c r="L207" s="350"/>
      <c r="M207" s="350"/>
      <c r="N207" s="381"/>
      <c r="O207" s="64"/>
      <c r="P207" s="64"/>
      <c r="Q207" s="403"/>
      <c r="R207" s="405"/>
      <c r="S207" s="406"/>
      <c r="T207" s="64"/>
      <c r="U207" s="64">
        <f t="shared" ref="U207:Z207" si="9">U206</f>
        <v>190038.33604188715</v>
      </c>
      <c r="V207" s="64">
        <f t="shared" si="9"/>
        <v>190038.33604188715</v>
      </c>
      <c r="W207" s="64">
        <f t="shared" si="9"/>
        <v>190038.33604188715</v>
      </c>
      <c r="X207" s="64">
        <f t="shared" si="9"/>
        <v>190038.33604188715</v>
      </c>
      <c r="Y207" s="64">
        <f t="shared" si="9"/>
        <v>190038.33604188715</v>
      </c>
      <c r="Z207" s="64">
        <f t="shared" si="9"/>
        <v>190038.33604188715</v>
      </c>
      <c r="AA207" s="33"/>
    </row>
    <row r="208" spans="1:38" ht="13.2">
      <c r="A208" s="349"/>
      <c r="B208" s="347"/>
      <c r="C208" s="347"/>
      <c r="D208" s="350"/>
      <c r="E208" s="350"/>
      <c r="F208" s="350"/>
      <c r="G208" s="350"/>
      <c r="H208" s="350"/>
      <c r="I208" s="350"/>
      <c r="J208" s="350"/>
      <c r="K208" s="350"/>
      <c r="L208" s="350"/>
      <c r="M208" s="350"/>
      <c r="N208" s="381"/>
      <c r="O208" s="64"/>
      <c r="P208" s="64"/>
      <c r="Q208" s="403"/>
      <c r="R208" s="405"/>
      <c r="S208" s="406"/>
      <c r="T208" s="64"/>
      <c r="U208" s="64"/>
      <c r="V208" s="64">
        <f>V207</f>
        <v>190038.33604188715</v>
      </c>
      <c r="W208" s="64">
        <f>W207</f>
        <v>190038.33604188715</v>
      </c>
      <c r="X208" s="64">
        <f>X207</f>
        <v>190038.33604188715</v>
      </c>
      <c r="Y208" s="64">
        <f>Y207</f>
        <v>190038.33604188715</v>
      </c>
      <c r="Z208" s="64">
        <f>Z207</f>
        <v>190038.33604188715</v>
      </c>
      <c r="AA208" s="33"/>
    </row>
    <row r="209" spans="1:27" ht="13.2">
      <c r="A209" s="349"/>
      <c r="B209" s="347"/>
      <c r="C209" s="347"/>
      <c r="D209" s="350"/>
      <c r="E209" s="350"/>
      <c r="F209" s="350"/>
      <c r="G209" s="350"/>
      <c r="H209" s="350"/>
      <c r="I209" s="350"/>
      <c r="J209" s="350"/>
      <c r="K209" s="350"/>
      <c r="L209" s="350"/>
      <c r="M209" s="350"/>
      <c r="N209" s="381"/>
      <c r="O209" s="64"/>
      <c r="P209" s="64"/>
      <c r="Q209" s="403"/>
      <c r="R209" s="405"/>
      <c r="S209" s="406"/>
      <c r="T209" s="64"/>
      <c r="U209" s="64"/>
      <c r="V209" s="64"/>
      <c r="W209" s="64">
        <f>W208</f>
        <v>190038.33604188715</v>
      </c>
      <c r="X209" s="64">
        <f>X208</f>
        <v>190038.33604188715</v>
      </c>
      <c r="Y209" s="64">
        <f>Y208</f>
        <v>190038.33604188715</v>
      </c>
      <c r="Z209" s="64">
        <f>Z208</f>
        <v>190038.33604188715</v>
      </c>
      <c r="AA209" s="33"/>
    </row>
    <row r="210" spans="1:27" ht="13.2">
      <c r="A210" s="349"/>
      <c r="B210" s="347"/>
      <c r="C210" s="347"/>
      <c r="D210" s="350"/>
      <c r="E210" s="350"/>
      <c r="F210" s="350"/>
      <c r="G210" s="350"/>
      <c r="H210" s="350"/>
      <c r="I210" s="350"/>
      <c r="J210" s="350"/>
      <c r="K210" s="350"/>
      <c r="L210" s="350"/>
      <c r="M210" s="350"/>
      <c r="N210" s="381"/>
      <c r="O210" s="64"/>
      <c r="P210" s="64"/>
      <c r="Q210" s="403"/>
      <c r="R210" s="405"/>
      <c r="S210" s="406"/>
      <c r="T210" s="64"/>
      <c r="U210" s="64"/>
      <c r="V210" s="64"/>
      <c r="W210" s="64"/>
      <c r="X210" s="64">
        <f>X209</f>
        <v>190038.33604188715</v>
      </c>
      <c r="Y210" s="64">
        <f>Y209</f>
        <v>190038.33604188715</v>
      </c>
      <c r="Z210" s="64">
        <f>Z209</f>
        <v>190038.33604188715</v>
      </c>
      <c r="AA210" s="33"/>
    </row>
    <row r="211" spans="1:27" ht="13.2">
      <c r="A211" s="349"/>
      <c r="B211" s="347"/>
      <c r="C211" s="347"/>
      <c r="D211" s="350"/>
      <c r="E211" s="350"/>
      <c r="F211" s="350"/>
      <c r="G211" s="350"/>
      <c r="H211" s="350"/>
      <c r="I211" s="350"/>
      <c r="J211" s="350"/>
      <c r="K211" s="350"/>
      <c r="L211" s="350"/>
      <c r="M211" s="350"/>
      <c r="N211" s="381"/>
      <c r="O211" s="64"/>
      <c r="P211" s="64"/>
      <c r="Q211" s="403"/>
      <c r="R211" s="405"/>
      <c r="S211" s="406"/>
      <c r="T211" s="64"/>
      <c r="U211" s="64"/>
      <c r="V211" s="64"/>
      <c r="W211" s="64"/>
      <c r="X211" s="64"/>
      <c r="Y211" s="64">
        <f>Y210</f>
        <v>190038.33604188715</v>
      </c>
      <c r="Z211" s="64">
        <f>Z210</f>
        <v>190038.33604188715</v>
      </c>
      <c r="AA211" s="33"/>
    </row>
    <row r="212" spans="1:27" ht="13.2">
      <c r="A212" s="349"/>
      <c r="B212" s="347"/>
      <c r="C212" s="347"/>
      <c r="D212" s="350"/>
      <c r="E212" s="350"/>
      <c r="F212" s="350"/>
      <c r="G212" s="350"/>
      <c r="H212" s="350"/>
      <c r="I212" s="350"/>
      <c r="J212" s="350"/>
      <c r="K212" s="350"/>
      <c r="L212" s="350"/>
      <c r="M212" s="350"/>
      <c r="N212" s="381"/>
      <c r="O212" s="64"/>
      <c r="P212" s="64"/>
      <c r="Q212" s="403"/>
      <c r="R212" s="405"/>
      <c r="S212" s="406"/>
      <c r="T212" s="64"/>
      <c r="U212" s="64"/>
      <c r="V212" s="64"/>
      <c r="W212" s="64"/>
      <c r="X212" s="64"/>
      <c r="Y212" s="64"/>
      <c r="Z212" s="64">
        <f>Z211</f>
        <v>190038.33604188715</v>
      </c>
      <c r="AA212" s="33"/>
    </row>
    <row r="213" spans="1:27" ht="13.2">
      <c r="A213" s="349"/>
      <c r="B213" s="347"/>
      <c r="C213" s="347"/>
      <c r="D213" s="350"/>
      <c r="E213" s="350"/>
      <c r="F213" s="350"/>
      <c r="G213" s="350"/>
      <c r="H213" s="350"/>
      <c r="I213" s="350"/>
      <c r="J213" s="350"/>
      <c r="K213" s="350"/>
      <c r="L213" s="350"/>
      <c r="M213" s="350"/>
      <c r="N213" s="51" t="s">
        <v>206</v>
      </c>
      <c r="O213" s="61">
        <f>SUM(O201:O212)</f>
        <v>190038.33604188715</v>
      </c>
      <c r="P213" s="61">
        <f t="shared" ref="P213:Z213" si="10">SUM(P201:P212)</f>
        <v>380076.67208377429</v>
      </c>
      <c r="Q213" s="404">
        <f t="shared" si="10"/>
        <v>570115.00812566141</v>
      </c>
      <c r="R213" s="407">
        <f t="shared" si="10"/>
        <v>760153.34416754858</v>
      </c>
      <c r="S213" s="408">
        <f t="shared" si="10"/>
        <v>950191.68020943576</v>
      </c>
      <c r="T213" s="61">
        <f t="shared" si="10"/>
        <v>1140230.0162513228</v>
      </c>
      <c r="U213" s="61">
        <f t="shared" si="10"/>
        <v>1330268.3522932099</v>
      </c>
      <c r="V213" s="61">
        <f t="shared" si="10"/>
        <v>1520306.6883350969</v>
      </c>
      <c r="W213" s="61">
        <f t="shared" si="10"/>
        <v>1710345.024376984</v>
      </c>
      <c r="X213" s="61">
        <f t="shared" si="10"/>
        <v>1900383.360418871</v>
      </c>
      <c r="Y213" s="61">
        <f t="shared" si="10"/>
        <v>2090421.6964607581</v>
      </c>
      <c r="Z213" s="61">
        <f t="shared" si="10"/>
        <v>2280460.0325026452</v>
      </c>
      <c r="AA213" s="335">
        <f>SUM(O213:Z213)</f>
        <v>14822990.211267196</v>
      </c>
    </row>
    <row r="214" spans="1:27">
      <c r="A214" s="349"/>
      <c r="B214" s="347"/>
      <c r="C214" s="347"/>
      <c r="D214" s="350"/>
      <c r="E214" s="350"/>
      <c r="F214" s="350"/>
      <c r="G214" s="350"/>
      <c r="H214" s="350"/>
      <c r="I214" s="350"/>
      <c r="J214" s="350"/>
      <c r="K214" s="350"/>
      <c r="L214" s="350"/>
      <c r="M214" s="350"/>
    </row>
    <row r="215" spans="1:27" ht="13.2">
      <c r="A215" s="345"/>
      <c r="B215" s="348"/>
      <c r="C215" s="346"/>
      <c r="D215" s="348"/>
      <c r="E215" s="348"/>
      <c r="F215" s="348"/>
      <c r="G215" s="348"/>
      <c r="H215" s="348"/>
      <c r="I215" s="348"/>
      <c r="J215" s="348"/>
      <c r="K215" s="348"/>
      <c r="L215" s="348"/>
      <c r="M215" s="348"/>
      <c r="N215" s="51" t="s">
        <v>219</v>
      </c>
      <c r="O215" s="59">
        <v>1</v>
      </c>
      <c r="P215" s="60"/>
      <c r="Q215" s="403"/>
      <c r="R215" s="393"/>
      <c r="S215" s="383"/>
      <c r="T215" s="60"/>
      <c r="U215" s="60"/>
      <c r="V215" s="60"/>
      <c r="W215" s="60"/>
      <c r="X215" s="60"/>
      <c r="Y215" s="60"/>
      <c r="Z215" s="60"/>
    </row>
    <row r="216" spans="1:27">
      <c r="A216" s="296"/>
      <c r="B216" s="288"/>
      <c r="C216" s="288"/>
      <c r="D216" s="363"/>
      <c r="F216" s="363"/>
      <c r="G216" s="363"/>
      <c r="H216" s="363"/>
      <c r="I216" s="363"/>
      <c r="J216" s="363"/>
      <c r="K216" s="363"/>
      <c r="L216" s="363"/>
      <c r="M216" s="363"/>
      <c r="N216" s="51" t="s">
        <v>179</v>
      </c>
      <c r="O216" s="61">
        <f>1640000/8</f>
        <v>205000</v>
      </c>
      <c r="P216" s="61"/>
      <c r="Q216" s="403"/>
      <c r="R216" s="393"/>
      <c r="S216" s="383"/>
      <c r="T216" s="60"/>
      <c r="U216" s="60"/>
      <c r="V216" s="60"/>
      <c r="W216" s="60"/>
      <c r="X216" s="60"/>
      <c r="Y216" s="60"/>
      <c r="Z216" s="60"/>
    </row>
    <row r="217" spans="1:27">
      <c r="A217" s="296"/>
      <c r="B217" s="288"/>
      <c r="C217" s="288"/>
      <c r="D217" s="363"/>
      <c r="F217" s="363"/>
      <c r="G217" s="363"/>
      <c r="H217" s="363"/>
      <c r="I217" s="363"/>
      <c r="J217" s="363"/>
      <c r="K217" s="363"/>
      <c r="L217" s="363"/>
      <c r="M217" s="363"/>
      <c r="N217" s="381"/>
      <c r="O217" s="1949">
        <v>2024</v>
      </c>
      <c r="P217" s="1949"/>
      <c r="Q217" s="1949"/>
      <c r="R217" s="1949"/>
      <c r="S217" s="1949"/>
      <c r="T217" s="1949"/>
      <c r="U217" s="1949"/>
      <c r="V217" s="1949"/>
      <c r="W217" s="1949"/>
      <c r="X217" s="1949"/>
      <c r="Y217" s="1949"/>
      <c r="Z217" s="1949"/>
    </row>
    <row r="218" spans="1:27">
      <c r="A218" s="296"/>
      <c r="B218" s="288"/>
      <c r="C218" s="288"/>
      <c r="D218" s="363"/>
      <c r="F218" s="363"/>
      <c r="G218" s="363"/>
      <c r="H218" s="363"/>
      <c r="I218" s="363"/>
      <c r="J218" s="363"/>
      <c r="K218" s="363"/>
      <c r="L218" s="363"/>
      <c r="M218" s="363"/>
      <c r="N218" s="381"/>
      <c r="O218" s="60">
        <v>1</v>
      </c>
      <c r="P218" s="60">
        <v>2</v>
      </c>
      <c r="Q218" s="403">
        <v>3</v>
      </c>
      <c r="R218" s="393">
        <v>4</v>
      </c>
      <c r="S218" s="383">
        <v>5</v>
      </c>
      <c r="T218" s="60">
        <v>6</v>
      </c>
      <c r="U218" s="60">
        <v>7</v>
      </c>
      <c r="V218" s="60">
        <v>8</v>
      </c>
      <c r="W218" s="60">
        <v>9</v>
      </c>
      <c r="X218" s="60">
        <v>10</v>
      </c>
      <c r="Y218" s="60">
        <v>11</v>
      </c>
      <c r="Z218" s="60">
        <v>12</v>
      </c>
    </row>
    <row r="219" spans="1:27">
      <c r="A219" s="296"/>
      <c r="B219" s="288"/>
      <c r="C219" s="288"/>
      <c r="D219" s="363"/>
      <c r="F219" s="363"/>
      <c r="G219" s="363"/>
      <c r="H219" s="363"/>
      <c r="I219" s="363"/>
      <c r="J219" s="363"/>
      <c r="K219" s="363"/>
      <c r="L219" s="363"/>
      <c r="M219" s="363"/>
      <c r="N219" s="381"/>
      <c r="O219" s="64"/>
      <c r="P219" s="60">
        <f t="shared" ref="P219:Z219" si="11">O219</f>
        <v>0</v>
      </c>
      <c r="Q219" s="403">
        <f>O216*0.5</f>
        <v>102500</v>
      </c>
      <c r="R219" s="393">
        <f t="shared" si="11"/>
        <v>102500</v>
      </c>
      <c r="S219" s="383">
        <f t="shared" si="11"/>
        <v>102500</v>
      </c>
      <c r="T219" s="60">
        <f t="shared" si="11"/>
        <v>102500</v>
      </c>
      <c r="U219" s="60">
        <f t="shared" si="11"/>
        <v>102500</v>
      </c>
      <c r="V219" s="60">
        <f t="shared" si="11"/>
        <v>102500</v>
      </c>
      <c r="W219" s="60">
        <f t="shared" si="11"/>
        <v>102500</v>
      </c>
      <c r="X219" s="60">
        <f t="shared" si="11"/>
        <v>102500</v>
      </c>
      <c r="Y219" s="60">
        <f t="shared" si="11"/>
        <v>102500</v>
      </c>
      <c r="Z219" s="60">
        <f t="shared" si="11"/>
        <v>102500</v>
      </c>
    </row>
    <row r="220" spans="1:27">
      <c r="A220" s="296"/>
      <c r="B220" s="288"/>
      <c r="C220" s="288"/>
      <c r="D220" s="363"/>
      <c r="F220" s="363"/>
      <c r="G220" s="363"/>
      <c r="H220" s="363"/>
      <c r="I220" s="363"/>
      <c r="J220" s="363"/>
      <c r="K220" s="363"/>
      <c r="L220" s="363"/>
      <c r="M220" s="363"/>
      <c r="N220" s="381"/>
      <c r="O220" s="60"/>
      <c r="P220" s="60">
        <f t="shared" ref="P220:U220" si="12">P219</f>
        <v>0</v>
      </c>
      <c r="Q220" s="403"/>
      <c r="R220" s="393">
        <f t="shared" si="12"/>
        <v>102500</v>
      </c>
      <c r="S220" s="383">
        <f t="shared" si="12"/>
        <v>102500</v>
      </c>
      <c r="T220" s="60">
        <f t="shared" si="12"/>
        <v>102500</v>
      </c>
      <c r="U220" s="60">
        <f t="shared" si="12"/>
        <v>102500</v>
      </c>
      <c r="V220" s="60">
        <f>U220</f>
        <v>102500</v>
      </c>
      <c r="W220" s="60">
        <f>V220</f>
        <v>102500</v>
      </c>
      <c r="X220" s="60">
        <f>W220</f>
        <v>102500</v>
      </c>
      <c r="Y220" s="60">
        <f>X220</f>
        <v>102500</v>
      </c>
      <c r="Z220" s="60">
        <f>Y220</f>
        <v>102500</v>
      </c>
    </row>
    <row r="221" spans="1:27">
      <c r="A221" s="296"/>
      <c r="B221" s="288"/>
      <c r="C221" s="288"/>
      <c r="D221" s="363"/>
      <c r="F221" s="363"/>
      <c r="G221" s="363"/>
      <c r="H221" s="363"/>
      <c r="I221" s="363"/>
      <c r="J221" s="363"/>
      <c r="K221" s="363"/>
      <c r="L221" s="363"/>
      <c r="M221" s="363"/>
      <c r="N221" s="381"/>
      <c r="O221" s="60"/>
      <c r="P221" s="60"/>
      <c r="Q221" s="403"/>
      <c r="R221" s="393"/>
      <c r="S221" s="383">
        <f>S220</f>
        <v>102500</v>
      </c>
      <c r="T221" s="60">
        <f>T220</f>
        <v>102500</v>
      </c>
      <c r="U221" s="60">
        <f>U220</f>
        <v>102500</v>
      </c>
      <c r="V221" s="60">
        <f>V220</f>
        <v>102500</v>
      </c>
      <c r="W221" s="60">
        <f>V221</f>
        <v>102500</v>
      </c>
      <c r="X221" s="60">
        <f>W221</f>
        <v>102500</v>
      </c>
      <c r="Y221" s="60">
        <f>X221</f>
        <v>102500</v>
      </c>
      <c r="Z221" s="60">
        <f>Y221</f>
        <v>102500</v>
      </c>
    </row>
    <row r="222" spans="1:27">
      <c r="A222" s="296"/>
      <c r="B222" s="288"/>
      <c r="C222" s="288"/>
      <c r="D222" s="363"/>
      <c r="F222" s="363"/>
      <c r="G222" s="363"/>
      <c r="H222" s="363"/>
      <c r="I222" s="363"/>
      <c r="J222" s="363"/>
      <c r="K222" s="363"/>
      <c r="L222" s="363"/>
      <c r="M222" s="363"/>
      <c r="N222" s="381"/>
      <c r="O222" s="60"/>
      <c r="P222" s="60"/>
      <c r="Q222" s="403"/>
      <c r="R222" s="393"/>
      <c r="S222" s="383"/>
      <c r="T222" s="60">
        <f>T221</f>
        <v>102500</v>
      </c>
      <c r="U222" s="60">
        <f>U221</f>
        <v>102500</v>
      </c>
      <c r="V222" s="60">
        <f>V221</f>
        <v>102500</v>
      </c>
      <c r="W222" s="60">
        <f>W221</f>
        <v>102500</v>
      </c>
      <c r="X222" s="60">
        <f>W222</f>
        <v>102500</v>
      </c>
      <c r="Y222" s="60">
        <f>X222</f>
        <v>102500</v>
      </c>
      <c r="Z222" s="60">
        <f>Y222</f>
        <v>102500</v>
      </c>
    </row>
    <row r="223" spans="1:27">
      <c r="A223" s="296"/>
      <c r="B223" s="288"/>
      <c r="C223" s="288"/>
      <c r="D223" s="363"/>
      <c r="F223" s="363"/>
      <c r="G223" s="363"/>
      <c r="H223" s="363"/>
      <c r="I223" s="363"/>
      <c r="J223" s="363"/>
      <c r="K223" s="363"/>
      <c r="L223" s="363"/>
      <c r="M223" s="363"/>
      <c r="N223" s="381"/>
      <c r="O223" s="60"/>
      <c r="P223" s="60"/>
      <c r="Q223" s="403"/>
      <c r="R223" s="393"/>
      <c r="S223" s="383"/>
      <c r="T223" s="60"/>
      <c r="U223" s="60">
        <f>U222</f>
        <v>102500</v>
      </c>
      <c r="V223" s="60">
        <f>V222</f>
        <v>102500</v>
      </c>
      <c r="W223" s="60">
        <f>W222</f>
        <v>102500</v>
      </c>
      <c r="X223" s="60">
        <f>X222</f>
        <v>102500</v>
      </c>
      <c r="Y223" s="60">
        <f>X223</f>
        <v>102500</v>
      </c>
      <c r="Z223" s="60">
        <f>Y223</f>
        <v>102500</v>
      </c>
    </row>
    <row r="224" spans="1:27">
      <c r="A224" s="296"/>
      <c r="B224" s="288"/>
      <c r="C224" s="288"/>
      <c r="D224" s="363"/>
      <c r="F224" s="363"/>
      <c r="G224" s="363"/>
      <c r="H224" s="363"/>
      <c r="I224" s="363"/>
      <c r="J224" s="363"/>
      <c r="K224" s="363"/>
      <c r="L224" s="363"/>
      <c r="M224" s="363"/>
      <c r="N224" s="381"/>
      <c r="O224" s="60"/>
      <c r="P224" s="60"/>
      <c r="Q224" s="403"/>
      <c r="R224" s="393"/>
      <c r="S224" s="383"/>
      <c r="T224" s="60"/>
      <c r="U224" s="60"/>
      <c r="V224" s="60">
        <f>V223</f>
        <v>102500</v>
      </c>
      <c r="W224" s="60">
        <f>W223</f>
        <v>102500</v>
      </c>
      <c r="X224" s="60">
        <f>X223</f>
        <v>102500</v>
      </c>
      <c r="Y224" s="60">
        <f>Y223</f>
        <v>102500</v>
      </c>
      <c r="Z224" s="60">
        <f>Y224</f>
        <v>102500</v>
      </c>
    </row>
    <row r="225" spans="1:27">
      <c r="A225" s="296"/>
      <c r="B225" s="288"/>
      <c r="C225" s="288"/>
      <c r="D225" s="363"/>
      <c r="F225" s="363"/>
      <c r="G225" s="363"/>
      <c r="H225" s="363"/>
      <c r="I225" s="363"/>
      <c r="J225" s="363"/>
      <c r="K225" s="363"/>
      <c r="L225" s="363"/>
      <c r="M225" s="363"/>
      <c r="N225" s="381"/>
      <c r="O225" s="60"/>
      <c r="P225" s="60"/>
      <c r="Q225" s="403"/>
      <c r="R225" s="393"/>
      <c r="S225" s="383"/>
      <c r="T225" s="60"/>
      <c r="U225" s="60"/>
      <c r="V225" s="60"/>
      <c r="W225" s="60">
        <f>W224</f>
        <v>102500</v>
      </c>
      <c r="X225" s="60">
        <f>X224</f>
        <v>102500</v>
      </c>
      <c r="Y225" s="60">
        <f>Y224</f>
        <v>102500</v>
      </c>
      <c r="Z225" s="60">
        <f>Z224</f>
        <v>102500</v>
      </c>
    </row>
    <row r="226" spans="1:27">
      <c r="A226" s="296"/>
      <c r="B226" s="288"/>
      <c r="C226" s="288"/>
      <c r="D226" s="363"/>
      <c r="F226" s="363"/>
      <c r="G226" s="363"/>
      <c r="H226" s="363"/>
      <c r="I226" s="363"/>
      <c r="J226" s="363"/>
      <c r="K226" s="363"/>
      <c r="L226" s="363"/>
      <c r="M226" s="363"/>
      <c r="N226" s="381"/>
      <c r="O226" s="60"/>
      <c r="P226" s="60"/>
      <c r="Q226" s="403"/>
      <c r="R226" s="393"/>
      <c r="S226" s="383"/>
      <c r="T226" s="60"/>
      <c r="U226" s="60"/>
      <c r="V226" s="60"/>
      <c r="W226" s="60"/>
      <c r="X226" s="60">
        <f>X225</f>
        <v>102500</v>
      </c>
      <c r="Y226" s="60">
        <f>Y225</f>
        <v>102500</v>
      </c>
      <c r="Z226" s="60">
        <f>Z225</f>
        <v>102500</v>
      </c>
    </row>
    <row r="227" spans="1:27">
      <c r="A227" s="296"/>
      <c r="B227" s="288"/>
      <c r="C227" s="288"/>
      <c r="D227" s="363"/>
      <c r="F227" s="363"/>
      <c r="G227" s="363"/>
      <c r="H227" s="363"/>
      <c r="I227" s="363"/>
      <c r="J227" s="363"/>
      <c r="K227" s="363"/>
      <c r="L227" s="363"/>
      <c r="M227" s="363"/>
      <c r="N227" s="381"/>
      <c r="O227" s="60"/>
      <c r="P227" s="60"/>
      <c r="Q227" s="403"/>
      <c r="R227" s="393"/>
      <c r="S227" s="383"/>
      <c r="T227" s="60"/>
      <c r="U227" s="60"/>
      <c r="V227" s="60"/>
      <c r="W227" s="60"/>
      <c r="X227" s="60"/>
      <c r="Y227" s="60">
        <f>Y226</f>
        <v>102500</v>
      </c>
      <c r="Z227" s="60">
        <f>Z226</f>
        <v>102500</v>
      </c>
    </row>
    <row r="228" spans="1:27">
      <c r="A228" s="296"/>
      <c r="B228" s="288"/>
      <c r="C228" s="288"/>
      <c r="D228" s="363"/>
      <c r="F228" s="363"/>
      <c r="G228" s="363"/>
      <c r="H228" s="363"/>
      <c r="I228" s="363"/>
      <c r="J228" s="363"/>
      <c r="K228" s="363"/>
      <c r="L228" s="363"/>
      <c r="M228" s="363"/>
      <c r="N228" s="381"/>
      <c r="O228" s="60"/>
      <c r="P228" s="60"/>
      <c r="Q228" s="403"/>
      <c r="R228" s="393"/>
      <c r="S228" s="383"/>
      <c r="T228" s="60"/>
      <c r="U228" s="60"/>
      <c r="V228" s="60"/>
      <c r="W228" s="60"/>
      <c r="X228" s="60"/>
      <c r="Y228" s="60"/>
      <c r="Z228" s="60">
        <f>Z227</f>
        <v>102500</v>
      </c>
    </row>
    <row r="229" spans="1:27">
      <c r="A229" s="296"/>
      <c r="B229" s="288"/>
      <c r="C229" s="288"/>
      <c r="D229" s="363"/>
      <c r="F229" s="363"/>
      <c r="G229" s="363"/>
      <c r="H229" s="363"/>
      <c r="I229" s="363"/>
      <c r="J229" s="363"/>
      <c r="K229" s="363"/>
      <c r="L229" s="363"/>
      <c r="M229" s="363"/>
      <c r="N229" s="381"/>
      <c r="O229" s="60"/>
      <c r="P229" s="60"/>
      <c r="Q229" s="403"/>
      <c r="R229" s="393"/>
      <c r="S229" s="383"/>
      <c r="T229" s="60"/>
      <c r="U229" s="60"/>
      <c r="V229" s="60"/>
      <c r="W229" s="60"/>
      <c r="X229" s="60"/>
      <c r="Y229" s="60"/>
      <c r="Z229" s="60"/>
    </row>
    <row r="230" spans="1:27">
      <c r="N230" s="381"/>
      <c r="O230" s="60"/>
      <c r="P230" s="60"/>
      <c r="Q230" s="403"/>
      <c r="R230" s="393"/>
      <c r="S230" s="383"/>
      <c r="T230" s="60"/>
      <c r="U230" s="60"/>
      <c r="V230" s="60"/>
      <c r="W230" s="60"/>
      <c r="X230" s="60"/>
      <c r="Y230" s="60"/>
      <c r="Z230" s="60"/>
    </row>
    <row r="231" spans="1:27">
      <c r="N231" s="51" t="s">
        <v>206</v>
      </c>
      <c r="O231" s="61">
        <f>SUM(O219:O230)</f>
        <v>0</v>
      </c>
      <c r="P231" s="59">
        <f t="shared" ref="P231:Z231" si="13">SUM(P219:P230)</f>
        <v>0</v>
      </c>
      <c r="Q231" s="404">
        <f t="shared" si="13"/>
        <v>102500</v>
      </c>
      <c r="R231" s="394">
        <f t="shared" si="13"/>
        <v>205000</v>
      </c>
      <c r="S231" s="384">
        <f t="shared" si="13"/>
        <v>307500</v>
      </c>
      <c r="T231" s="59">
        <f t="shared" si="13"/>
        <v>410000</v>
      </c>
      <c r="U231" s="59">
        <f t="shared" si="13"/>
        <v>512500</v>
      </c>
      <c r="V231" s="59">
        <f t="shared" si="13"/>
        <v>615000</v>
      </c>
      <c r="W231" s="59">
        <f t="shared" si="13"/>
        <v>717500</v>
      </c>
      <c r="X231" s="59">
        <f t="shared" si="13"/>
        <v>820000</v>
      </c>
      <c r="Y231" s="59">
        <f t="shared" si="13"/>
        <v>922500</v>
      </c>
      <c r="Z231" s="59">
        <f t="shared" si="13"/>
        <v>1025000</v>
      </c>
      <c r="AA231" s="335">
        <f>SUM(O231:Z231)</f>
        <v>5637500</v>
      </c>
    </row>
  </sheetData>
  <autoFilter ref="A3:O3" xr:uid="{3E85F1FC-165B-4817-9DC2-99D997DFD7F2}"/>
  <mergeCells count="4">
    <mergeCell ref="AA199:AL199"/>
    <mergeCell ref="O217:Z217"/>
    <mergeCell ref="B201:M201"/>
    <mergeCell ref="O199:Z199"/>
  </mergeCells>
  <phoneticPr fontId="29" type="noConversion"/>
  <hyperlinks>
    <hyperlink ref="C44" r:id="rId1" xr:uid="{8C56CE47-2E7A-4993-8F02-47EF16B85EEF}"/>
    <hyperlink ref="C96" r:id="rId2" xr:uid="{E4ED3609-1B04-4103-B91A-A88C53C76111}"/>
    <hyperlink ref="C110" r:id="rId3" display="http://jurassicocean.ru/" xr:uid="{BBBC77B8-1D36-474A-9283-6FB529840F12}"/>
  </hyperlinks>
  <pageMargins left="0.7" right="0.7" top="0.75" bottom="0.75" header="0.3" footer="0.3"/>
  <pageSetup paperSize="9" orientation="portrait"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73353-680F-4075-8177-A8F2A7BEE762}">
  <dimension ref="A1:Y75"/>
  <sheetViews>
    <sheetView topLeftCell="A25" workbookViewId="0">
      <selection activeCell="B49" sqref="B49"/>
    </sheetView>
  </sheetViews>
  <sheetFormatPr defaultRowHeight="13.2"/>
  <cols>
    <col min="1" max="1" width="29.88671875" customWidth="1"/>
    <col min="2" max="2" width="12.6640625" bestFit="1" customWidth="1"/>
    <col min="3" max="3" width="11" bestFit="1" customWidth="1"/>
    <col min="4" max="13" width="12.6640625" bestFit="1" customWidth="1"/>
    <col min="14" max="14" width="14" bestFit="1" customWidth="1"/>
    <col min="15" max="18" width="9.109375" bestFit="1" customWidth="1"/>
    <col min="19" max="20" width="9" bestFit="1" customWidth="1"/>
    <col min="21" max="21" width="10.109375" bestFit="1" customWidth="1"/>
    <col min="22" max="23" width="9" bestFit="1" customWidth="1"/>
  </cols>
  <sheetData>
    <row r="1" spans="1:25" s="77" customFormat="1" ht="13.8" thickBot="1"/>
    <row r="2" spans="1:25" s="859" customFormat="1" ht="15.6">
      <c r="A2" s="1957" t="s">
        <v>792</v>
      </c>
      <c r="B2" s="1958"/>
      <c r="C2" s="1958"/>
      <c r="D2" s="1958"/>
      <c r="E2" s="1958"/>
      <c r="F2" s="1958"/>
      <c r="G2" s="1959"/>
      <c r="H2" s="856"/>
      <c r="I2" s="856"/>
      <c r="J2" s="856"/>
      <c r="K2" s="856"/>
      <c r="L2" s="856"/>
      <c r="M2" s="856"/>
      <c r="N2" s="857"/>
      <c r="O2" s="858"/>
      <c r="P2" s="858"/>
      <c r="Q2" s="858"/>
      <c r="R2" s="858"/>
      <c r="S2" s="858"/>
      <c r="T2" s="858"/>
      <c r="U2" s="858"/>
      <c r="V2" s="858"/>
      <c r="W2" s="858"/>
      <c r="X2" s="858"/>
      <c r="Y2" s="858"/>
    </row>
    <row r="3" spans="1:25">
      <c r="A3" s="844" t="s">
        <v>205</v>
      </c>
      <c r="B3" s="59">
        <v>1</v>
      </c>
      <c r="C3" s="855"/>
      <c r="D3" s="855"/>
      <c r="E3" s="60"/>
      <c r="F3" s="60"/>
      <c r="G3" s="60"/>
      <c r="H3" s="60"/>
      <c r="I3" s="60"/>
      <c r="J3" s="60"/>
      <c r="K3" s="60"/>
      <c r="L3" s="60"/>
      <c r="M3" s="60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</row>
    <row r="4" spans="1:25">
      <c r="A4" s="844" t="s">
        <v>179</v>
      </c>
      <c r="B4" s="61">
        <v>180000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</row>
    <row r="5" spans="1:25">
      <c r="A5" s="844" t="s">
        <v>794</v>
      </c>
      <c r="B5" s="404">
        <v>12</v>
      </c>
      <c r="C5" s="840"/>
      <c r="D5" s="840"/>
      <c r="E5" s="840"/>
      <c r="F5" s="840"/>
      <c r="G5" s="840"/>
      <c r="H5" s="840"/>
      <c r="I5" s="840"/>
      <c r="J5" s="840"/>
      <c r="K5" s="840"/>
      <c r="L5" s="840"/>
      <c r="M5" s="383"/>
      <c r="N5" s="841"/>
      <c r="O5" s="842"/>
      <c r="P5" s="842"/>
      <c r="Q5" s="842"/>
      <c r="R5" s="842"/>
      <c r="S5" s="842"/>
      <c r="T5" s="842"/>
      <c r="U5" s="842"/>
      <c r="V5" s="842"/>
      <c r="W5" s="842"/>
      <c r="X5" s="842"/>
      <c r="Y5" s="843"/>
    </row>
    <row r="6" spans="1:25">
      <c r="A6" s="845"/>
      <c r="B6" s="1951">
        <v>2025</v>
      </c>
      <c r="C6" s="1952"/>
      <c r="D6" s="1952"/>
      <c r="E6" s="1952"/>
      <c r="F6" s="1952"/>
      <c r="G6" s="1952"/>
      <c r="H6" s="1952"/>
      <c r="I6" s="1952"/>
      <c r="J6" s="1952"/>
      <c r="K6" s="1952"/>
      <c r="L6" s="1952"/>
      <c r="M6" s="1953"/>
      <c r="N6" s="1954">
        <v>2026</v>
      </c>
      <c r="O6" s="1955"/>
      <c r="P6" s="1955"/>
      <c r="Q6" s="1955"/>
      <c r="R6" s="1955"/>
      <c r="S6" s="1955"/>
      <c r="T6" s="1955"/>
      <c r="U6" s="1955"/>
      <c r="V6" s="1955"/>
      <c r="W6" s="1955"/>
      <c r="X6" s="1955"/>
      <c r="Y6" s="1956"/>
    </row>
    <row r="7" spans="1:25">
      <c r="A7" s="845"/>
      <c r="B7" s="60">
        <v>1</v>
      </c>
      <c r="C7" s="60">
        <v>2</v>
      </c>
      <c r="D7" s="60">
        <v>3</v>
      </c>
      <c r="E7" s="60">
        <v>4</v>
      </c>
      <c r="F7" s="60">
        <v>5</v>
      </c>
      <c r="G7" s="60">
        <v>6</v>
      </c>
      <c r="H7" s="60">
        <v>7</v>
      </c>
      <c r="I7" s="60">
        <v>8</v>
      </c>
      <c r="J7" s="60">
        <v>9</v>
      </c>
      <c r="K7" s="60">
        <v>10</v>
      </c>
      <c r="L7" s="60">
        <v>11</v>
      </c>
      <c r="M7" s="60">
        <v>12</v>
      </c>
      <c r="N7" s="48">
        <v>1</v>
      </c>
      <c r="O7" s="48">
        <v>2</v>
      </c>
      <c r="P7" s="48">
        <v>3</v>
      </c>
      <c r="Q7" s="48">
        <v>4</v>
      </c>
      <c r="R7" s="48">
        <v>5</v>
      </c>
      <c r="S7" s="48">
        <v>6</v>
      </c>
      <c r="T7" s="48">
        <v>7</v>
      </c>
      <c r="U7" s="48">
        <v>8</v>
      </c>
      <c r="V7" s="48">
        <v>9</v>
      </c>
      <c r="W7" s="48">
        <v>10</v>
      </c>
      <c r="X7" s="48">
        <v>11</v>
      </c>
      <c r="Y7" s="48">
        <v>12</v>
      </c>
    </row>
    <row r="8" spans="1:25">
      <c r="A8" s="845"/>
      <c r="B8" s="64">
        <f>B3*B4</f>
        <v>180000</v>
      </c>
      <c r="C8" s="64">
        <f t="shared" ref="C8:M8" si="0">B8</f>
        <v>180000</v>
      </c>
      <c r="D8" s="64">
        <f t="shared" si="0"/>
        <v>180000</v>
      </c>
      <c r="E8" s="64">
        <f t="shared" si="0"/>
        <v>180000</v>
      </c>
      <c r="F8" s="64">
        <f t="shared" si="0"/>
        <v>180000</v>
      </c>
      <c r="G8" s="64">
        <f t="shared" si="0"/>
        <v>180000</v>
      </c>
      <c r="H8" s="64">
        <f t="shared" si="0"/>
        <v>180000</v>
      </c>
      <c r="I8" s="64">
        <f t="shared" si="0"/>
        <v>180000</v>
      </c>
      <c r="J8" s="64">
        <f t="shared" si="0"/>
        <v>180000</v>
      </c>
      <c r="K8" s="64">
        <f t="shared" si="0"/>
        <v>180000</v>
      </c>
      <c r="L8" s="64">
        <f t="shared" si="0"/>
        <v>180000</v>
      </c>
      <c r="M8" s="64">
        <f t="shared" si="0"/>
        <v>180000</v>
      </c>
      <c r="N8" s="381"/>
      <c r="O8" s="381"/>
      <c r="P8" s="381"/>
      <c r="Q8" s="381"/>
      <c r="R8" s="381"/>
      <c r="S8" s="381"/>
      <c r="T8" s="381"/>
      <c r="U8" s="381"/>
      <c r="V8" s="381"/>
      <c r="W8" s="381"/>
      <c r="X8" s="381"/>
      <c r="Y8" s="48"/>
    </row>
    <row r="9" spans="1:25">
      <c r="A9" s="845"/>
      <c r="B9" s="64"/>
      <c r="C9" s="64">
        <f>B8</f>
        <v>180000</v>
      </c>
      <c r="D9" s="64">
        <f t="shared" ref="D9:M9" si="1">C9</f>
        <v>180000</v>
      </c>
      <c r="E9" s="64">
        <f t="shared" si="1"/>
        <v>180000</v>
      </c>
      <c r="F9" s="64">
        <f t="shared" si="1"/>
        <v>180000</v>
      </c>
      <c r="G9" s="64">
        <f t="shared" si="1"/>
        <v>180000</v>
      </c>
      <c r="H9" s="64">
        <f t="shared" si="1"/>
        <v>180000</v>
      </c>
      <c r="I9" s="64">
        <f t="shared" si="1"/>
        <v>180000</v>
      </c>
      <c r="J9" s="64">
        <f t="shared" si="1"/>
        <v>180000</v>
      </c>
      <c r="K9" s="64">
        <f t="shared" si="1"/>
        <v>180000</v>
      </c>
      <c r="L9" s="64">
        <f t="shared" si="1"/>
        <v>180000</v>
      </c>
      <c r="M9" s="64">
        <f t="shared" si="1"/>
        <v>180000</v>
      </c>
      <c r="N9" s="64">
        <f t="shared" ref="N9:N15" si="2">M9</f>
        <v>180000</v>
      </c>
      <c r="O9" s="381"/>
      <c r="P9" s="381"/>
      <c r="Q9" s="381"/>
      <c r="R9" s="381"/>
      <c r="S9" s="381"/>
      <c r="T9" s="381"/>
      <c r="U9" s="381"/>
      <c r="V9" s="381"/>
      <c r="W9" s="381"/>
      <c r="X9" s="381"/>
      <c r="Y9" s="48"/>
    </row>
    <row r="10" spans="1:25">
      <c r="A10" s="845"/>
      <c r="B10" s="64"/>
      <c r="C10" s="64"/>
      <c r="D10" s="64">
        <f>D9</f>
        <v>180000</v>
      </c>
      <c r="E10" s="64">
        <f t="shared" ref="E10:M10" si="3">D10</f>
        <v>180000</v>
      </c>
      <c r="F10" s="64">
        <f t="shared" si="3"/>
        <v>180000</v>
      </c>
      <c r="G10" s="64">
        <f t="shared" si="3"/>
        <v>180000</v>
      </c>
      <c r="H10" s="64">
        <f t="shared" si="3"/>
        <v>180000</v>
      </c>
      <c r="I10" s="64">
        <f t="shared" si="3"/>
        <v>180000</v>
      </c>
      <c r="J10" s="64">
        <f t="shared" si="3"/>
        <v>180000</v>
      </c>
      <c r="K10" s="64">
        <f t="shared" si="3"/>
        <v>180000</v>
      </c>
      <c r="L10" s="64">
        <f t="shared" si="3"/>
        <v>180000</v>
      </c>
      <c r="M10" s="64">
        <f t="shared" si="3"/>
        <v>180000</v>
      </c>
      <c r="N10" s="64">
        <f t="shared" si="2"/>
        <v>180000</v>
      </c>
      <c r="O10" s="64">
        <f t="shared" ref="O10:O15" si="4">N10</f>
        <v>180000</v>
      </c>
      <c r="P10" s="381"/>
      <c r="Q10" s="381"/>
      <c r="R10" s="381"/>
      <c r="S10" s="381"/>
      <c r="T10" s="381"/>
      <c r="U10" s="381"/>
      <c r="V10" s="381"/>
      <c r="W10" s="381"/>
      <c r="X10" s="381"/>
      <c r="Y10" s="48"/>
    </row>
    <row r="11" spans="1:25">
      <c r="A11" s="845"/>
      <c r="B11" s="64"/>
      <c r="C11" s="64"/>
      <c r="D11" s="64"/>
      <c r="E11" s="64">
        <f>E10</f>
        <v>180000</v>
      </c>
      <c r="F11" s="64">
        <f t="shared" ref="F11:M11" si="5">E11</f>
        <v>180000</v>
      </c>
      <c r="G11" s="64">
        <f t="shared" si="5"/>
        <v>180000</v>
      </c>
      <c r="H11" s="64">
        <f t="shared" si="5"/>
        <v>180000</v>
      </c>
      <c r="I11" s="64">
        <f t="shared" si="5"/>
        <v>180000</v>
      </c>
      <c r="J11" s="64">
        <f t="shared" si="5"/>
        <v>180000</v>
      </c>
      <c r="K11" s="64">
        <f t="shared" si="5"/>
        <v>180000</v>
      </c>
      <c r="L11" s="64">
        <f t="shared" si="5"/>
        <v>180000</v>
      </c>
      <c r="M11" s="64">
        <f t="shared" si="5"/>
        <v>180000</v>
      </c>
      <c r="N11" s="64">
        <f t="shared" si="2"/>
        <v>180000</v>
      </c>
      <c r="O11" s="64">
        <f t="shared" si="4"/>
        <v>180000</v>
      </c>
      <c r="P11" s="64">
        <f t="shared" ref="P11:P19" si="6">O11</f>
        <v>180000</v>
      </c>
      <c r="Q11" s="381"/>
      <c r="R11" s="381"/>
      <c r="S11" s="381"/>
      <c r="T11" s="381"/>
      <c r="U11" s="381"/>
      <c r="V11" s="381"/>
      <c r="W11" s="381"/>
      <c r="X11" s="381"/>
      <c r="Y11" s="48"/>
    </row>
    <row r="12" spans="1:25">
      <c r="A12" s="845"/>
      <c r="B12" s="64"/>
      <c r="C12" s="64"/>
      <c r="D12" s="64"/>
      <c r="E12" s="64"/>
      <c r="F12" s="64">
        <f>F11</f>
        <v>180000</v>
      </c>
      <c r="G12" s="64">
        <f t="shared" ref="G12:M12" si="7">F12</f>
        <v>180000</v>
      </c>
      <c r="H12" s="64">
        <f t="shared" si="7"/>
        <v>180000</v>
      </c>
      <c r="I12" s="64">
        <f t="shared" si="7"/>
        <v>180000</v>
      </c>
      <c r="J12" s="64">
        <f t="shared" si="7"/>
        <v>180000</v>
      </c>
      <c r="K12" s="64">
        <f t="shared" si="7"/>
        <v>180000</v>
      </c>
      <c r="L12" s="64">
        <f t="shared" si="7"/>
        <v>180000</v>
      </c>
      <c r="M12" s="64">
        <f t="shared" si="7"/>
        <v>180000</v>
      </c>
      <c r="N12" s="64">
        <f t="shared" si="2"/>
        <v>180000</v>
      </c>
      <c r="O12" s="64">
        <f t="shared" si="4"/>
        <v>180000</v>
      </c>
      <c r="P12" s="64">
        <f t="shared" si="6"/>
        <v>180000</v>
      </c>
      <c r="Q12" s="64">
        <f t="shared" ref="Q12:Q19" si="8">P12</f>
        <v>180000</v>
      </c>
      <c r="R12" s="381"/>
      <c r="S12" s="381"/>
      <c r="T12" s="381"/>
      <c r="U12" s="381"/>
      <c r="V12" s="381"/>
      <c r="W12" s="381"/>
      <c r="X12" s="381"/>
      <c r="Y12" s="48"/>
    </row>
    <row r="13" spans="1:25">
      <c r="A13" s="845"/>
      <c r="B13" s="64"/>
      <c r="C13" s="64"/>
      <c r="D13" s="64"/>
      <c r="E13" s="64"/>
      <c r="F13" s="64"/>
      <c r="G13" s="64">
        <f>G12</f>
        <v>180000</v>
      </c>
      <c r="H13" s="64">
        <f t="shared" ref="H13:M13" si="9">G13</f>
        <v>180000</v>
      </c>
      <c r="I13" s="64">
        <f t="shared" si="9"/>
        <v>180000</v>
      </c>
      <c r="J13" s="64">
        <f t="shared" si="9"/>
        <v>180000</v>
      </c>
      <c r="K13" s="64">
        <f t="shared" si="9"/>
        <v>180000</v>
      </c>
      <c r="L13" s="64">
        <f t="shared" si="9"/>
        <v>180000</v>
      </c>
      <c r="M13" s="64">
        <f t="shared" si="9"/>
        <v>180000</v>
      </c>
      <c r="N13" s="64">
        <f t="shared" si="2"/>
        <v>180000</v>
      </c>
      <c r="O13" s="64">
        <f t="shared" si="4"/>
        <v>180000</v>
      </c>
      <c r="P13" s="64">
        <f t="shared" si="6"/>
        <v>180000</v>
      </c>
      <c r="Q13" s="64">
        <f t="shared" si="8"/>
        <v>180000</v>
      </c>
      <c r="R13" s="64">
        <f t="shared" ref="R13:R19" si="10">Q13</f>
        <v>180000</v>
      </c>
      <c r="S13" s="381"/>
      <c r="T13" s="381"/>
      <c r="U13" s="381"/>
      <c r="V13" s="381"/>
      <c r="W13" s="381"/>
      <c r="X13" s="381"/>
      <c r="Y13" s="48"/>
    </row>
    <row r="14" spans="1:25">
      <c r="A14" s="845"/>
      <c r="B14" s="64"/>
      <c r="C14" s="64"/>
      <c r="D14" s="64"/>
      <c r="E14" s="64"/>
      <c r="F14" s="64"/>
      <c r="G14" s="64"/>
      <c r="H14" s="64">
        <f>H13</f>
        <v>180000</v>
      </c>
      <c r="I14" s="64">
        <f>H14</f>
        <v>180000</v>
      </c>
      <c r="J14" s="64">
        <f>I14</f>
        <v>180000</v>
      </c>
      <c r="K14" s="64">
        <f>J14</f>
        <v>180000</v>
      </c>
      <c r="L14" s="64">
        <f>K14</f>
        <v>180000</v>
      </c>
      <c r="M14" s="64">
        <f>L14</f>
        <v>180000</v>
      </c>
      <c r="N14" s="64">
        <f t="shared" si="2"/>
        <v>180000</v>
      </c>
      <c r="O14" s="64">
        <f t="shared" si="4"/>
        <v>180000</v>
      </c>
      <c r="P14" s="64">
        <f t="shared" si="6"/>
        <v>180000</v>
      </c>
      <c r="Q14" s="64">
        <f t="shared" si="8"/>
        <v>180000</v>
      </c>
      <c r="R14" s="64">
        <f t="shared" si="10"/>
        <v>180000</v>
      </c>
      <c r="S14" s="64">
        <f t="shared" ref="S14:S19" si="11">R14</f>
        <v>180000</v>
      </c>
      <c r="T14" s="381"/>
      <c r="U14" s="381"/>
      <c r="V14" s="381"/>
      <c r="W14" s="381"/>
      <c r="X14" s="381"/>
      <c r="Y14" s="48"/>
    </row>
    <row r="15" spans="1:25">
      <c r="A15" s="845"/>
      <c r="B15" s="64"/>
      <c r="C15" s="64"/>
      <c r="D15" s="64"/>
      <c r="E15" s="64"/>
      <c r="F15" s="64"/>
      <c r="G15" s="64"/>
      <c r="H15" s="64"/>
      <c r="I15" s="64">
        <f>I14</f>
        <v>180000</v>
      </c>
      <c r="J15" s="64">
        <f>I15</f>
        <v>180000</v>
      </c>
      <c r="K15" s="64">
        <f>J15</f>
        <v>180000</v>
      </c>
      <c r="L15" s="64">
        <f>K15</f>
        <v>180000</v>
      </c>
      <c r="M15" s="64">
        <f>L15</f>
        <v>180000</v>
      </c>
      <c r="N15" s="64">
        <f t="shared" si="2"/>
        <v>180000</v>
      </c>
      <c r="O15" s="64">
        <f t="shared" si="4"/>
        <v>180000</v>
      </c>
      <c r="P15" s="64">
        <f t="shared" si="6"/>
        <v>180000</v>
      </c>
      <c r="Q15" s="64">
        <f t="shared" si="8"/>
        <v>180000</v>
      </c>
      <c r="R15" s="64">
        <f t="shared" si="10"/>
        <v>180000</v>
      </c>
      <c r="S15" s="64">
        <f t="shared" si="11"/>
        <v>180000</v>
      </c>
      <c r="T15" s="64">
        <f>S15</f>
        <v>180000</v>
      </c>
      <c r="U15" s="381"/>
      <c r="V15" s="381"/>
      <c r="W15" s="381"/>
      <c r="X15" s="381"/>
      <c r="Y15" s="48"/>
    </row>
    <row r="16" spans="1:25">
      <c r="A16" s="845"/>
      <c r="B16" s="64"/>
      <c r="C16" s="64"/>
      <c r="D16" s="64"/>
      <c r="E16" s="64"/>
      <c r="F16" s="64"/>
      <c r="G16" s="64"/>
      <c r="H16" s="64"/>
      <c r="I16" s="64"/>
      <c r="J16" s="64">
        <f>I15</f>
        <v>180000</v>
      </c>
      <c r="K16" s="64">
        <f>J16</f>
        <v>180000</v>
      </c>
      <c r="L16" s="64">
        <f>K16</f>
        <v>180000</v>
      </c>
      <c r="M16" s="64">
        <f>L16</f>
        <v>180000</v>
      </c>
      <c r="N16" s="64">
        <f>M16</f>
        <v>180000</v>
      </c>
      <c r="O16" s="64">
        <f>N16</f>
        <v>180000</v>
      </c>
      <c r="P16" s="64">
        <f t="shared" si="6"/>
        <v>180000</v>
      </c>
      <c r="Q16" s="64">
        <f t="shared" si="8"/>
        <v>180000</v>
      </c>
      <c r="R16" s="64">
        <f t="shared" si="10"/>
        <v>180000</v>
      </c>
      <c r="S16" s="64">
        <f t="shared" si="11"/>
        <v>180000</v>
      </c>
      <c r="T16" s="64">
        <f>S16</f>
        <v>180000</v>
      </c>
      <c r="U16" s="381"/>
      <c r="V16" s="381"/>
      <c r="W16" s="381"/>
      <c r="X16" s="381"/>
      <c r="Y16" s="48"/>
    </row>
    <row r="17" spans="1:25">
      <c r="A17" s="845"/>
      <c r="B17" s="64"/>
      <c r="C17" s="64"/>
      <c r="D17" s="64"/>
      <c r="E17" s="64"/>
      <c r="F17" s="64"/>
      <c r="G17" s="64"/>
      <c r="H17" s="64"/>
      <c r="I17" s="64"/>
      <c r="J17" s="64"/>
      <c r="K17" s="64">
        <f>K16</f>
        <v>180000</v>
      </c>
      <c r="L17" s="64">
        <f>K17</f>
        <v>180000</v>
      </c>
      <c r="M17" s="64">
        <f>L17</f>
        <v>180000</v>
      </c>
      <c r="N17" s="64">
        <f>M17</f>
        <v>180000</v>
      </c>
      <c r="O17" s="64">
        <f>N17</f>
        <v>180000</v>
      </c>
      <c r="P17" s="64">
        <f t="shared" si="6"/>
        <v>180000</v>
      </c>
      <c r="Q17" s="64">
        <f t="shared" si="8"/>
        <v>180000</v>
      </c>
      <c r="R17" s="64">
        <f t="shared" si="10"/>
        <v>180000</v>
      </c>
      <c r="S17" s="64">
        <f t="shared" si="11"/>
        <v>180000</v>
      </c>
      <c r="T17" s="64">
        <f>S17</f>
        <v>180000</v>
      </c>
      <c r="U17" s="64">
        <f>T17</f>
        <v>180000</v>
      </c>
      <c r="V17" s="381"/>
      <c r="W17" s="381"/>
      <c r="X17" s="381"/>
      <c r="Y17" s="48"/>
    </row>
    <row r="18" spans="1:25">
      <c r="A18" s="845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>
        <f>L17</f>
        <v>180000</v>
      </c>
      <c r="M18" s="64">
        <f>L18</f>
        <v>180000</v>
      </c>
      <c r="N18" s="64">
        <f>M18</f>
        <v>180000</v>
      </c>
      <c r="O18" s="64">
        <f>N18</f>
        <v>180000</v>
      </c>
      <c r="P18" s="64">
        <f t="shared" si="6"/>
        <v>180000</v>
      </c>
      <c r="Q18" s="64">
        <f t="shared" si="8"/>
        <v>180000</v>
      </c>
      <c r="R18" s="64">
        <f t="shared" si="10"/>
        <v>180000</v>
      </c>
      <c r="S18" s="64">
        <f t="shared" si="11"/>
        <v>180000</v>
      </c>
      <c r="T18" s="64">
        <f>S18</f>
        <v>180000</v>
      </c>
      <c r="U18" s="64">
        <f>T18</f>
        <v>180000</v>
      </c>
      <c r="V18" s="64">
        <f>U18</f>
        <v>180000</v>
      </c>
      <c r="W18" s="381"/>
      <c r="X18" s="381"/>
      <c r="Y18" s="48"/>
    </row>
    <row r="19" spans="1:25">
      <c r="A19" s="845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>
        <f>M18</f>
        <v>180000</v>
      </c>
      <c r="N19" s="66">
        <f>M19</f>
        <v>180000</v>
      </c>
      <c r="O19" s="66">
        <f>N19</f>
        <v>180000</v>
      </c>
      <c r="P19" s="66">
        <f t="shared" si="6"/>
        <v>180000</v>
      </c>
      <c r="Q19" s="66">
        <f t="shared" si="8"/>
        <v>180000</v>
      </c>
      <c r="R19" s="66">
        <f t="shared" si="10"/>
        <v>180000</v>
      </c>
      <c r="S19" s="66">
        <f t="shared" si="11"/>
        <v>180000</v>
      </c>
      <c r="T19" s="66">
        <f>S19</f>
        <v>180000</v>
      </c>
      <c r="U19" s="66">
        <f>T19</f>
        <v>180000</v>
      </c>
      <c r="V19" s="66">
        <f>U19</f>
        <v>180000</v>
      </c>
      <c r="W19" s="66">
        <f>V19</f>
        <v>180000</v>
      </c>
      <c r="X19" s="381"/>
      <c r="Y19" s="48"/>
    </row>
    <row r="20" spans="1:25">
      <c r="A20" s="862"/>
      <c r="B20" s="863"/>
      <c r="C20" s="863"/>
      <c r="D20" s="863"/>
      <c r="E20" s="863"/>
      <c r="F20" s="863"/>
      <c r="G20" s="863"/>
      <c r="H20" s="863"/>
      <c r="I20" s="863"/>
      <c r="J20" s="863"/>
      <c r="K20" s="863"/>
      <c r="L20" s="863"/>
      <c r="M20" s="863">
        <v>150000</v>
      </c>
      <c r="N20" s="863">
        <v>150000</v>
      </c>
      <c r="O20" s="863">
        <v>150000</v>
      </c>
      <c r="P20" s="863">
        <v>150000</v>
      </c>
      <c r="Q20" s="863">
        <v>150000</v>
      </c>
      <c r="R20" s="863">
        <v>150000</v>
      </c>
      <c r="S20" s="863">
        <v>150000</v>
      </c>
      <c r="T20" s="863">
        <v>150000</v>
      </c>
      <c r="U20" s="863">
        <v>150000</v>
      </c>
      <c r="V20" s="863">
        <v>150000</v>
      </c>
      <c r="W20" s="863">
        <v>150000</v>
      </c>
      <c r="X20" s="863">
        <v>150000</v>
      </c>
      <c r="Y20" s="864"/>
    </row>
    <row r="21" spans="1:25" s="584" customFormat="1" ht="13.8" thickBot="1">
      <c r="A21" s="846" t="s">
        <v>206</v>
      </c>
      <c r="B21" s="881">
        <f t="shared" ref="B21:T21" si="12">SUM(B8:B19)</f>
        <v>180000</v>
      </c>
      <c r="C21" s="881">
        <f t="shared" si="12"/>
        <v>360000</v>
      </c>
      <c r="D21" s="881">
        <f t="shared" si="12"/>
        <v>540000</v>
      </c>
      <c r="E21" s="881">
        <f t="shared" si="12"/>
        <v>720000</v>
      </c>
      <c r="F21" s="881">
        <f t="shared" si="12"/>
        <v>900000</v>
      </c>
      <c r="G21" s="881">
        <f t="shared" si="12"/>
        <v>1080000</v>
      </c>
      <c r="H21" s="881">
        <f t="shared" si="12"/>
        <v>1260000</v>
      </c>
      <c r="I21" s="881">
        <f t="shared" si="12"/>
        <v>1440000</v>
      </c>
      <c r="J21" s="881">
        <f t="shared" si="12"/>
        <v>1620000</v>
      </c>
      <c r="K21" s="881">
        <f t="shared" si="12"/>
        <v>1800000</v>
      </c>
      <c r="L21" s="881">
        <f t="shared" si="12"/>
        <v>1980000</v>
      </c>
      <c r="M21" s="881">
        <f t="shared" si="12"/>
        <v>2160000</v>
      </c>
      <c r="N21" s="882">
        <f t="shared" si="12"/>
        <v>1980000</v>
      </c>
      <c r="O21" s="882">
        <f t="shared" si="12"/>
        <v>1800000</v>
      </c>
      <c r="P21" s="882">
        <f t="shared" si="12"/>
        <v>1620000</v>
      </c>
      <c r="Q21" s="882">
        <f t="shared" si="12"/>
        <v>1440000</v>
      </c>
      <c r="R21" s="882">
        <f t="shared" si="12"/>
        <v>1260000</v>
      </c>
      <c r="S21" s="882">
        <f t="shared" si="12"/>
        <v>1080000</v>
      </c>
      <c r="T21" s="882">
        <f t="shared" si="12"/>
        <v>900000</v>
      </c>
      <c r="U21" s="882">
        <f>SUM(B21:T21)</f>
        <v>24120000</v>
      </c>
      <c r="V21" s="882"/>
      <c r="W21" s="882"/>
      <c r="X21" s="882"/>
      <c r="Y21" s="848"/>
    </row>
    <row r="22" spans="1:25" s="77" customFormat="1" ht="13.8" thickBot="1">
      <c r="A22" s="849"/>
      <c r="B22" s="850"/>
      <c r="C22" s="850"/>
      <c r="D22" s="850"/>
      <c r="E22" s="850"/>
      <c r="F22" s="850"/>
      <c r="G22" s="851"/>
      <c r="H22" s="852"/>
      <c r="I22" s="852"/>
      <c r="J22" s="852"/>
      <c r="K22" s="852"/>
      <c r="L22" s="852"/>
      <c r="M22" s="852"/>
      <c r="N22" s="853">
        <f>SUM(B21:M21)</f>
        <v>14040000</v>
      </c>
      <c r="O22" s="853"/>
      <c r="P22" s="853"/>
      <c r="Q22" s="853"/>
      <c r="R22" s="853"/>
      <c r="S22" s="853"/>
      <c r="T22" s="853"/>
      <c r="U22" s="853"/>
      <c r="V22" s="853"/>
      <c r="W22" s="853"/>
      <c r="X22" s="853"/>
      <c r="Y22" s="853"/>
    </row>
    <row r="23" spans="1:25" s="859" customFormat="1" ht="15.6">
      <c r="A23" s="1957" t="s">
        <v>793</v>
      </c>
      <c r="B23" s="1958"/>
      <c r="C23" s="1958"/>
      <c r="D23" s="1958"/>
      <c r="E23" s="1958"/>
      <c r="F23" s="1958"/>
      <c r="G23" s="1959"/>
      <c r="H23" s="856"/>
      <c r="I23" s="856"/>
      <c r="J23" s="856"/>
      <c r="K23" s="856"/>
      <c r="L23" s="856"/>
      <c r="M23" s="856"/>
      <c r="N23" s="857"/>
      <c r="O23" s="858"/>
      <c r="P23" s="858"/>
      <c r="Q23" s="858"/>
      <c r="R23" s="858"/>
      <c r="S23" s="858"/>
      <c r="T23" s="858"/>
      <c r="U23" s="858"/>
      <c r="V23" s="858"/>
      <c r="W23" s="858"/>
      <c r="X23" s="858"/>
      <c r="Y23" s="858"/>
    </row>
    <row r="24" spans="1:25">
      <c r="A24" s="844" t="s">
        <v>205</v>
      </c>
      <c r="B24" s="59">
        <v>1</v>
      </c>
      <c r="C24" s="855"/>
      <c r="D24" s="855"/>
      <c r="E24" s="60"/>
      <c r="F24" s="60"/>
      <c r="G24" s="60"/>
      <c r="H24" s="855">
        <v>1</v>
      </c>
      <c r="I24" s="60"/>
      <c r="J24" s="60"/>
      <c r="K24" s="855">
        <v>1</v>
      </c>
      <c r="L24" s="60"/>
      <c r="M24" s="60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</row>
    <row r="25" spans="1:25">
      <c r="A25" s="844" t="s">
        <v>179</v>
      </c>
      <c r="B25" s="61">
        <v>85000</v>
      </c>
      <c r="C25" s="60"/>
      <c r="D25" s="60"/>
      <c r="E25" s="855">
        <v>85000</v>
      </c>
      <c r="F25" s="60"/>
      <c r="G25" s="60"/>
      <c r="H25" s="855">
        <f>E25+E25*15%</f>
        <v>97750</v>
      </c>
      <c r="I25" s="60"/>
      <c r="J25" s="60"/>
      <c r="K25" s="865">
        <f>H25+H25*15%</f>
        <v>112412.5</v>
      </c>
      <c r="L25" s="60"/>
      <c r="M25" s="60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</row>
    <row r="26" spans="1:25">
      <c r="A26" s="844" t="s">
        <v>794</v>
      </c>
      <c r="B26" s="404">
        <v>8</v>
      </c>
      <c r="C26" s="840"/>
      <c r="D26" s="840"/>
      <c r="E26" s="840"/>
      <c r="F26" s="840"/>
      <c r="G26" s="840"/>
      <c r="H26" s="840"/>
      <c r="I26" s="840"/>
      <c r="J26" s="840"/>
      <c r="K26" s="840"/>
      <c r="L26" s="840"/>
      <c r="M26" s="383"/>
      <c r="N26" s="841"/>
      <c r="O26" s="842"/>
      <c r="P26" s="842"/>
      <c r="Q26" s="842"/>
      <c r="R26" s="842"/>
      <c r="S26" s="842"/>
      <c r="T26" s="842"/>
      <c r="U26" s="842"/>
      <c r="V26" s="842"/>
      <c r="W26" s="842"/>
      <c r="X26" s="842"/>
      <c r="Y26" s="843"/>
    </row>
    <row r="27" spans="1:25">
      <c r="A27" s="845"/>
      <c r="B27" s="1951">
        <v>2025</v>
      </c>
      <c r="C27" s="1952"/>
      <c r="D27" s="1952"/>
      <c r="E27" s="1952"/>
      <c r="F27" s="1952"/>
      <c r="G27" s="1952"/>
      <c r="H27" s="1952"/>
      <c r="I27" s="1952"/>
      <c r="J27" s="1952"/>
      <c r="K27" s="1952"/>
      <c r="L27" s="1952"/>
      <c r="M27" s="1953"/>
      <c r="N27" s="1954">
        <v>2026</v>
      </c>
      <c r="O27" s="1955"/>
      <c r="P27" s="1955"/>
      <c r="Q27" s="1955"/>
      <c r="R27" s="1955"/>
      <c r="S27" s="1955"/>
      <c r="T27" s="1955"/>
      <c r="U27" s="1955"/>
      <c r="V27" s="1955"/>
      <c r="W27" s="1955"/>
      <c r="X27" s="1955"/>
      <c r="Y27" s="1956"/>
    </row>
    <row r="28" spans="1:25">
      <c r="A28" s="845"/>
      <c r="B28" s="60">
        <v>1</v>
      </c>
      <c r="C28" s="60">
        <v>2</v>
      </c>
      <c r="D28" s="60">
        <v>3</v>
      </c>
      <c r="E28" s="60">
        <v>4</v>
      </c>
      <c r="F28" s="60">
        <v>5</v>
      </c>
      <c r="G28" s="60">
        <v>6</v>
      </c>
      <c r="H28" s="60">
        <v>7</v>
      </c>
      <c r="I28" s="60">
        <v>8</v>
      </c>
      <c r="J28" s="60">
        <v>9</v>
      </c>
      <c r="K28" s="60">
        <v>10</v>
      </c>
      <c r="L28" s="60">
        <v>11</v>
      </c>
      <c r="M28" s="60">
        <v>12</v>
      </c>
      <c r="N28" s="48">
        <v>1</v>
      </c>
      <c r="O28" s="48">
        <v>2</v>
      </c>
      <c r="P28" s="48">
        <v>3</v>
      </c>
      <c r="Q28" s="48">
        <v>4</v>
      </c>
      <c r="R28" s="48">
        <v>5</v>
      </c>
      <c r="S28" s="48">
        <v>6</v>
      </c>
      <c r="T28" s="48">
        <v>7</v>
      </c>
      <c r="U28" s="48">
        <v>8</v>
      </c>
      <c r="V28" s="48">
        <v>9</v>
      </c>
      <c r="W28" s="48">
        <v>10</v>
      </c>
      <c r="X28" s="48">
        <v>11</v>
      </c>
      <c r="Y28" s="48">
        <v>12</v>
      </c>
    </row>
    <row r="29" spans="1:25">
      <c r="A29" s="845"/>
      <c r="B29" s="60">
        <f>B24*B25</f>
        <v>85000</v>
      </c>
      <c r="C29" s="60">
        <f t="shared" ref="C29:H29" si="13">B29</f>
        <v>85000</v>
      </c>
      <c r="D29" s="60">
        <f t="shared" si="13"/>
        <v>85000</v>
      </c>
      <c r="E29" s="60">
        <f t="shared" si="13"/>
        <v>85000</v>
      </c>
      <c r="F29" s="60">
        <f t="shared" si="13"/>
        <v>85000</v>
      </c>
      <c r="G29" s="60">
        <f t="shared" si="13"/>
        <v>85000</v>
      </c>
      <c r="H29" s="60">
        <f t="shared" si="13"/>
        <v>85000</v>
      </c>
      <c r="I29" s="60">
        <f t="shared" ref="I29:I34" si="14">H29</f>
        <v>85000</v>
      </c>
      <c r="J29" s="60"/>
      <c r="K29" s="60"/>
      <c r="L29" s="60"/>
      <c r="M29" s="60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</row>
    <row r="30" spans="1:25">
      <c r="A30" s="845"/>
      <c r="B30" s="60"/>
      <c r="C30" s="60">
        <f>B29</f>
        <v>85000</v>
      </c>
      <c r="D30" s="60">
        <f>C30</f>
        <v>85000</v>
      </c>
      <c r="E30" s="60">
        <f>D30</f>
        <v>85000</v>
      </c>
      <c r="F30" s="60">
        <f>E30</f>
        <v>85000</v>
      </c>
      <c r="G30" s="60">
        <f>F30</f>
        <v>85000</v>
      </c>
      <c r="H30" s="60">
        <f>G30</f>
        <v>85000</v>
      </c>
      <c r="I30" s="60">
        <f t="shared" si="14"/>
        <v>85000</v>
      </c>
      <c r="J30" s="60">
        <f t="shared" ref="J30:J35" si="15">I30</f>
        <v>85000</v>
      </c>
      <c r="K30" s="60"/>
      <c r="L30" s="60"/>
      <c r="M30" s="60"/>
      <c r="N30" s="60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</row>
    <row r="31" spans="1:25">
      <c r="A31" s="845"/>
      <c r="B31" s="60"/>
      <c r="C31" s="60"/>
      <c r="D31" s="60">
        <f>D30</f>
        <v>85000</v>
      </c>
      <c r="E31" s="60">
        <f>D31</f>
        <v>85000</v>
      </c>
      <c r="F31" s="60">
        <f>E31</f>
        <v>85000</v>
      </c>
      <c r="G31" s="60">
        <f>F31</f>
        <v>85000</v>
      </c>
      <c r="H31" s="60">
        <f>G31</f>
        <v>85000</v>
      </c>
      <c r="I31" s="60">
        <f t="shared" si="14"/>
        <v>85000</v>
      </c>
      <c r="J31" s="60">
        <f t="shared" si="15"/>
        <v>85000</v>
      </c>
      <c r="K31" s="60">
        <f t="shared" ref="K31:K36" si="16">J31</f>
        <v>85000</v>
      </c>
      <c r="L31" s="60"/>
      <c r="M31" s="60"/>
      <c r="N31" s="60"/>
      <c r="O31" s="60"/>
      <c r="P31" s="48"/>
      <c r="Q31" s="48"/>
      <c r="R31" s="48"/>
      <c r="S31" s="48"/>
      <c r="T31" s="48"/>
      <c r="U31" s="48"/>
      <c r="V31" s="48"/>
      <c r="W31" s="48"/>
      <c r="X31" s="48"/>
      <c r="Y31" s="48"/>
    </row>
    <row r="32" spans="1:25">
      <c r="A32" s="845"/>
      <c r="B32" s="60"/>
      <c r="C32" s="60"/>
      <c r="D32" s="60"/>
      <c r="E32" s="60">
        <f>E25</f>
        <v>85000</v>
      </c>
      <c r="F32" s="60">
        <f>E32</f>
        <v>85000</v>
      </c>
      <c r="G32" s="60">
        <f>F32</f>
        <v>85000</v>
      </c>
      <c r="H32" s="60">
        <f>G32</f>
        <v>85000</v>
      </c>
      <c r="I32" s="60">
        <f t="shared" si="14"/>
        <v>85000</v>
      </c>
      <c r="J32" s="60">
        <f t="shared" si="15"/>
        <v>85000</v>
      </c>
      <c r="K32" s="60">
        <f t="shared" si="16"/>
        <v>85000</v>
      </c>
      <c r="L32" s="60">
        <f t="shared" ref="L32:L37" si="17">K32</f>
        <v>85000</v>
      </c>
      <c r="M32" s="60"/>
      <c r="N32" s="60"/>
      <c r="O32" s="60"/>
      <c r="P32" s="60"/>
      <c r="Q32" s="48"/>
      <c r="R32" s="48"/>
      <c r="S32" s="48"/>
      <c r="T32" s="48"/>
      <c r="U32" s="48"/>
      <c r="V32" s="48"/>
      <c r="W32" s="48"/>
      <c r="X32" s="48"/>
      <c r="Y32" s="48"/>
    </row>
    <row r="33" spans="1:25">
      <c r="A33" s="845"/>
      <c r="B33" s="60"/>
      <c r="C33" s="60"/>
      <c r="D33" s="60"/>
      <c r="E33" s="60"/>
      <c r="F33" s="60">
        <f>F32</f>
        <v>85000</v>
      </c>
      <c r="G33" s="60">
        <f>F33</f>
        <v>85000</v>
      </c>
      <c r="H33" s="60">
        <f>G33</f>
        <v>85000</v>
      </c>
      <c r="I33" s="60">
        <f t="shared" si="14"/>
        <v>85000</v>
      </c>
      <c r="J33" s="60">
        <f t="shared" si="15"/>
        <v>85000</v>
      </c>
      <c r="K33" s="60">
        <f t="shared" si="16"/>
        <v>85000</v>
      </c>
      <c r="L33" s="60">
        <f t="shared" si="17"/>
        <v>85000</v>
      </c>
      <c r="M33" s="60">
        <f t="shared" ref="M33:M38" si="18">L33</f>
        <v>85000</v>
      </c>
      <c r="N33" s="60"/>
      <c r="O33" s="60"/>
      <c r="P33" s="60"/>
      <c r="Q33" s="60"/>
      <c r="R33" s="48"/>
      <c r="S33" s="48"/>
      <c r="T33" s="48"/>
      <c r="U33" s="48"/>
      <c r="V33" s="48"/>
      <c r="W33" s="48"/>
      <c r="X33" s="48"/>
      <c r="Y33" s="48"/>
    </row>
    <row r="34" spans="1:25">
      <c r="A34" s="845"/>
      <c r="B34" s="60"/>
      <c r="C34" s="60"/>
      <c r="D34" s="60"/>
      <c r="E34" s="60"/>
      <c r="F34" s="60"/>
      <c r="G34" s="60">
        <f>G33</f>
        <v>85000</v>
      </c>
      <c r="H34" s="60">
        <f>G34</f>
        <v>85000</v>
      </c>
      <c r="I34" s="60">
        <f t="shared" si="14"/>
        <v>85000</v>
      </c>
      <c r="J34" s="60">
        <f t="shared" si="15"/>
        <v>85000</v>
      </c>
      <c r="K34" s="60">
        <f t="shared" si="16"/>
        <v>85000</v>
      </c>
      <c r="L34" s="60">
        <f t="shared" si="17"/>
        <v>85000</v>
      </c>
      <c r="M34" s="60">
        <f t="shared" si="18"/>
        <v>85000</v>
      </c>
      <c r="N34" s="60">
        <f t="shared" ref="N34:N40" si="19">M34</f>
        <v>85000</v>
      </c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</row>
    <row r="35" spans="1:25">
      <c r="A35" s="845"/>
      <c r="B35" s="60"/>
      <c r="C35" s="60"/>
      <c r="D35" s="60"/>
      <c r="E35" s="60"/>
      <c r="F35" s="60"/>
      <c r="G35" s="60"/>
      <c r="H35" s="60">
        <f>H25*H24</f>
        <v>97750</v>
      </c>
      <c r="I35" s="60">
        <f>H35</f>
        <v>97750</v>
      </c>
      <c r="J35" s="60">
        <f t="shared" si="15"/>
        <v>97750</v>
      </c>
      <c r="K35" s="60">
        <f t="shared" si="16"/>
        <v>97750</v>
      </c>
      <c r="L35" s="60">
        <f t="shared" si="17"/>
        <v>97750</v>
      </c>
      <c r="M35" s="60">
        <f t="shared" si="18"/>
        <v>97750</v>
      </c>
      <c r="N35" s="60">
        <f t="shared" si="19"/>
        <v>97750</v>
      </c>
      <c r="O35" s="60">
        <f t="shared" ref="O35:O40" si="20">N35</f>
        <v>97750</v>
      </c>
      <c r="P35" s="60"/>
      <c r="Q35" s="60"/>
      <c r="R35" s="60"/>
      <c r="S35" s="48"/>
      <c r="T35" s="48"/>
      <c r="U35" s="48"/>
      <c r="V35" s="48"/>
      <c r="W35" s="48"/>
      <c r="X35" s="48"/>
      <c r="Y35" s="48"/>
    </row>
    <row r="36" spans="1:25">
      <c r="A36" s="845"/>
      <c r="B36" s="60"/>
      <c r="C36" s="60"/>
      <c r="D36" s="60"/>
      <c r="E36" s="60"/>
      <c r="F36" s="60"/>
      <c r="G36" s="60"/>
      <c r="H36" s="60"/>
      <c r="I36" s="60">
        <f>I35</f>
        <v>97750</v>
      </c>
      <c r="J36" s="60">
        <f>I36</f>
        <v>97750</v>
      </c>
      <c r="K36" s="60">
        <f t="shared" si="16"/>
        <v>97750</v>
      </c>
      <c r="L36" s="60">
        <f t="shared" si="17"/>
        <v>97750</v>
      </c>
      <c r="M36" s="60">
        <f t="shared" si="18"/>
        <v>97750</v>
      </c>
      <c r="N36" s="60">
        <f t="shared" si="19"/>
        <v>97750</v>
      </c>
      <c r="O36" s="60">
        <f t="shared" si="20"/>
        <v>97750</v>
      </c>
      <c r="P36" s="60">
        <f>O36</f>
        <v>97750</v>
      </c>
      <c r="Q36" s="48"/>
      <c r="R36" s="48"/>
      <c r="S36" s="48"/>
      <c r="T36" s="48"/>
      <c r="U36" s="48"/>
      <c r="V36" s="48"/>
      <c r="W36" s="48"/>
      <c r="X36" s="48"/>
      <c r="Y36" s="48"/>
    </row>
    <row r="37" spans="1:25">
      <c r="A37" s="845"/>
      <c r="B37" s="60"/>
      <c r="C37" s="60"/>
      <c r="D37" s="60"/>
      <c r="E37" s="60"/>
      <c r="F37" s="60"/>
      <c r="G37" s="60"/>
      <c r="H37" s="60"/>
      <c r="I37" s="60"/>
      <c r="J37" s="64">
        <f>I36</f>
        <v>97750</v>
      </c>
      <c r="K37" s="64">
        <f>J37</f>
        <v>97750</v>
      </c>
      <c r="L37" s="64">
        <f t="shared" si="17"/>
        <v>97750</v>
      </c>
      <c r="M37" s="64">
        <f t="shared" si="18"/>
        <v>97750</v>
      </c>
      <c r="N37" s="64">
        <f t="shared" si="19"/>
        <v>97750</v>
      </c>
      <c r="O37" s="64">
        <f t="shared" si="20"/>
        <v>97750</v>
      </c>
      <c r="P37" s="64">
        <f>O37</f>
        <v>97750</v>
      </c>
      <c r="Q37" s="64">
        <f>P37</f>
        <v>97750</v>
      </c>
      <c r="R37" s="64"/>
      <c r="S37" s="64"/>
      <c r="T37" s="64"/>
      <c r="U37" s="48"/>
      <c r="V37" s="48"/>
      <c r="W37" s="48"/>
      <c r="X37" s="48"/>
      <c r="Y37" s="48"/>
    </row>
    <row r="38" spans="1:25">
      <c r="A38" s="845"/>
      <c r="B38" s="60"/>
      <c r="C38" s="60"/>
      <c r="D38" s="60"/>
      <c r="E38" s="60"/>
      <c r="F38" s="60"/>
      <c r="G38" s="60"/>
      <c r="H38" s="60"/>
      <c r="I38" s="60"/>
      <c r="J38" s="60"/>
      <c r="K38" s="64">
        <f>K25*K24</f>
        <v>112412.5</v>
      </c>
      <c r="L38" s="64">
        <f>K38</f>
        <v>112412.5</v>
      </c>
      <c r="M38" s="64">
        <f t="shared" si="18"/>
        <v>112412.5</v>
      </c>
      <c r="N38" s="64">
        <f t="shared" si="19"/>
        <v>112412.5</v>
      </c>
      <c r="O38" s="64">
        <f t="shared" si="20"/>
        <v>112412.5</v>
      </c>
      <c r="P38" s="64">
        <f>O38</f>
        <v>112412.5</v>
      </c>
      <c r="Q38" s="64">
        <f>P38</f>
        <v>112412.5</v>
      </c>
      <c r="R38" s="64">
        <f>Q38</f>
        <v>112412.5</v>
      </c>
      <c r="S38" s="64"/>
      <c r="T38" s="64"/>
      <c r="U38" s="64"/>
      <c r="V38" s="48"/>
      <c r="W38" s="48"/>
      <c r="X38" s="48"/>
      <c r="Y38" s="48"/>
    </row>
    <row r="39" spans="1:25">
      <c r="A39" s="845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4">
        <f>L38</f>
        <v>112412.5</v>
      </c>
      <c r="M39" s="64">
        <f>L39</f>
        <v>112412.5</v>
      </c>
      <c r="N39" s="64">
        <f t="shared" si="19"/>
        <v>112412.5</v>
      </c>
      <c r="O39" s="64">
        <f t="shared" si="20"/>
        <v>112412.5</v>
      </c>
      <c r="P39" s="64">
        <f>O39</f>
        <v>112412.5</v>
      </c>
      <c r="Q39" s="64">
        <f>P39</f>
        <v>112412.5</v>
      </c>
      <c r="R39" s="64">
        <f>Q39</f>
        <v>112412.5</v>
      </c>
      <c r="S39" s="64">
        <f>R39</f>
        <v>112412.5</v>
      </c>
      <c r="T39" s="64"/>
      <c r="U39" s="64"/>
      <c r="V39" s="64"/>
      <c r="W39" s="48"/>
      <c r="X39" s="48"/>
      <c r="Y39" s="48"/>
    </row>
    <row r="40" spans="1:25">
      <c r="A40" s="845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4">
        <f>M39</f>
        <v>112412.5</v>
      </c>
      <c r="N40" s="66">
        <f t="shared" si="19"/>
        <v>112412.5</v>
      </c>
      <c r="O40" s="66">
        <f t="shared" si="20"/>
        <v>112412.5</v>
      </c>
      <c r="P40" s="66">
        <f>O40</f>
        <v>112412.5</v>
      </c>
      <c r="Q40" s="66">
        <f>P40</f>
        <v>112412.5</v>
      </c>
      <c r="R40" s="66">
        <f>Q40</f>
        <v>112412.5</v>
      </c>
      <c r="S40" s="66">
        <f>R40</f>
        <v>112412.5</v>
      </c>
      <c r="T40" s="66">
        <f>S40</f>
        <v>112412.5</v>
      </c>
      <c r="U40" s="66"/>
      <c r="V40" s="66"/>
      <c r="W40" s="66"/>
      <c r="X40" s="48"/>
      <c r="Y40" s="48"/>
    </row>
    <row r="41" spans="1:25" s="584" customFormat="1" ht="13.8" thickBot="1">
      <c r="A41" s="846" t="s">
        <v>206</v>
      </c>
      <c r="B41" s="847">
        <f>SUM(B29:B40)</f>
        <v>85000</v>
      </c>
      <c r="C41" s="847">
        <f t="shared" ref="C41:T41" si="21">SUM(C29:C40)</f>
        <v>170000</v>
      </c>
      <c r="D41" s="847">
        <f t="shared" si="21"/>
        <v>255000</v>
      </c>
      <c r="E41" s="847">
        <f t="shared" si="21"/>
        <v>340000</v>
      </c>
      <c r="F41" s="847">
        <f t="shared" si="21"/>
        <v>425000</v>
      </c>
      <c r="G41" s="847">
        <f t="shared" si="21"/>
        <v>510000</v>
      </c>
      <c r="H41" s="847">
        <f t="shared" si="21"/>
        <v>607750</v>
      </c>
      <c r="I41" s="847">
        <f t="shared" si="21"/>
        <v>705500</v>
      </c>
      <c r="J41" s="847">
        <f t="shared" si="21"/>
        <v>718250</v>
      </c>
      <c r="K41" s="847">
        <f t="shared" si="21"/>
        <v>745662.5</v>
      </c>
      <c r="L41" s="847">
        <f t="shared" si="21"/>
        <v>773075</v>
      </c>
      <c r="M41" s="847">
        <f t="shared" si="21"/>
        <v>800487.5</v>
      </c>
      <c r="N41" s="848">
        <f>SUM(B41:M41)</f>
        <v>6135725</v>
      </c>
      <c r="O41" s="848">
        <f t="shared" si="21"/>
        <v>630487.5</v>
      </c>
      <c r="P41" s="848">
        <f t="shared" si="21"/>
        <v>532737.5</v>
      </c>
      <c r="Q41" s="848">
        <f t="shared" si="21"/>
        <v>434987.5</v>
      </c>
      <c r="R41" s="848">
        <f t="shared" si="21"/>
        <v>337237.5</v>
      </c>
      <c r="S41" s="848">
        <f t="shared" si="21"/>
        <v>224825</v>
      </c>
      <c r="T41" s="848">
        <f t="shared" si="21"/>
        <v>112412.5</v>
      </c>
      <c r="U41" s="848">
        <f>SUM(B41:T41)</f>
        <v>14544137.5</v>
      </c>
      <c r="V41" s="848"/>
      <c r="W41" s="848"/>
      <c r="X41" s="848"/>
      <c r="Y41" s="848"/>
    </row>
    <row r="42" spans="1:25" ht="13.8" thickBot="1"/>
    <row r="43" spans="1:25" s="859" customFormat="1" ht="15.6">
      <c r="A43" s="1957" t="s">
        <v>795</v>
      </c>
      <c r="B43" s="1958"/>
      <c r="C43" s="1958"/>
      <c r="D43" s="1958"/>
      <c r="E43" s="1958"/>
      <c r="F43" s="1958"/>
      <c r="G43" s="1959"/>
      <c r="H43" s="856"/>
      <c r="I43" s="856"/>
      <c r="J43" s="856"/>
      <c r="K43" s="856"/>
      <c r="L43" s="856"/>
      <c r="M43" s="856"/>
      <c r="N43" s="857"/>
      <c r="O43" s="858"/>
      <c r="P43" s="858"/>
      <c r="Q43" s="858"/>
      <c r="R43" s="858"/>
      <c r="S43" s="858"/>
      <c r="T43" s="858"/>
      <c r="U43" s="858"/>
      <c r="V43" s="858"/>
      <c r="W43" s="858"/>
      <c r="X43" s="858"/>
      <c r="Y43" s="858"/>
    </row>
    <row r="44" spans="1:25">
      <c r="A44" s="844" t="s">
        <v>205</v>
      </c>
      <c r="B44" s="59">
        <v>3</v>
      </c>
      <c r="C44" s="855"/>
      <c r="D44" s="855"/>
      <c r="E44" s="60">
        <f>B44*2</f>
        <v>6</v>
      </c>
      <c r="F44" s="60"/>
      <c r="G44" s="60"/>
      <c r="H44" s="60">
        <v>9</v>
      </c>
      <c r="I44" s="60"/>
      <c r="J44" s="60"/>
      <c r="K44" s="60">
        <v>12</v>
      </c>
      <c r="L44" s="60"/>
      <c r="M44" s="60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</row>
    <row r="45" spans="1:25">
      <c r="A45" s="844" t="s">
        <v>179</v>
      </c>
      <c r="B45" s="61">
        <v>65000</v>
      </c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</row>
    <row r="46" spans="1:25">
      <c r="A46" s="844" t="s">
        <v>794</v>
      </c>
      <c r="B46" s="404">
        <v>1</v>
      </c>
      <c r="C46" s="840"/>
      <c r="D46" s="840"/>
      <c r="E46" s="840"/>
      <c r="F46" s="840"/>
      <c r="G46" s="840"/>
      <c r="H46" s="840"/>
      <c r="I46" s="840"/>
      <c r="J46" s="840"/>
      <c r="K46" s="840"/>
      <c r="L46" s="840"/>
      <c r="M46" s="383"/>
      <c r="N46" s="841"/>
      <c r="O46" s="842"/>
      <c r="P46" s="842"/>
      <c r="Q46" s="842"/>
      <c r="R46" s="842"/>
      <c r="S46" s="842"/>
      <c r="T46" s="842"/>
      <c r="U46" s="842"/>
      <c r="V46" s="842"/>
      <c r="W46" s="842"/>
      <c r="X46" s="842"/>
      <c r="Y46" s="843"/>
    </row>
    <row r="47" spans="1:25">
      <c r="A47" s="845"/>
      <c r="B47" s="1951">
        <v>2025</v>
      </c>
      <c r="C47" s="1952"/>
      <c r="D47" s="1952"/>
      <c r="E47" s="1952"/>
      <c r="F47" s="1952"/>
      <c r="G47" s="1952"/>
      <c r="H47" s="1952"/>
      <c r="I47" s="1952"/>
      <c r="J47" s="1952"/>
      <c r="K47" s="1952"/>
      <c r="L47" s="1952"/>
      <c r="M47" s="1953"/>
      <c r="N47" s="1954">
        <v>2026</v>
      </c>
      <c r="O47" s="1955"/>
      <c r="P47" s="1955"/>
      <c r="Q47" s="1955"/>
      <c r="R47" s="1955"/>
      <c r="S47" s="1955"/>
      <c r="T47" s="1955"/>
      <c r="U47" s="1955"/>
      <c r="V47" s="1955"/>
      <c r="W47" s="1955"/>
      <c r="X47" s="1955"/>
      <c r="Y47" s="1956"/>
    </row>
    <row r="48" spans="1:25">
      <c r="A48" s="845"/>
      <c r="B48" s="60">
        <v>1</v>
      </c>
      <c r="C48" s="60">
        <v>2</v>
      </c>
      <c r="D48" s="60">
        <v>3</v>
      </c>
      <c r="E48" s="60">
        <v>4</v>
      </c>
      <c r="F48" s="60">
        <v>5</v>
      </c>
      <c r="G48" s="60">
        <v>6</v>
      </c>
      <c r="H48" s="60">
        <v>7</v>
      </c>
      <c r="I48" s="60">
        <v>8</v>
      </c>
      <c r="J48" s="60">
        <v>9</v>
      </c>
      <c r="K48" s="60">
        <v>10</v>
      </c>
      <c r="L48" s="60">
        <v>11</v>
      </c>
      <c r="M48" s="60">
        <v>12</v>
      </c>
      <c r="N48" s="48">
        <v>1</v>
      </c>
      <c r="O48" s="48">
        <v>2</v>
      </c>
      <c r="P48" s="48">
        <v>3</v>
      </c>
      <c r="Q48" s="48">
        <v>4</v>
      </c>
      <c r="R48" s="48">
        <v>5</v>
      </c>
      <c r="S48" s="48">
        <v>6</v>
      </c>
      <c r="T48" s="48">
        <v>7</v>
      </c>
      <c r="U48" s="48">
        <v>8</v>
      </c>
      <c r="V48" s="48">
        <v>9</v>
      </c>
      <c r="W48" s="48">
        <v>10</v>
      </c>
      <c r="X48" s="48">
        <v>11</v>
      </c>
      <c r="Y48" s="48">
        <v>12</v>
      </c>
    </row>
    <row r="49" spans="1:25">
      <c r="A49" s="845"/>
      <c r="B49" s="60">
        <f>B44*B45</f>
        <v>195000</v>
      </c>
      <c r="C49" s="60"/>
      <c r="D49" s="60">
        <f>C49</f>
        <v>0</v>
      </c>
      <c r="E49" s="60">
        <f>D49</f>
        <v>0</v>
      </c>
      <c r="F49" s="60">
        <f>E49</f>
        <v>0</v>
      </c>
      <c r="G49" s="60">
        <f>F49</f>
        <v>0</v>
      </c>
      <c r="H49" s="60">
        <f>G49</f>
        <v>0</v>
      </c>
      <c r="I49" s="60">
        <f t="shared" ref="I49:I54" si="22">H49</f>
        <v>0</v>
      </c>
      <c r="J49" s="60"/>
      <c r="K49" s="60"/>
      <c r="L49" s="60"/>
      <c r="M49" s="60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</row>
    <row r="50" spans="1:25">
      <c r="A50" s="845"/>
      <c r="B50" s="60"/>
      <c r="C50" s="60">
        <f>B49</f>
        <v>195000</v>
      </c>
      <c r="D50" s="60"/>
      <c r="E50" s="60">
        <f>D50</f>
        <v>0</v>
      </c>
      <c r="F50" s="60">
        <f>E50</f>
        <v>0</v>
      </c>
      <c r="G50" s="60">
        <f>F50</f>
        <v>0</v>
      </c>
      <c r="H50" s="60">
        <f>G50</f>
        <v>0</v>
      </c>
      <c r="I50" s="60">
        <f t="shared" si="22"/>
        <v>0</v>
      </c>
      <c r="J50" s="60">
        <f>I50</f>
        <v>0</v>
      </c>
      <c r="K50" s="60"/>
      <c r="L50" s="60"/>
      <c r="M50" s="60"/>
      <c r="N50" s="60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</row>
    <row r="51" spans="1:25">
      <c r="A51" s="845"/>
      <c r="B51" s="60"/>
      <c r="C51" s="60"/>
      <c r="D51" s="60">
        <f>C50</f>
        <v>195000</v>
      </c>
      <c r="E51" s="60"/>
      <c r="F51" s="60">
        <f>E51</f>
        <v>0</v>
      </c>
      <c r="G51" s="60">
        <f>F51</f>
        <v>0</v>
      </c>
      <c r="H51" s="60">
        <f>G51</f>
        <v>0</v>
      </c>
      <c r="I51" s="60">
        <f t="shared" si="22"/>
        <v>0</v>
      </c>
      <c r="J51" s="60">
        <f>I51</f>
        <v>0</v>
      </c>
      <c r="K51" s="60">
        <f t="shared" ref="K51:K56" si="23">J51</f>
        <v>0</v>
      </c>
      <c r="L51" s="60"/>
      <c r="M51" s="60"/>
      <c r="N51" s="60"/>
      <c r="O51" s="60"/>
      <c r="P51" s="48"/>
      <c r="Q51" s="48"/>
      <c r="R51" s="48"/>
      <c r="S51" s="48"/>
      <c r="T51" s="48"/>
      <c r="U51" s="48"/>
      <c r="V51" s="48"/>
      <c r="W51" s="48"/>
      <c r="X51" s="48"/>
      <c r="Y51" s="48"/>
    </row>
    <row r="52" spans="1:25">
      <c r="A52" s="845"/>
      <c r="B52" s="60"/>
      <c r="C52" s="60"/>
      <c r="D52" s="60"/>
      <c r="E52" s="60">
        <f>D51*2</f>
        <v>390000</v>
      </c>
      <c r="F52" s="60"/>
      <c r="G52" s="60">
        <f>F52</f>
        <v>0</v>
      </c>
      <c r="H52" s="60">
        <f>G52</f>
        <v>0</v>
      </c>
      <c r="I52" s="60">
        <f t="shared" si="22"/>
        <v>0</v>
      </c>
      <c r="J52" s="60">
        <f>I52</f>
        <v>0</v>
      </c>
      <c r="K52" s="60">
        <f t="shared" si="23"/>
        <v>0</v>
      </c>
      <c r="L52" s="60">
        <f t="shared" ref="L52:L57" si="24">K52</f>
        <v>0</v>
      </c>
      <c r="M52" s="60"/>
      <c r="N52" s="60"/>
      <c r="O52" s="60"/>
      <c r="P52" s="60"/>
      <c r="Q52" s="48"/>
      <c r="R52" s="48"/>
      <c r="S52" s="48"/>
      <c r="T52" s="48"/>
      <c r="U52" s="48"/>
      <c r="V52" s="48"/>
      <c r="W52" s="48"/>
      <c r="X52" s="48"/>
      <c r="Y52" s="48"/>
    </row>
    <row r="53" spans="1:25">
      <c r="A53" s="845"/>
      <c r="B53" s="60"/>
      <c r="C53" s="60"/>
      <c r="D53" s="60"/>
      <c r="E53" s="60"/>
      <c r="F53" s="60">
        <f>E52</f>
        <v>390000</v>
      </c>
      <c r="G53" s="60"/>
      <c r="H53" s="60"/>
      <c r="I53" s="60">
        <f t="shared" si="22"/>
        <v>0</v>
      </c>
      <c r="J53" s="60">
        <f>I53</f>
        <v>0</v>
      </c>
      <c r="K53" s="60">
        <f t="shared" si="23"/>
        <v>0</v>
      </c>
      <c r="L53" s="60">
        <f t="shared" si="24"/>
        <v>0</v>
      </c>
      <c r="M53" s="60">
        <f t="shared" ref="M53:M58" si="25">L53</f>
        <v>0</v>
      </c>
      <c r="N53" s="60"/>
      <c r="O53" s="60"/>
      <c r="P53" s="60"/>
      <c r="Q53" s="60"/>
      <c r="R53" s="48"/>
      <c r="S53" s="48"/>
      <c r="T53" s="48"/>
      <c r="U53" s="48"/>
      <c r="V53" s="48"/>
      <c r="W53" s="48"/>
      <c r="X53" s="48"/>
      <c r="Y53" s="48"/>
    </row>
    <row r="54" spans="1:25">
      <c r="A54" s="845"/>
      <c r="B54" s="60"/>
      <c r="C54" s="60"/>
      <c r="D54" s="60"/>
      <c r="E54" s="60"/>
      <c r="F54" s="60"/>
      <c r="G54" s="60">
        <f>F53</f>
        <v>390000</v>
      </c>
      <c r="H54" s="60"/>
      <c r="I54" s="60">
        <f t="shared" si="22"/>
        <v>0</v>
      </c>
      <c r="J54" s="60">
        <f>I54</f>
        <v>0</v>
      </c>
      <c r="K54" s="60">
        <f t="shared" si="23"/>
        <v>0</v>
      </c>
      <c r="L54" s="60">
        <f t="shared" si="24"/>
        <v>0</v>
      </c>
      <c r="M54" s="60">
        <f t="shared" si="25"/>
        <v>0</v>
      </c>
      <c r="N54" s="60">
        <f t="shared" ref="N54:N59" si="26">M54</f>
        <v>0</v>
      </c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</row>
    <row r="55" spans="1:25">
      <c r="A55" s="845"/>
      <c r="B55" s="60"/>
      <c r="C55" s="60"/>
      <c r="D55" s="60"/>
      <c r="E55" s="60"/>
      <c r="F55" s="60"/>
      <c r="G55" s="60"/>
      <c r="H55" s="64">
        <f>B45*H44</f>
        <v>585000</v>
      </c>
      <c r="I55" s="64"/>
      <c r="J55" s="64"/>
      <c r="K55" s="64">
        <f t="shared" si="23"/>
        <v>0</v>
      </c>
      <c r="L55" s="64">
        <f t="shared" si="24"/>
        <v>0</v>
      </c>
      <c r="M55" s="64">
        <f t="shared" si="25"/>
        <v>0</v>
      </c>
      <c r="N55" s="64">
        <f t="shared" si="26"/>
        <v>0</v>
      </c>
      <c r="O55" s="64">
        <f>N55</f>
        <v>0</v>
      </c>
      <c r="P55" s="48"/>
      <c r="Q55" s="48"/>
      <c r="R55" s="48"/>
      <c r="S55" s="48"/>
      <c r="T55" s="48"/>
      <c r="U55" s="48"/>
      <c r="V55" s="48"/>
      <c r="W55" s="48"/>
      <c r="X55" s="48"/>
      <c r="Y55" s="48"/>
    </row>
    <row r="56" spans="1:25">
      <c r="A56" s="845"/>
      <c r="B56" s="60"/>
      <c r="C56" s="60"/>
      <c r="D56" s="60"/>
      <c r="E56" s="60"/>
      <c r="F56" s="60"/>
      <c r="G56" s="60"/>
      <c r="H56" s="60"/>
      <c r="I56" s="64">
        <f>H55</f>
        <v>585000</v>
      </c>
      <c r="J56" s="64"/>
      <c r="K56" s="64">
        <f t="shared" si="23"/>
        <v>0</v>
      </c>
      <c r="L56" s="64">
        <f t="shared" si="24"/>
        <v>0</v>
      </c>
      <c r="M56" s="64">
        <f t="shared" si="25"/>
        <v>0</v>
      </c>
      <c r="N56" s="64">
        <f t="shared" si="26"/>
        <v>0</v>
      </c>
      <c r="O56" s="64">
        <f>N56</f>
        <v>0</v>
      </c>
      <c r="P56" s="64">
        <f>O56</f>
        <v>0</v>
      </c>
      <c r="Q56" s="48"/>
      <c r="R56" s="48"/>
      <c r="S56" s="48"/>
      <c r="T56" s="48"/>
      <c r="U56" s="48"/>
      <c r="V56" s="48"/>
      <c r="W56" s="48"/>
      <c r="X56" s="48"/>
      <c r="Y56" s="48"/>
    </row>
    <row r="57" spans="1:25">
      <c r="A57" s="845"/>
      <c r="B57" s="60"/>
      <c r="C57" s="60"/>
      <c r="D57" s="60"/>
      <c r="E57" s="60"/>
      <c r="F57" s="60"/>
      <c r="G57" s="60"/>
      <c r="H57" s="60"/>
      <c r="I57" s="60"/>
      <c r="J57" s="64">
        <f>I56</f>
        <v>585000</v>
      </c>
      <c r="K57" s="64"/>
      <c r="L57" s="64">
        <f t="shared" si="24"/>
        <v>0</v>
      </c>
      <c r="M57" s="64">
        <f t="shared" si="25"/>
        <v>0</v>
      </c>
      <c r="N57" s="64">
        <f t="shared" si="26"/>
        <v>0</v>
      </c>
      <c r="O57" s="64">
        <f>N57</f>
        <v>0</v>
      </c>
      <c r="P57" s="64">
        <f>O57</f>
        <v>0</v>
      </c>
      <c r="Q57" s="64">
        <f>P57</f>
        <v>0</v>
      </c>
      <c r="R57" s="48"/>
      <c r="S57" s="48"/>
      <c r="T57" s="48"/>
      <c r="U57" s="48"/>
      <c r="V57" s="48"/>
      <c r="W57" s="48"/>
      <c r="X57" s="48"/>
      <c r="Y57" s="48"/>
    </row>
    <row r="58" spans="1:25">
      <c r="A58" s="845"/>
      <c r="B58" s="60"/>
      <c r="C58" s="60"/>
      <c r="D58" s="60"/>
      <c r="E58" s="60"/>
      <c r="F58" s="60"/>
      <c r="G58" s="60"/>
      <c r="H58" s="60"/>
      <c r="I58" s="60"/>
      <c r="J58" s="60"/>
      <c r="K58" s="64">
        <f>B45*K44</f>
        <v>780000</v>
      </c>
      <c r="L58" s="64"/>
      <c r="M58" s="64">
        <f t="shared" si="25"/>
        <v>0</v>
      </c>
      <c r="N58" s="64">
        <f t="shared" si="26"/>
        <v>0</v>
      </c>
      <c r="O58" s="64">
        <f>N58</f>
        <v>0</v>
      </c>
      <c r="P58" s="64">
        <f>O58</f>
        <v>0</v>
      </c>
      <c r="Q58" s="64">
        <f>P58</f>
        <v>0</v>
      </c>
      <c r="R58" s="64">
        <f>Q58</f>
        <v>0</v>
      </c>
      <c r="S58" s="48"/>
      <c r="T58" s="48"/>
      <c r="U58" s="48"/>
      <c r="V58" s="48"/>
      <c r="W58" s="48"/>
      <c r="X58" s="48"/>
      <c r="Y58" s="48"/>
    </row>
    <row r="59" spans="1:25">
      <c r="A59" s="845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4">
        <f>K58</f>
        <v>780000</v>
      </c>
      <c r="M59" s="64"/>
      <c r="N59" s="64">
        <f t="shared" si="26"/>
        <v>0</v>
      </c>
      <c r="O59" s="64">
        <f>N59</f>
        <v>0</v>
      </c>
      <c r="P59" s="64">
        <f>O59</f>
        <v>0</v>
      </c>
      <c r="Q59" s="64">
        <f>P59</f>
        <v>0</v>
      </c>
      <c r="R59" s="64">
        <f>Q59</f>
        <v>0</v>
      </c>
      <c r="S59" s="64">
        <f>R59</f>
        <v>0</v>
      </c>
      <c r="T59" s="48"/>
      <c r="U59" s="48"/>
      <c r="V59" s="48"/>
      <c r="W59" s="48"/>
      <c r="X59" s="48"/>
      <c r="Y59" s="48"/>
    </row>
    <row r="60" spans="1:25">
      <c r="A60" s="845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4">
        <f>L59</f>
        <v>780000</v>
      </c>
      <c r="N60" s="66"/>
      <c r="O60" s="66"/>
      <c r="P60" s="66"/>
      <c r="Q60" s="66"/>
      <c r="R60" s="66"/>
      <c r="S60" s="66"/>
      <c r="T60" s="66"/>
      <c r="U60" s="48"/>
      <c r="V60" s="48"/>
      <c r="W60" s="48"/>
      <c r="X60" s="48"/>
      <c r="Y60" s="48"/>
    </row>
    <row r="61" spans="1:25" s="584" customFormat="1" ht="13.8" thickBot="1">
      <c r="A61" s="846" t="s">
        <v>206</v>
      </c>
      <c r="B61" s="847">
        <f>SUM(B49:B60)</f>
        <v>195000</v>
      </c>
      <c r="C61" s="847">
        <f t="shared" ref="C61:M61" si="27">SUM(C49:C60)</f>
        <v>195000</v>
      </c>
      <c r="D61" s="847">
        <f t="shared" si="27"/>
        <v>195000</v>
      </c>
      <c r="E61" s="847">
        <f t="shared" si="27"/>
        <v>390000</v>
      </c>
      <c r="F61" s="847">
        <f t="shared" si="27"/>
        <v>390000</v>
      </c>
      <c r="G61" s="847">
        <f t="shared" si="27"/>
        <v>390000</v>
      </c>
      <c r="H61" s="847">
        <f t="shared" si="27"/>
        <v>585000</v>
      </c>
      <c r="I61" s="847">
        <f t="shared" si="27"/>
        <v>585000</v>
      </c>
      <c r="J61" s="847">
        <f t="shared" si="27"/>
        <v>585000</v>
      </c>
      <c r="K61" s="847">
        <f t="shared" si="27"/>
        <v>780000</v>
      </c>
      <c r="L61" s="847">
        <f t="shared" si="27"/>
        <v>780000</v>
      </c>
      <c r="M61" s="847">
        <f t="shared" si="27"/>
        <v>780000</v>
      </c>
      <c r="N61" s="848">
        <f>SUM(B61:M61)</f>
        <v>5850000</v>
      </c>
      <c r="O61" s="848"/>
      <c r="P61" s="848"/>
      <c r="Q61" s="848"/>
      <c r="R61" s="848"/>
      <c r="S61" s="848"/>
      <c r="T61" s="848"/>
      <c r="U61" s="848"/>
      <c r="V61" s="848"/>
      <c r="W61" s="848"/>
      <c r="X61" s="848"/>
      <c r="Y61" s="848"/>
    </row>
    <row r="64" spans="1:25" s="854" customFormat="1" ht="13.8">
      <c r="A64" s="854" t="s">
        <v>206</v>
      </c>
      <c r="B64" s="854">
        <f>B21+B41</f>
        <v>265000</v>
      </c>
      <c r="C64" s="854">
        <f t="shared" ref="C64:M64" si="28">C21+C41</f>
        <v>530000</v>
      </c>
      <c r="D64" s="854">
        <f t="shared" si="28"/>
        <v>795000</v>
      </c>
      <c r="E64" s="854">
        <f t="shared" si="28"/>
        <v>1060000</v>
      </c>
      <c r="F64" s="854">
        <f t="shared" si="28"/>
        <v>1325000</v>
      </c>
      <c r="G64" s="854">
        <f t="shared" si="28"/>
        <v>1590000</v>
      </c>
      <c r="H64" s="854">
        <f t="shared" si="28"/>
        <v>1867750</v>
      </c>
      <c r="I64" s="854">
        <f t="shared" si="28"/>
        <v>2145500</v>
      </c>
      <c r="J64" s="854">
        <f t="shared" si="28"/>
        <v>2338250</v>
      </c>
      <c r="K64" s="854">
        <f t="shared" si="28"/>
        <v>2545662.5</v>
      </c>
      <c r="L64" s="854">
        <f t="shared" si="28"/>
        <v>2753075</v>
      </c>
      <c r="M64" s="854">
        <f t="shared" si="28"/>
        <v>2960487.5</v>
      </c>
      <c r="N64" s="854">
        <f>SUM(B64:M64)</f>
        <v>20175725</v>
      </c>
    </row>
    <row r="65" spans="1:14">
      <c r="I65" s="860">
        <f>SUM(B64:I64)</f>
        <v>9578250</v>
      </c>
      <c r="N65" s="876">
        <f>N64+N61</f>
        <v>26025725</v>
      </c>
    </row>
    <row r="67" spans="1:14" ht="13.8" thickBot="1"/>
    <row r="68" spans="1:14" s="867" customFormat="1" ht="15.6">
      <c r="A68" s="869" t="s">
        <v>799</v>
      </c>
      <c r="B68" s="870" t="s">
        <v>484</v>
      </c>
      <c r="C68" s="870" t="s">
        <v>557</v>
      </c>
      <c r="D68" s="870" t="s">
        <v>617</v>
      </c>
      <c r="E68" s="870" t="s">
        <v>800</v>
      </c>
      <c r="F68" s="871"/>
    </row>
    <row r="69" spans="1:14">
      <c r="A69" s="866" t="s">
        <v>803</v>
      </c>
      <c r="B69" s="33">
        <f>SUM(B8:M8)*3</f>
        <v>6480000</v>
      </c>
      <c r="C69" s="33">
        <f>B69</f>
        <v>6480000</v>
      </c>
      <c r="D69" s="33">
        <f>C69</f>
        <v>6480000</v>
      </c>
      <c r="E69" s="33">
        <f>D69</f>
        <v>6480000</v>
      </c>
      <c r="F69" s="868">
        <f>SUM(B69:E69)</f>
        <v>25920000</v>
      </c>
    </row>
    <row r="70" spans="1:14">
      <c r="A70" s="866" t="s">
        <v>801</v>
      </c>
      <c r="B70" s="33">
        <f>SUM(B29:I29)*3</f>
        <v>2040000</v>
      </c>
      <c r="C70" s="33">
        <f>B70</f>
        <v>2040000</v>
      </c>
      <c r="D70" s="33">
        <f>SUM(H35:O35)*3</f>
        <v>2346000</v>
      </c>
      <c r="E70" s="33">
        <f>SUM(K38:R38)*3</f>
        <v>2697900</v>
      </c>
      <c r="F70" s="868">
        <f>SUM(B70:E70)</f>
        <v>9123900</v>
      </c>
    </row>
    <row r="71" spans="1:14">
      <c r="A71" s="866" t="s">
        <v>804</v>
      </c>
      <c r="B71" s="33">
        <v>1</v>
      </c>
      <c r="C71" s="33">
        <v>1</v>
      </c>
      <c r="D71" s="33">
        <v>1</v>
      </c>
      <c r="E71" s="33">
        <v>1</v>
      </c>
      <c r="F71" s="612"/>
    </row>
    <row r="72" spans="1:14">
      <c r="A72" s="866" t="s">
        <v>802</v>
      </c>
      <c r="B72" s="33">
        <f>D51*3</f>
        <v>585000</v>
      </c>
      <c r="C72" s="33">
        <f>F61*3</f>
        <v>1170000</v>
      </c>
      <c r="D72" s="33">
        <f>J57*3</f>
        <v>1755000</v>
      </c>
      <c r="E72" s="33">
        <f>M60*3</f>
        <v>2340000</v>
      </c>
      <c r="F72" s="868">
        <f>SUM(B72:E72)</f>
        <v>5850000</v>
      </c>
    </row>
    <row r="73" spans="1:14">
      <c r="A73" s="866" t="s">
        <v>804</v>
      </c>
      <c r="B73" s="33">
        <v>3</v>
      </c>
      <c r="C73" s="33">
        <v>6</v>
      </c>
      <c r="D73" s="33">
        <v>9</v>
      </c>
      <c r="E73" s="33">
        <v>12</v>
      </c>
      <c r="F73" s="612"/>
    </row>
    <row r="74" spans="1:14" s="875" customFormat="1" ht="13.8" thickBot="1">
      <c r="A74" s="872" t="s">
        <v>206</v>
      </c>
      <c r="B74" s="873">
        <f>B69+B70+B72</f>
        <v>9105000</v>
      </c>
      <c r="C74" s="873">
        <f>C69+C70+C72</f>
        <v>9690000</v>
      </c>
      <c r="D74" s="873">
        <f>D69+D70+D72</f>
        <v>10581000</v>
      </c>
      <c r="E74" s="873">
        <f>E69+E70+E72</f>
        <v>11517900</v>
      </c>
      <c r="F74" s="874">
        <f>SUM(B74:E74)</f>
        <v>40893900</v>
      </c>
    </row>
    <row r="75" spans="1:14" ht="13.8" thickBot="1">
      <c r="A75" s="877"/>
      <c r="B75" s="878"/>
      <c r="C75" s="879">
        <f>(C74-B74)/B74</f>
        <v>6.4250411861614495E-2</v>
      </c>
      <c r="D75" s="879">
        <f>(D74-C74)/C74</f>
        <v>9.1950464396284834E-2</v>
      </c>
      <c r="E75" s="879">
        <f>(E74-D74)/D74</f>
        <v>8.8545506095832158E-2</v>
      </c>
      <c r="F75" s="880"/>
    </row>
  </sheetData>
  <mergeCells count="9">
    <mergeCell ref="B47:M47"/>
    <mergeCell ref="N47:Y47"/>
    <mergeCell ref="B6:M6"/>
    <mergeCell ref="N6:Y6"/>
    <mergeCell ref="A2:G2"/>
    <mergeCell ref="A23:G23"/>
    <mergeCell ref="B27:M27"/>
    <mergeCell ref="N27:Y27"/>
    <mergeCell ref="A43:G43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8D4BC-09C5-4748-B6B4-EEC8310EB388}">
  <sheetPr codeName="Лист2"/>
  <dimension ref="A1:M19"/>
  <sheetViews>
    <sheetView workbookViewId="0">
      <selection activeCell="B5" sqref="B5"/>
    </sheetView>
  </sheetViews>
  <sheetFormatPr defaultRowHeight="13.2"/>
  <cols>
    <col min="1" max="1" width="13.44140625" customWidth="1"/>
  </cols>
  <sheetData>
    <row r="1" spans="1:13" s="45" customFormat="1" ht="12.6" customHeight="1">
      <c r="A1" s="46" t="s">
        <v>219</v>
      </c>
      <c r="B1" s="59">
        <v>1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1:13" s="45" customFormat="1">
      <c r="A2" s="46" t="s">
        <v>179</v>
      </c>
      <c r="B2" s="61">
        <f>1640000/8</f>
        <v>205000</v>
      </c>
      <c r="C2" s="61"/>
      <c r="D2" s="60"/>
      <c r="E2" s="60"/>
      <c r="F2" s="60"/>
      <c r="G2" s="60"/>
      <c r="H2" s="60"/>
      <c r="I2" s="60"/>
      <c r="J2" s="60"/>
      <c r="K2" s="60"/>
      <c r="L2" s="60"/>
      <c r="M2" s="60"/>
    </row>
    <row r="3" spans="1:13" s="44" customFormat="1">
      <c r="A3" s="48"/>
      <c r="B3" s="1949">
        <v>2024</v>
      </c>
      <c r="C3" s="1949"/>
      <c r="D3" s="1949"/>
      <c r="E3" s="1949"/>
      <c r="F3" s="1949"/>
      <c r="G3" s="1949"/>
      <c r="H3" s="1949"/>
      <c r="I3" s="1949"/>
      <c r="J3" s="1949"/>
      <c r="K3" s="1949"/>
      <c r="L3" s="1949"/>
      <c r="M3" s="1949"/>
    </row>
    <row r="4" spans="1:13" s="45" customFormat="1">
      <c r="A4" s="48"/>
      <c r="B4" s="60">
        <v>1</v>
      </c>
      <c r="C4" s="60">
        <v>2</v>
      </c>
      <c r="D4" s="60">
        <v>3</v>
      </c>
      <c r="E4" s="60">
        <v>4</v>
      </c>
      <c r="F4" s="60">
        <v>5</v>
      </c>
      <c r="G4" s="60">
        <v>6</v>
      </c>
      <c r="H4" s="60">
        <v>7</v>
      </c>
      <c r="I4" s="60">
        <v>8</v>
      </c>
      <c r="J4" s="60">
        <v>9</v>
      </c>
      <c r="K4" s="60">
        <v>10</v>
      </c>
      <c r="L4" s="60">
        <v>11</v>
      </c>
      <c r="M4" s="60">
        <v>12</v>
      </c>
    </row>
    <row r="5" spans="1:13" s="45" customFormat="1" ht="11.4" customHeight="1">
      <c r="A5" s="48"/>
      <c r="B5" s="64">
        <f>B2*B1</f>
        <v>205000</v>
      </c>
      <c r="C5" s="60">
        <f>B5</f>
        <v>205000</v>
      </c>
      <c r="D5" s="60">
        <f t="shared" ref="D5:I5" si="0">C5</f>
        <v>205000</v>
      </c>
      <c r="E5" s="60">
        <f t="shared" si="0"/>
        <v>205000</v>
      </c>
      <c r="F5" s="60">
        <f t="shared" si="0"/>
        <v>205000</v>
      </c>
      <c r="G5" s="60">
        <f t="shared" si="0"/>
        <v>205000</v>
      </c>
      <c r="H5" s="60">
        <f t="shared" si="0"/>
        <v>205000</v>
      </c>
      <c r="I5" s="60">
        <f t="shared" si="0"/>
        <v>205000</v>
      </c>
      <c r="J5" s="60">
        <f t="shared" ref="J5:M7" si="1">I5</f>
        <v>205000</v>
      </c>
      <c r="K5" s="60">
        <f t="shared" si="1"/>
        <v>205000</v>
      </c>
      <c r="L5" s="60">
        <f t="shared" si="1"/>
        <v>205000</v>
      </c>
      <c r="M5" s="60">
        <f t="shared" si="1"/>
        <v>205000</v>
      </c>
    </row>
    <row r="6" spans="1:13" s="45" customFormat="1">
      <c r="A6" s="48"/>
      <c r="B6" s="60"/>
      <c r="C6" s="60">
        <f t="shared" ref="C6:H6" si="2">C5</f>
        <v>205000</v>
      </c>
      <c r="D6" s="60">
        <f t="shared" si="2"/>
        <v>205000</v>
      </c>
      <c r="E6" s="60">
        <f t="shared" si="2"/>
        <v>205000</v>
      </c>
      <c r="F6" s="60">
        <f t="shared" si="2"/>
        <v>205000</v>
      </c>
      <c r="G6" s="60">
        <f t="shared" si="2"/>
        <v>205000</v>
      </c>
      <c r="H6" s="60">
        <f t="shared" si="2"/>
        <v>205000</v>
      </c>
      <c r="I6" s="60">
        <f>H6</f>
        <v>205000</v>
      </c>
      <c r="J6" s="60">
        <f t="shared" si="1"/>
        <v>205000</v>
      </c>
      <c r="K6" s="60">
        <f t="shared" si="1"/>
        <v>205000</v>
      </c>
      <c r="L6" s="60">
        <f t="shared" si="1"/>
        <v>205000</v>
      </c>
      <c r="M6" s="60">
        <f t="shared" si="1"/>
        <v>205000</v>
      </c>
    </row>
    <row r="7" spans="1:13" s="45" customFormat="1">
      <c r="A7" s="48"/>
      <c r="B7" s="60"/>
      <c r="C7" s="60"/>
      <c r="D7" s="60">
        <f t="shared" ref="D7:I7" si="3">D6</f>
        <v>205000</v>
      </c>
      <c r="E7" s="60">
        <f t="shared" si="3"/>
        <v>205000</v>
      </c>
      <c r="F7" s="60">
        <f t="shared" si="3"/>
        <v>205000</v>
      </c>
      <c r="G7" s="60">
        <f t="shared" si="3"/>
        <v>205000</v>
      </c>
      <c r="H7" s="60">
        <f t="shared" si="3"/>
        <v>205000</v>
      </c>
      <c r="I7" s="60">
        <f t="shared" si="3"/>
        <v>205000</v>
      </c>
      <c r="J7" s="60">
        <f t="shared" si="1"/>
        <v>205000</v>
      </c>
      <c r="K7" s="60">
        <f t="shared" si="1"/>
        <v>205000</v>
      </c>
      <c r="L7" s="60">
        <f t="shared" si="1"/>
        <v>205000</v>
      </c>
      <c r="M7" s="60">
        <f t="shared" si="1"/>
        <v>205000</v>
      </c>
    </row>
    <row r="8" spans="1:13" s="45" customFormat="1">
      <c r="A8" s="48"/>
      <c r="B8" s="60"/>
      <c r="C8" s="60"/>
      <c r="D8" s="60"/>
      <c r="E8" s="60">
        <f t="shared" ref="E8:J8" si="4">E7</f>
        <v>205000</v>
      </c>
      <c r="F8" s="60">
        <f t="shared" si="4"/>
        <v>205000</v>
      </c>
      <c r="G8" s="60">
        <f t="shared" si="4"/>
        <v>205000</v>
      </c>
      <c r="H8" s="60">
        <f t="shared" si="4"/>
        <v>205000</v>
      </c>
      <c r="I8" s="60">
        <f t="shared" si="4"/>
        <v>205000</v>
      </c>
      <c r="J8" s="60">
        <f t="shared" si="4"/>
        <v>205000</v>
      </c>
      <c r="K8" s="60">
        <f>J8</f>
        <v>205000</v>
      </c>
      <c r="L8" s="60">
        <f>K8</f>
        <v>205000</v>
      </c>
      <c r="M8" s="60">
        <f>L8</f>
        <v>205000</v>
      </c>
    </row>
    <row r="9" spans="1:13" s="45" customFormat="1">
      <c r="A9" s="48"/>
      <c r="B9" s="60"/>
      <c r="C9" s="60"/>
      <c r="D9" s="60"/>
      <c r="E9" s="60"/>
      <c r="F9" s="60">
        <f t="shared" ref="F9:K9" si="5">F8</f>
        <v>205000</v>
      </c>
      <c r="G9" s="60">
        <f t="shared" si="5"/>
        <v>205000</v>
      </c>
      <c r="H9" s="60">
        <f t="shared" si="5"/>
        <v>205000</v>
      </c>
      <c r="I9" s="60">
        <f t="shared" si="5"/>
        <v>205000</v>
      </c>
      <c r="J9" s="60">
        <f t="shared" si="5"/>
        <v>205000</v>
      </c>
      <c r="K9" s="60">
        <f t="shared" si="5"/>
        <v>205000</v>
      </c>
      <c r="L9" s="60">
        <f>K9</f>
        <v>205000</v>
      </c>
      <c r="M9" s="60">
        <f>L9</f>
        <v>205000</v>
      </c>
    </row>
    <row r="10" spans="1:13" s="45" customFormat="1">
      <c r="A10" s="48"/>
      <c r="B10" s="60"/>
      <c r="C10" s="60"/>
      <c r="D10" s="60"/>
      <c r="E10" s="60"/>
      <c r="F10" s="60"/>
      <c r="G10" s="60">
        <f t="shared" ref="G10:L10" si="6">G9</f>
        <v>205000</v>
      </c>
      <c r="H10" s="60">
        <f t="shared" si="6"/>
        <v>205000</v>
      </c>
      <c r="I10" s="60">
        <f t="shared" si="6"/>
        <v>205000</v>
      </c>
      <c r="J10" s="60">
        <f t="shared" si="6"/>
        <v>205000</v>
      </c>
      <c r="K10" s="60">
        <f t="shared" si="6"/>
        <v>205000</v>
      </c>
      <c r="L10" s="60">
        <f t="shared" si="6"/>
        <v>205000</v>
      </c>
      <c r="M10" s="60">
        <f>L10</f>
        <v>205000</v>
      </c>
    </row>
    <row r="11" spans="1:13" s="45" customFormat="1">
      <c r="A11" s="48"/>
      <c r="B11" s="60"/>
      <c r="C11" s="60"/>
      <c r="D11" s="60"/>
      <c r="E11" s="60"/>
      <c r="F11" s="60"/>
      <c r="G11" s="60"/>
      <c r="H11" s="60">
        <f t="shared" ref="H11:M11" si="7">H10</f>
        <v>205000</v>
      </c>
      <c r="I11" s="60">
        <f t="shared" si="7"/>
        <v>205000</v>
      </c>
      <c r="J11" s="60">
        <f t="shared" si="7"/>
        <v>205000</v>
      </c>
      <c r="K11" s="60">
        <f t="shared" si="7"/>
        <v>205000</v>
      </c>
      <c r="L11" s="60">
        <f t="shared" si="7"/>
        <v>205000</v>
      </c>
      <c r="M11" s="60">
        <f t="shared" si="7"/>
        <v>205000</v>
      </c>
    </row>
    <row r="12" spans="1:13" s="45" customFormat="1">
      <c r="A12" s="48"/>
      <c r="B12" s="60"/>
      <c r="C12" s="60"/>
      <c r="D12" s="60"/>
      <c r="E12" s="60"/>
      <c r="F12" s="60"/>
      <c r="G12" s="60"/>
      <c r="H12" s="60"/>
      <c r="I12" s="60">
        <f>I11</f>
        <v>205000</v>
      </c>
      <c r="J12" s="60">
        <f>J11</f>
        <v>205000</v>
      </c>
      <c r="K12" s="60">
        <f>K11</f>
        <v>205000</v>
      </c>
      <c r="L12" s="60">
        <f>L11</f>
        <v>205000</v>
      </c>
      <c r="M12" s="60">
        <f>M11</f>
        <v>205000</v>
      </c>
    </row>
    <row r="13" spans="1:13" s="45" customFormat="1">
      <c r="A13" s="48"/>
      <c r="B13" s="60"/>
      <c r="C13" s="60"/>
      <c r="D13" s="60"/>
      <c r="E13" s="60"/>
      <c r="F13" s="60"/>
      <c r="G13" s="60"/>
      <c r="H13" s="60"/>
      <c r="I13" s="60"/>
      <c r="J13" s="60">
        <f>J12</f>
        <v>205000</v>
      </c>
      <c r="K13" s="60">
        <f>K12</f>
        <v>205000</v>
      </c>
      <c r="L13" s="60">
        <f>L12</f>
        <v>205000</v>
      </c>
      <c r="M13" s="60">
        <f>M12</f>
        <v>205000</v>
      </c>
    </row>
    <row r="14" spans="1:13" s="45" customFormat="1">
      <c r="A14" s="48"/>
      <c r="B14" s="60"/>
      <c r="C14" s="60"/>
      <c r="D14" s="60"/>
      <c r="E14" s="60"/>
      <c r="F14" s="60"/>
      <c r="G14" s="60"/>
      <c r="H14" s="60"/>
      <c r="I14" s="60"/>
      <c r="J14" s="60"/>
      <c r="K14" s="60">
        <f>K13</f>
        <v>205000</v>
      </c>
      <c r="L14" s="60">
        <f>L13</f>
        <v>205000</v>
      </c>
      <c r="M14" s="60">
        <f>M13</f>
        <v>205000</v>
      </c>
    </row>
    <row r="15" spans="1:13" s="45" customFormat="1">
      <c r="A15" s="48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>
        <f>L14</f>
        <v>205000</v>
      </c>
      <c r="M15" s="60">
        <f>M14</f>
        <v>205000</v>
      </c>
    </row>
    <row r="16" spans="1:13" s="45" customFormat="1">
      <c r="A16" s="48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>
        <f>M15</f>
        <v>205000</v>
      </c>
    </row>
    <row r="17" spans="1:13" s="43" customFormat="1">
      <c r="A17" s="46" t="s">
        <v>206</v>
      </c>
      <c r="B17" s="61">
        <f>SUM(B5:B16)</f>
        <v>205000</v>
      </c>
      <c r="C17" s="59">
        <f t="shared" ref="C17:M17" si="8">SUM(C5:C16)</f>
        <v>410000</v>
      </c>
      <c r="D17" s="59">
        <f t="shared" si="8"/>
        <v>615000</v>
      </c>
      <c r="E17" s="59">
        <f t="shared" si="8"/>
        <v>820000</v>
      </c>
      <c r="F17" s="59">
        <f t="shared" si="8"/>
        <v>1025000</v>
      </c>
      <c r="G17" s="59">
        <f t="shared" si="8"/>
        <v>1230000</v>
      </c>
      <c r="H17" s="59">
        <f t="shared" si="8"/>
        <v>1435000</v>
      </c>
      <c r="I17" s="59">
        <f t="shared" si="8"/>
        <v>1640000</v>
      </c>
      <c r="J17" s="59">
        <f t="shared" si="8"/>
        <v>1845000</v>
      </c>
      <c r="K17" s="59">
        <f t="shared" si="8"/>
        <v>2050000</v>
      </c>
      <c r="L17" s="59">
        <f t="shared" si="8"/>
        <v>2255000</v>
      </c>
      <c r="M17" s="59">
        <f t="shared" si="8"/>
        <v>2460000</v>
      </c>
    </row>
    <row r="18" spans="1:13" s="45" customFormat="1">
      <c r="A18" s="47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</row>
    <row r="19" spans="1:13" s="58" customFormat="1">
      <c r="A19" s="65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</row>
  </sheetData>
  <mergeCells count="1">
    <mergeCell ref="B3:M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B9EFF-4632-4B05-9F91-9E7C54057429}">
  <sheetPr codeName="Лист3"/>
  <dimension ref="A1:R16"/>
  <sheetViews>
    <sheetView workbookViewId="0">
      <selection activeCell="A17" sqref="A17"/>
    </sheetView>
  </sheetViews>
  <sheetFormatPr defaultRowHeight="13.2"/>
  <cols>
    <col min="1" max="1" width="82.33203125" customWidth="1"/>
    <col min="2" max="2" width="10.5546875" customWidth="1"/>
    <col min="3" max="3" width="27.44140625" customWidth="1"/>
  </cols>
  <sheetData>
    <row r="1" spans="1:18" ht="15.6">
      <c r="A1" s="75">
        <v>2024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</row>
    <row r="2" spans="1:18">
      <c r="A2" t="s">
        <v>237</v>
      </c>
      <c r="B2" s="33">
        <v>2000000</v>
      </c>
      <c r="C2" t="s">
        <v>200</v>
      </c>
      <c r="E2">
        <f>B2/7</f>
        <v>285714.28571428574</v>
      </c>
      <c r="F2">
        <f t="shared" ref="F2:K2" si="0">E2</f>
        <v>285714.28571428574</v>
      </c>
      <c r="G2">
        <f t="shared" si="0"/>
        <v>285714.28571428574</v>
      </c>
      <c r="H2">
        <f t="shared" si="0"/>
        <v>285714.28571428574</v>
      </c>
      <c r="I2">
        <f t="shared" si="0"/>
        <v>285714.28571428574</v>
      </c>
      <c r="J2">
        <f t="shared" si="0"/>
        <v>285714.28571428574</v>
      </c>
      <c r="K2">
        <f t="shared" si="0"/>
        <v>285714.28571428574</v>
      </c>
    </row>
    <row r="3" spans="1:18">
      <c r="A3" t="s">
        <v>189</v>
      </c>
      <c r="B3" s="33">
        <v>68000</v>
      </c>
      <c r="C3" t="s">
        <v>201</v>
      </c>
      <c r="D3" s="33"/>
      <c r="E3">
        <v>68000</v>
      </c>
    </row>
    <row r="4" spans="1:18">
      <c r="A4" t="s">
        <v>190</v>
      </c>
      <c r="B4" s="33">
        <v>9683000</v>
      </c>
      <c r="C4" t="s">
        <v>202</v>
      </c>
      <c r="E4">
        <f>B4/12</f>
        <v>806916.66666666663</v>
      </c>
      <c r="F4">
        <f>E4</f>
        <v>806916.66666666663</v>
      </c>
      <c r="G4">
        <f t="shared" ref="G4:P4" si="1">F4</f>
        <v>806916.66666666663</v>
      </c>
      <c r="H4">
        <f t="shared" si="1"/>
        <v>806916.66666666663</v>
      </c>
      <c r="I4">
        <f t="shared" si="1"/>
        <v>806916.66666666663</v>
      </c>
      <c r="J4">
        <f t="shared" si="1"/>
        <v>806916.66666666663</v>
      </c>
      <c r="K4">
        <f t="shared" si="1"/>
        <v>806916.66666666663</v>
      </c>
      <c r="L4">
        <f t="shared" si="1"/>
        <v>806916.66666666663</v>
      </c>
      <c r="M4">
        <f t="shared" si="1"/>
        <v>806916.66666666663</v>
      </c>
      <c r="N4">
        <f t="shared" si="1"/>
        <v>806916.66666666663</v>
      </c>
      <c r="O4">
        <f t="shared" si="1"/>
        <v>806916.66666666663</v>
      </c>
      <c r="P4">
        <f t="shared" si="1"/>
        <v>806916.66666666663</v>
      </c>
    </row>
    <row r="5" spans="1:18">
      <c r="A5" t="s">
        <v>191</v>
      </c>
      <c r="B5" s="33">
        <v>184000</v>
      </c>
      <c r="C5" t="s">
        <v>203</v>
      </c>
      <c r="E5">
        <f>B5/2</f>
        <v>92000</v>
      </c>
      <c r="F5">
        <f>E5</f>
        <v>92000</v>
      </c>
    </row>
    <row r="6" spans="1:18">
      <c r="A6" t="s">
        <v>192</v>
      </c>
      <c r="B6" s="33">
        <v>280000</v>
      </c>
      <c r="C6" t="s">
        <v>204</v>
      </c>
      <c r="E6">
        <f>B6/6</f>
        <v>46666.666666666664</v>
      </c>
      <c r="F6">
        <f>E6</f>
        <v>46666.666666666664</v>
      </c>
      <c r="G6">
        <f>F6</f>
        <v>46666.666666666664</v>
      </c>
      <c r="H6">
        <f>G6</f>
        <v>46666.666666666664</v>
      </c>
      <c r="I6">
        <f>H6</f>
        <v>46666.666666666664</v>
      </c>
      <c r="J6">
        <f>I6</f>
        <v>46666.666666666664</v>
      </c>
    </row>
    <row r="7" spans="1:18">
      <c r="A7" s="14" t="s">
        <v>193</v>
      </c>
      <c r="B7">
        <v>232203</v>
      </c>
      <c r="C7" s="14" t="s">
        <v>208</v>
      </c>
      <c r="E7">
        <f>B7/4</f>
        <v>58050.75</v>
      </c>
      <c r="F7">
        <f>E7</f>
        <v>58050.75</v>
      </c>
      <c r="G7">
        <f>F7</f>
        <v>58050.75</v>
      </c>
      <c r="H7">
        <f>G7</f>
        <v>58050.75</v>
      </c>
    </row>
    <row r="9" spans="1:18">
      <c r="A9" t="s">
        <v>194</v>
      </c>
    </row>
    <row r="11" spans="1:18">
      <c r="A11" t="s">
        <v>195</v>
      </c>
    </row>
    <row r="12" spans="1:18">
      <c r="A12" t="s">
        <v>196</v>
      </c>
      <c r="B12" s="33">
        <v>250000</v>
      </c>
      <c r="C12" t="s">
        <v>202</v>
      </c>
      <c r="F12">
        <f>B12/12</f>
        <v>20833.333333333332</v>
      </c>
      <c r="G12">
        <f>F12</f>
        <v>20833.333333333332</v>
      </c>
      <c r="H12">
        <f t="shared" ref="H12:Q12" si="2">G12</f>
        <v>20833.333333333332</v>
      </c>
      <c r="I12">
        <f t="shared" si="2"/>
        <v>20833.333333333332</v>
      </c>
      <c r="J12">
        <f t="shared" si="2"/>
        <v>20833.333333333332</v>
      </c>
      <c r="K12">
        <f t="shared" si="2"/>
        <v>20833.333333333332</v>
      </c>
      <c r="L12">
        <f t="shared" si="2"/>
        <v>20833.333333333332</v>
      </c>
      <c r="M12">
        <f t="shared" si="2"/>
        <v>20833.333333333332</v>
      </c>
      <c r="N12">
        <f t="shared" si="2"/>
        <v>20833.333333333332</v>
      </c>
      <c r="O12">
        <f t="shared" si="2"/>
        <v>20833.333333333332</v>
      </c>
      <c r="P12">
        <f t="shared" si="2"/>
        <v>20833.333333333332</v>
      </c>
      <c r="Q12">
        <f t="shared" si="2"/>
        <v>20833.333333333332</v>
      </c>
    </row>
    <row r="13" spans="1:18">
      <c r="A13" t="s">
        <v>197</v>
      </c>
    </row>
    <row r="14" spans="1:18">
      <c r="A14" t="s">
        <v>198</v>
      </c>
      <c r="B14" s="33">
        <f>SUM(B2:B13)</f>
        <v>12697203</v>
      </c>
      <c r="E14">
        <f>SUM(E2:E13)</f>
        <v>1357348.3690476192</v>
      </c>
      <c r="F14">
        <f>SUM(F2:F13)</f>
        <v>1310181.7023809524</v>
      </c>
      <c r="G14">
        <f t="shared" ref="G14:Q14" si="3">SUM(G2:G13)</f>
        <v>1218181.7023809524</v>
      </c>
      <c r="H14">
        <f t="shared" si="3"/>
        <v>1218181.7023809524</v>
      </c>
      <c r="I14">
        <f t="shared" si="3"/>
        <v>1160130.9523809524</v>
      </c>
      <c r="J14">
        <f t="shared" si="3"/>
        <v>1160130.9523809524</v>
      </c>
      <c r="K14">
        <f t="shared" si="3"/>
        <v>1113464.2857142857</v>
      </c>
      <c r="L14">
        <f t="shared" si="3"/>
        <v>827750</v>
      </c>
      <c r="M14">
        <f t="shared" si="3"/>
        <v>827750</v>
      </c>
      <c r="N14">
        <f t="shared" si="3"/>
        <v>827750</v>
      </c>
      <c r="O14">
        <f t="shared" si="3"/>
        <v>827750</v>
      </c>
      <c r="P14">
        <f t="shared" si="3"/>
        <v>827750</v>
      </c>
      <c r="Q14">
        <f t="shared" si="3"/>
        <v>20833.333333333332</v>
      </c>
      <c r="R14">
        <f>SUM(E14:Q14)</f>
        <v>12697203.000000002</v>
      </c>
    </row>
    <row r="15" spans="1:18">
      <c r="A15" t="s">
        <v>199</v>
      </c>
    </row>
    <row r="16" spans="1:18">
      <c r="F16">
        <f>F14/6</f>
        <v>218363.61706349207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DF6EE-934F-4DA7-AAFA-9FDB6389CFC8}">
  <sheetPr codeName="Лист4">
    <pageSetUpPr fitToPage="1"/>
  </sheetPr>
  <dimension ref="A1:AA38"/>
  <sheetViews>
    <sheetView topLeftCell="A19" zoomScaleNormal="100" workbookViewId="0">
      <selection activeCell="C25" sqref="C25"/>
    </sheetView>
  </sheetViews>
  <sheetFormatPr defaultRowHeight="13.2"/>
  <cols>
    <col min="1" max="1" width="18.5546875" style="48" customWidth="1"/>
    <col min="2" max="2" width="9.5546875" style="60" bestFit="1" customWidth="1"/>
    <col min="3" max="4" width="10.5546875" style="60" bestFit="1" customWidth="1"/>
    <col min="5" max="6" width="11.5546875" style="60" bestFit="1" customWidth="1"/>
    <col min="7" max="7" width="12.5546875" style="60" bestFit="1" customWidth="1"/>
    <col min="8" max="8" width="13.6640625" style="60" bestFit="1" customWidth="1"/>
    <col min="9" max="9" width="14.6640625" style="60" bestFit="1" customWidth="1"/>
    <col min="10" max="10" width="15.6640625" style="60" bestFit="1" customWidth="1"/>
    <col min="11" max="11" width="16.6640625" style="60" bestFit="1" customWidth="1"/>
    <col min="12" max="12" width="17.6640625" style="60" bestFit="1" customWidth="1"/>
    <col min="13" max="13" width="18.6640625" style="60" bestFit="1" customWidth="1"/>
    <col min="14" max="20" width="8.88671875" style="48"/>
    <col min="21" max="21" width="11.6640625" style="48" customWidth="1"/>
    <col min="22" max="25" width="8.88671875" style="48"/>
    <col min="26" max="26" width="8.88671875" style="49"/>
    <col min="27" max="27" width="8.88671875" style="53"/>
  </cols>
  <sheetData>
    <row r="1" spans="1:27" s="45" customFormat="1" ht="12.6" customHeight="1">
      <c r="A1" s="46" t="s">
        <v>205</v>
      </c>
      <c r="B1" s="59">
        <v>3.83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9"/>
      <c r="AA1" s="50"/>
    </row>
    <row r="2" spans="1:27" s="45" customFormat="1">
      <c r="A2" s="46" t="s">
        <v>179</v>
      </c>
      <c r="B2" s="61">
        <f>1640000/8</f>
        <v>205000</v>
      </c>
      <c r="C2" s="61">
        <v>1640000</v>
      </c>
      <c r="D2" s="60"/>
      <c r="E2" s="60"/>
      <c r="F2" s="60"/>
      <c r="G2" s="60"/>
      <c r="H2" s="60">
        <f>4140000/3/7</f>
        <v>197142.85714285713</v>
      </c>
      <c r="I2" s="60"/>
      <c r="J2" s="60"/>
      <c r="K2" s="60"/>
      <c r="L2" s="60"/>
      <c r="M2" s="60"/>
      <c r="N2" s="48"/>
      <c r="O2" s="48"/>
      <c r="P2" s="48"/>
      <c r="Q2" s="48"/>
      <c r="R2" s="48"/>
      <c r="S2" s="48"/>
      <c r="T2" s="48"/>
      <c r="U2" s="46" t="s">
        <v>206</v>
      </c>
      <c r="V2" s="48"/>
      <c r="W2" s="48"/>
      <c r="X2" s="48"/>
      <c r="Y2" s="48"/>
      <c r="Z2" s="49"/>
      <c r="AA2" s="50"/>
    </row>
    <row r="3" spans="1:27" s="44" customFormat="1">
      <c r="A3" s="48"/>
      <c r="B3" s="1949">
        <v>2024</v>
      </c>
      <c r="C3" s="1949"/>
      <c r="D3" s="1949"/>
      <c r="E3" s="1949"/>
      <c r="F3" s="1949"/>
      <c r="G3" s="1949"/>
      <c r="H3" s="1949"/>
      <c r="I3" s="1949"/>
      <c r="J3" s="1949"/>
      <c r="K3" s="1949"/>
      <c r="L3" s="1949"/>
      <c r="M3" s="1949"/>
      <c r="N3" s="1960">
        <v>2025</v>
      </c>
      <c r="O3" s="1960"/>
      <c r="P3" s="1960"/>
      <c r="Q3" s="1960"/>
      <c r="R3" s="1960"/>
      <c r="S3" s="1960"/>
      <c r="T3" s="1960"/>
      <c r="U3" s="1960"/>
      <c r="V3" s="1960"/>
      <c r="W3" s="1960"/>
      <c r="X3" s="1960"/>
      <c r="Y3" s="1960"/>
      <c r="Z3" s="48"/>
      <c r="AA3" s="54"/>
    </row>
    <row r="4" spans="1:27" s="45" customFormat="1">
      <c r="A4" s="48"/>
      <c r="B4" s="60">
        <v>1</v>
      </c>
      <c r="C4" s="60">
        <v>2</v>
      </c>
      <c r="D4" s="60">
        <v>3</v>
      </c>
      <c r="E4" s="60">
        <v>4</v>
      </c>
      <c r="F4" s="60">
        <v>5</v>
      </c>
      <c r="G4" s="60">
        <v>6</v>
      </c>
      <c r="H4" s="60">
        <v>7</v>
      </c>
      <c r="I4" s="60">
        <v>8</v>
      </c>
      <c r="J4" s="60">
        <v>9</v>
      </c>
      <c r="K4" s="60">
        <v>10</v>
      </c>
      <c r="L4" s="60">
        <v>11</v>
      </c>
      <c r="M4" s="60">
        <v>12</v>
      </c>
      <c r="N4" s="48">
        <v>1</v>
      </c>
      <c r="O4" s="48">
        <v>2</v>
      </c>
      <c r="P4" s="48">
        <v>3</v>
      </c>
      <c r="Q4" s="48">
        <v>4</v>
      </c>
      <c r="R4" s="48">
        <v>5</v>
      </c>
      <c r="S4" s="48">
        <v>6</v>
      </c>
      <c r="T4" s="48">
        <v>7</v>
      </c>
      <c r="U4" s="48">
        <v>8</v>
      </c>
      <c r="V4" s="48">
        <v>9</v>
      </c>
      <c r="W4" s="48">
        <v>10</v>
      </c>
      <c r="X4" s="48">
        <v>11</v>
      </c>
      <c r="Y4" s="48">
        <v>12</v>
      </c>
      <c r="Z4" s="49"/>
      <c r="AA4" s="50"/>
    </row>
    <row r="5" spans="1:27" s="45" customFormat="1" ht="11.4" customHeight="1">
      <c r="A5" s="48"/>
      <c r="B5" s="64">
        <f>B2*B1</f>
        <v>785150</v>
      </c>
      <c r="C5" s="60">
        <f>B5</f>
        <v>785150</v>
      </c>
      <c r="D5" s="60">
        <f t="shared" ref="D5:I5" si="0">C5</f>
        <v>785150</v>
      </c>
      <c r="E5" s="60">
        <f t="shared" si="0"/>
        <v>785150</v>
      </c>
      <c r="F5" s="60">
        <f t="shared" si="0"/>
        <v>785150</v>
      </c>
      <c r="G5" s="60">
        <f t="shared" si="0"/>
        <v>785150</v>
      </c>
      <c r="H5" s="60">
        <f t="shared" si="0"/>
        <v>785150</v>
      </c>
      <c r="I5" s="60">
        <f t="shared" si="0"/>
        <v>785150</v>
      </c>
      <c r="J5" s="60"/>
      <c r="K5" s="60"/>
      <c r="L5" s="60"/>
      <c r="M5" s="60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9"/>
      <c r="AA5" s="50"/>
    </row>
    <row r="6" spans="1:27" s="45" customFormat="1">
      <c r="A6" s="48"/>
      <c r="B6" s="60"/>
      <c r="C6" s="60">
        <f>C5</f>
        <v>785150</v>
      </c>
      <c r="D6" s="60">
        <f t="shared" ref="D6:H7" si="1">D5</f>
        <v>785150</v>
      </c>
      <c r="E6" s="60">
        <f t="shared" si="1"/>
        <v>785150</v>
      </c>
      <c r="F6" s="60">
        <f t="shared" si="1"/>
        <v>785150</v>
      </c>
      <c r="G6" s="60">
        <f t="shared" si="1"/>
        <v>785150</v>
      </c>
      <c r="H6" s="60">
        <f t="shared" si="1"/>
        <v>785150</v>
      </c>
      <c r="I6" s="60">
        <f>H6</f>
        <v>785150</v>
      </c>
      <c r="J6" s="60">
        <f>I6</f>
        <v>785150</v>
      </c>
      <c r="K6" s="60"/>
      <c r="L6" s="60"/>
      <c r="M6" s="60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9"/>
      <c r="AA6" s="50"/>
    </row>
    <row r="7" spans="1:27" s="45" customFormat="1">
      <c r="A7" s="48"/>
      <c r="B7" s="60"/>
      <c r="C7" s="60"/>
      <c r="D7" s="60">
        <f t="shared" si="1"/>
        <v>785150</v>
      </c>
      <c r="E7" s="60">
        <f t="shared" ref="E7:H8" si="2">E6</f>
        <v>785150</v>
      </c>
      <c r="F7" s="60">
        <f t="shared" si="2"/>
        <v>785150</v>
      </c>
      <c r="G7" s="60">
        <f t="shared" si="2"/>
        <v>785150</v>
      </c>
      <c r="H7" s="60">
        <f t="shared" si="2"/>
        <v>785150</v>
      </c>
      <c r="I7" s="60">
        <f t="shared" ref="I7:I12" si="3">I6</f>
        <v>785150</v>
      </c>
      <c r="J7" s="60">
        <f>I7</f>
        <v>785150</v>
      </c>
      <c r="K7" s="60">
        <f>J7</f>
        <v>785150</v>
      </c>
      <c r="L7" s="60"/>
      <c r="M7" s="60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9"/>
      <c r="AA7" s="50"/>
    </row>
    <row r="8" spans="1:27" s="45" customFormat="1">
      <c r="A8" s="48"/>
      <c r="B8" s="60"/>
      <c r="C8" s="60"/>
      <c r="D8" s="60"/>
      <c r="E8" s="60">
        <f t="shared" si="2"/>
        <v>785150</v>
      </c>
      <c r="F8" s="60">
        <f t="shared" si="2"/>
        <v>785150</v>
      </c>
      <c r="G8" s="60">
        <f t="shared" si="2"/>
        <v>785150</v>
      </c>
      <c r="H8" s="60">
        <f t="shared" si="2"/>
        <v>785150</v>
      </c>
      <c r="I8" s="60">
        <f t="shared" si="3"/>
        <v>785150</v>
      </c>
      <c r="J8" s="60">
        <f t="shared" ref="J8:J13" si="4">J7</f>
        <v>785150</v>
      </c>
      <c r="K8" s="60">
        <f>J8</f>
        <v>785150</v>
      </c>
      <c r="L8" s="60">
        <f>K8</f>
        <v>785150</v>
      </c>
      <c r="M8" s="60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9"/>
      <c r="AA8" s="50"/>
    </row>
    <row r="9" spans="1:27" s="45" customFormat="1">
      <c r="A9" s="48"/>
      <c r="B9" s="60"/>
      <c r="C9" s="60"/>
      <c r="D9" s="60"/>
      <c r="E9" s="60"/>
      <c r="F9" s="60">
        <f>F8</f>
        <v>785150</v>
      </c>
      <c r="G9" s="60">
        <f>G8</f>
        <v>785150</v>
      </c>
      <c r="H9" s="60">
        <f>H8</f>
        <v>785150</v>
      </c>
      <c r="I9" s="60">
        <f t="shared" si="3"/>
        <v>785150</v>
      </c>
      <c r="J9" s="60">
        <f t="shared" si="4"/>
        <v>785150</v>
      </c>
      <c r="K9" s="60">
        <f t="shared" ref="K9:K14" si="5">K8</f>
        <v>785150</v>
      </c>
      <c r="L9" s="60">
        <f>K9</f>
        <v>785150</v>
      </c>
      <c r="M9" s="60">
        <f>L9</f>
        <v>785150</v>
      </c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9"/>
      <c r="AA9" s="50"/>
    </row>
    <row r="10" spans="1:27" s="45" customFormat="1">
      <c r="A10" s="48"/>
      <c r="B10" s="60"/>
      <c r="C10" s="60"/>
      <c r="D10" s="60"/>
      <c r="E10" s="60"/>
      <c r="F10" s="60"/>
      <c r="G10" s="60">
        <f>G9</f>
        <v>785150</v>
      </c>
      <c r="H10" s="60">
        <f>H9</f>
        <v>785150</v>
      </c>
      <c r="I10" s="60">
        <f t="shared" si="3"/>
        <v>785150</v>
      </c>
      <c r="J10" s="60">
        <f t="shared" si="4"/>
        <v>785150</v>
      </c>
      <c r="K10" s="60">
        <f t="shared" si="5"/>
        <v>785150</v>
      </c>
      <c r="L10" s="60">
        <f t="shared" ref="L10:L15" si="6">L9</f>
        <v>785150</v>
      </c>
      <c r="M10" s="60">
        <f>L10</f>
        <v>785150</v>
      </c>
      <c r="N10" s="60">
        <f>M10</f>
        <v>785150</v>
      </c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9"/>
      <c r="AA10" s="50"/>
    </row>
    <row r="11" spans="1:27" s="45" customFormat="1">
      <c r="A11" s="48"/>
      <c r="B11" s="60"/>
      <c r="C11" s="60"/>
      <c r="D11" s="60"/>
      <c r="E11" s="60"/>
      <c r="F11" s="60"/>
      <c r="G11" s="60"/>
      <c r="H11" s="60">
        <f>H10</f>
        <v>785150</v>
      </c>
      <c r="I11" s="60">
        <f t="shared" si="3"/>
        <v>785150</v>
      </c>
      <c r="J11" s="60">
        <f t="shared" si="4"/>
        <v>785150</v>
      </c>
      <c r="K11" s="60">
        <f t="shared" si="5"/>
        <v>785150</v>
      </c>
      <c r="L11" s="60">
        <f t="shared" si="6"/>
        <v>785150</v>
      </c>
      <c r="M11" s="60">
        <f t="shared" ref="M11:M16" si="7">M10</f>
        <v>785150</v>
      </c>
      <c r="N11" s="47">
        <f>M11</f>
        <v>785150</v>
      </c>
      <c r="O11" s="47">
        <f>N11</f>
        <v>785150</v>
      </c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9"/>
      <c r="AA11" s="50"/>
    </row>
    <row r="12" spans="1:27" s="45" customFormat="1">
      <c r="A12" s="48"/>
      <c r="B12" s="60"/>
      <c r="C12" s="60"/>
      <c r="D12" s="60"/>
      <c r="E12" s="60"/>
      <c r="F12" s="60"/>
      <c r="G12" s="60"/>
      <c r="H12" s="60"/>
      <c r="I12" s="60">
        <f t="shared" si="3"/>
        <v>785150</v>
      </c>
      <c r="J12" s="60">
        <f t="shared" si="4"/>
        <v>785150</v>
      </c>
      <c r="K12" s="60">
        <f t="shared" si="5"/>
        <v>785150</v>
      </c>
      <c r="L12" s="60">
        <f t="shared" si="6"/>
        <v>785150</v>
      </c>
      <c r="M12" s="60">
        <f t="shared" si="7"/>
        <v>785150</v>
      </c>
      <c r="N12" s="47">
        <f>N11</f>
        <v>785150</v>
      </c>
      <c r="O12" s="47">
        <f>N12</f>
        <v>785150</v>
      </c>
      <c r="P12" s="47">
        <f>O12</f>
        <v>785150</v>
      </c>
      <c r="Q12" s="48"/>
      <c r="R12" s="48"/>
      <c r="S12" s="48"/>
      <c r="T12" s="48"/>
      <c r="U12" s="48"/>
      <c r="V12" s="48"/>
      <c r="W12" s="48"/>
      <c r="X12" s="48"/>
      <c r="Y12" s="48"/>
      <c r="Z12" s="49"/>
      <c r="AA12" s="50"/>
    </row>
    <row r="13" spans="1:27" s="45" customFormat="1">
      <c r="A13" s="48"/>
      <c r="B13" s="60"/>
      <c r="C13" s="60"/>
      <c r="D13" s="60"/>
      <c r="E13" s="60"/>
      <c r="F13" s="60"/>
      <c r="G13" s="60"/>
      <c r="H13" s="60"/>
      <c r="I13" s="60"/>
      <c r="J13" s="60">
        <f t="shared" si="4"/>
        <v>785150</v>
      </c>
      <c r="K13" s="60">
        <f t="shared" si="5"/>
        <v>785150</v>
      </c>
      <c r="L13" s="60">
        <f t="shared" si="6"/>
        <v>785150</v>
      </c>
      <c r="M13" s="60">
        <f t="shared" si="7"/>
        <v>785150</v>
      </c>
      <c r="N13" s="47">
        <f>N12</f>
        <v>785150</v>
      </c>
      <c r="O13" s="47">
        <f>O12</f>
        <v>785150</v>
      </c>
      <c r="P13" s="47">
        <f>O13</f>
        <v>785150</v>
      </c>
      <c r="Q13" s="47">
        <f>P13</f>
        <v>785150</v>
      </c>
      <c r="R13" s="48"/>
      <c r="S13" s="48"/>
      <c r="T13" s="48"/>
      <c r="U13" s="48"/>
      <c r="V13" s="48"/>
      <c r="W13" s="48"/>
      <c r="X13" s="48"/>
      <c r="Y13" s="48"/>
      <c r="Z13" s="49"/>
      <c r="AA13" s="50"/>
    </row>
    <row r="14" spans="1:27" s="45" customFormat="1">
      <c r="A14" s="48"/>
      <c r="B14" s="60"/>
      <c r="C14" s="60"/>
      <c r="D14" s="60"/>
      <c r="E14" s="60"/>
      <c r="F14" s="60"/>
      <c r="G14" s="60"/>
      <c r="H14" s="60"/>
      <c r="I14" s="60"/>
      <c r="J14" s="60"/>
      <c r="K14" s="60">
        <f t="shared" si="5"/>
        <v>785150</v>
      </c>
      <c r="L14" s="60">
        <f t="shared" si="6"/>
        <v>785150</v>
      </c>
      <c r="M14" s="60">
        <f t="shared" si="7"/>
        <v>785150</v>
      </c>
      <c r="N14" s="47">
        <f>N13</f>
        <v>785150</v>
      </c>
      <c r="O14" s="47">
        <f>O13</f>
        <v>785150</v>
      </c>
      <c r="P14" s="47">
        <f>P13</f>
        <v>785150</v>
      </c>
      <c r="Q14" s="47">
        <f>P14</f>
        <v>785150</v>
      </c>
      <c r="R14" s="47">
        <f>Q14</f>
        <v>785150</v>
      </c>
      <c r="S14" s="48"/>
      <c r="T14" s="48"/>
      <c r="U14" s="48"/>
      <c r="V14" s="48"/>
      <c r="W14" s="48"/>
      <c r="X14" s="48"/>
      <c r="Y14" s="48"/>
      <c r="Z14" s="49"/>
      <c r="AA14" s="50"/>
    </row>
    <row r="15" spans="1:27" s="45" customFormat="1">
      <c r="A15" s="48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>
        <f t="shared" si="6"/>
        <v>785150</v>
      </c>
      <c r="M15" s="60">
        <f t="shared" si="7"/>
        <v>785150</v>
      </c>
      <c r="N15" s="47">
        <f>N14</f>
        <v>785150</v>
      </c>
      <c r="O15" s="47">
        <f>O14</f>
        <v>785150</v>
      </c>
      <c r="P15" s="47">
        <f>P14</f>
        <v>785150</v>
      </c>
      <c r="Q15" s="47">
        <f>Q14</f>
        <v>785150</v>
      </c>
      <c r="R15" s="47">
        <f>Q15</f>
        <v>785150</v>
      </c>
      <c r="S15" s="47">
        <f>R15</f>
        <v>785150</v>
      </c>
      <c r="T15" s="48"/>
      <c r="U15" s="48"/>
      <c r="V15" s="48"/>
      <c r="W15" s="48"/>
      <c r="X15" s="48"/>
      <c r="Y15" s="48"/>
      <c r="Z15" s="49"/>
      <c r="AA15" s="50"/>
    </row>
    <row r="16" spans="1:27" s="45" customFormat="1">
      <c r="A16" s="48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>
        <f t="shared" si="7"/>
        <v>785150</v>
      </c>
      <c r="N16" s="47">
        <f>N15</f>
        <v>785150</v>
      </c>
      <c r="O16" s="47">
        <f>O15</f>
        <v>785150</v>
      </c>
      <c r="P16" s="47">
        <f>P15</f>
        <v>785150</v>
      </c>
      <c r="Q16" s="47">
        <f>Q15</f>
        <v>785150</v>
      </c>
      <c r="R16" s="47">
        <f>R15</f>
        <v>785150</v>
      </c>
      <c r="S16" s="47">
        <f>R16</f>
        <v>785150</v>
      </c>
      <c r="T16" s="47">
        <f>S16</f>
        <v>785150</v>
      </c>
      <c r="U16" s="48"/>
      <c r="V16" s="48"/>
      <c r="W16" s="48"/>
      <c r="X16" s="48"/>
      <c r="Y16" s="48"/>
      <c r="Z16" s="49"/>
      <c r="AA16" s="50"/>
    </row>
    <row r="17" spans="1:27" s="43" customFormat="1">
      <c r="A17" s="46" t="s">
        <v>206</v>
      </c>
      <c r="B17" s="61">
        <f>SUM(B5:B16)</f>
        <v>785150</v>
      </c>
      <c r="C17" s="59">
        <f t="shared" ref="C17:T17" si="8">SUM(C5:C16)</f>
        <v>1570300</v>
      </c>
      <c r="D17" s="59">
        <f t="shared" si="8"/>
        <v>2355450</v>
      </c>
      <c r="E17" s="59">
        <f t="shared" si="8"/>
        <v>3140600</v>
      </c>
      <c r="F17" s="59">
        <f t="shared" si="8"/>
        <v>3925750</v>
      </c>
      <c r="G17" s="59">
        <f t="shared" si="8"/>
        <v>4710900</v>
      </c>
      <c r="H17" s="59">
        <f t="shared" si="8"/>
        <v>5496050</v>
      </c>
      <c r="I17" s="59">
        <f t="shared" si="8"/>
        <v>6281200</v>
      </c>
      <c r="J17" s="59">
        <f t="shared" si="8"/>
        <v>6281200</v>
      </c>
      <c r="K17" s="59">
        <f t="shared" si="8"/>
        <v>6281200</v>
      </c>
      <c r="L17" s="59">
        <f t="shared" si="8"/>
        <v>6281200</v>
      </c>
      <c r="M17" s="59">
        <f t="shared" si="8"/>
        <v>6281200</v>
      </c>
      <c r="N17" s="46">
        <f t="shared" si="8"/>
        <v>5496050</v>
      </c>
      <c r="O17" s="46">
        <f t="shared" si="8"/>
        <v>4710900</v>
      </c>
      <c r="P17" s="46">
        <f t="shared" si="8"/>
        <v>3925750</v>
      </c>
      <c r="Q17" s="46">
        <f t="shared" si="8"/>
        <v>3140600</v>
      </c>
      <c r="R17" s="46">
        <f t="shared" si="8"/>
        <v>2355450</v>
      </c>
      <c r="S17" s="46">
        <f t="shared" si="8"/>
        <v>1570300</v>
      </c>
      <c r="T17" s="46">
        <f t="shared" si="8"/>
        <v>785150</v>
      </c>
      <c r="U17" s="51">
        <f>SUM(B17:T17)</f>
        <v>75374400</v>
      </c>
      <c r="V17" s="46"/>
      <c r="W17" s="46"/>
      <c r="X17" s="46"/>
      <c r="Y17" s="46"/>
      <c r="Z17" s="46"/>
      <c r="AA17" s="52"/>
    </row>
    <row r="18" spans="1:27" s="45" customFormat="1">
      <c r="A18" s="47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9"/>
      <c r="AA18" s="50"/>
    </row>
    <row r="19" spans="1:27" s="58" customFormat="1">
      <c r="A19" s="65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55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56"/>
      <c r="AA19" s="57"/>
    </row>
    <row r="20" spans="1:27" s="45" customFormat="1">
      <c r="A20" s="46" t="s">
        <v>205</v>
      </c>
      <c r="B20" s="59">
        <v>3.83</v>
      </c>
      <c r="C20" s="59">
        <v>4.83</v>
      </c>
      <c r="D20" s="59"/>
      <c r="E20" s="60"/>
      <c r="F20" s="60"/>
      <c r="G20" s="60"/>
      <c r="H20" s="60"/>
      <c r="I20" s="60"/>
      <c r="J20" s="60"/>
      <c r="K20" s="60"/>
      <c r="L20" s="60"/>
      <c r="M20" s="60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9"/>
      <c r="AA20" s="50"/>
    </row>
    <row r="21" spans="1:27" s="45" customFormat="1">
      <c r="A21" s="46" t="s">
        <v>179</v>
      </c>
      <c r="B21" s="61">
        <f>B2</f>
        <v>205000</v>
      </c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9"/>
      <c r="AA21" s="50"/>
    </row>
    <row r="22" spans="1:27" s="44" customFormat="1">
      <c r="A22" s="48"/>
      <c r="B22" s="1951">
        <v>2024</v>
      </c>
      <c r="C22" s="1952"/>
      <c r="D22" s="1952"/>
      <c r="E22" s="1952"/>
      <c r="F22" s="1952"/>
      <c r="G22" s="1952"/>
      <c r="H22" s="1952"/>
      <c r="I22" s="1952"/>
      <c r="J22" s="1952"/>
      <c r="K22" s="1952"/>
      <c r="L22" s="1952"/>
      <c r="M22" s="1953"/>
      <c r="N22" s="1954">
        <v>2025</v>
      </c>
      <c r="O22" s="1955"/>
      <c r="P22" s="1955"/>
      <c r="Q22" s="1955"/>
      <c r="R22" s="1955"/>
      <c r="S22" s="1955"/>
      <c r="T22" s="1955"/>
      <c r="U22" s="1955"/>
      <c r="V22" s="1955"/>
      <c r="W22" s="1955"/>
      <c r="X22" s="1955"/>
      <c r="Y22" s="1956"/>
      <c r="Z22" s="48"/>
      <c r="AA22" s="54"/>
    </row>
    <row r="23" spans="1:27" s="45" customFormat="1">
      <c r="A23" s="48"/>
      <c r="B23" s="60">
        <v>1</v>
      </c>
      <c r="C23" s="60">
        <v>2</v>
      </c>
      <c r="D23" s="60">
        <v>3</v>
      </c>
      <c r="E23" s="60">
        <v>4</v>
      </c>
      <c r="F23" s="60">
        <v>5</v>
      </c>
      <c r="G23" s="60">
        <v>6</v>
      </c>
      <c r="H23" s="60">
        <v>7</v>
      </c>
      <c r="I23" s="60">
        <v>8</v>
      </c>
      <c r="J23" s="60">
        <v>9</v>
      </c>
      <c r="K23" s="60">
        <v>10</v>
      </c>
      <c r="L23" s="60">
        <v>11</v>
      </c>
      <c r="M23" s="60">
        <v>12</v>
      </c>
      <c r="N23" s="48">
        <v>1</v>
      </c>
      <c r="O23" s="48">
        <v>2</v>
      </c>
      <c r="P23" s="48">
        <v>3</v>
      </c>
      <c r="Q23" s="48">
        <v>4</v>
      </c>
      <c r="R23" s="48">
        <v>5</v>
      </c>
      <c r="S23" s="48">
        <v>6</v>
      </c>
      <c r="T23" s="48">
        <v>7</v>
      </c>
      <c r="U23" s="48">
        <v>8</v>
      </c>
      <c r="V23" s="48">
        <v>9</v>
      </c>
      <c r="W23" s="48">
        <v>10</v>
      </c>
      <c r="X23" s="48">
        <v>11</v>
      </c>
      <c r="Y23" s="48">
        <v>12</v>
      </c>
      <c r="Z23" s="49"/>
      <c r="AA23" s="50"/>
    </row>
    <row r="24" spans="1:27" s="45" customFormat="1" ht="11.4" customHeight="1">
      <c r="A24" s="48"/>
      <c r="B24" s="60">
        <f>B20*B21</f>
        <v>785150</v>
      </c>
      <c r="C24" s="60">
        <f>B24</f>
        <v>785150</v>
      </c>
      <c r="D24" s="60">
        <f t="shared" ref="D24:I24" si="9">C24</f>
        <v>785150</v>
      </c>
      <c r="E24" s="60">
        <f t="shared" si="9"/>
        <v>785150</v>
      </c>
      <c r="F24" s="60">
        <f t="shared" si="9"/>
        <v>785150</v>
      </c>
      <c r="G24" s="60">
        <f t="shared" si="9"/>
        <v>785150</v>
      </c>
      <c r="H24" s="60">
        <f t="shared" si="9"/>
        <v>785150</v>
      </c>
      <c r="I24" s="60">
        <f t="shared" si="9"/>
        <v>785150</v>
      </c>
      <c r="J24" s="60"/>
      <c r="K24" s="60"/>
      <c r="L24" s="60"/>
      <c r="M24" s="60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9"/>
      <c r="AA24" s="50"/>
    </row>
    <row r="25" spans="1:27" s="45" customFormat="1">
      <c r="A25" s="48"/>
      <c r="B25" s="60"/>
      <c r="C25" s="60">
        <f>B24</f>
        <v>785150</v>
      </c>
      <c r="D25" s="60">
        <f>C25</f>
        <v>785150</v>
      </c>
      <c r="E25" s="60">
        <f t="shared" ref="E25:J25" si="10">D25</f>
        <v>785150</v>
      </c>
      <c r="F25" s="60">
        <f t="shared" si="10"/>
        <v>785150</v>
      </c>
      <c r="G25" s="60">
        <f t="shared" si="10"/>
        <v>785150</v>
      </c>
      <c r="H25" s="60">
        <f t="shared" si="10"/>
        <v>785150</v>
      </c>
      <c r="I25" s="60">
        <f t="shared" si="10"/>
        <v>785150</v>
      </c>
      <c r="J25" s="60">
        <f t="shared" si="10"/>
        <v>785150</v>
      </c>
      <c r="K25" s="60"/>
      <c r="L25" s="60"/>
      <c r="M25" s="60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9"/>
      <c r="AA25" s="50"/>
    </row>
    <row r="26" spans="1:27" s="45" customFormat="1">
      <c r="A26" s="48"/>
      <c r="B26" s="60"/>
      <c r="C26" s="60"/>
      <c r="D26" s="60">
        <f>D25</f>
        <v>785150</v>
      </c>
      <c r="E26" s="60">
        <f>D26</f>
        <v>785150</v>
      </c>
      <c r="F26" s="60">
        <f t="shared" ref="F26:K26" si="11">E26</f>
        <v>785150</v>
      </c>
      <c r="G26" s="60">
        <f t="shared" si="11"/>
        <v>785150</v>
      </c>
      <c r="H26" s="60">
        <f t="shared" si="11"/>
        <v>785150</v>
      </c>
      <c r="I26" s="60">
        <f t="shared" si="11"/>
        <v>785150</v>
      </c>
      <c r="J26" s="60">
        <f t="shared" si="11"/>
        <v>785150</v>
      </c>
      <c r="K26" s="60">
        <f t="shared" si="11"/>
        <v>785150</v>
      </c>
      <c r="L26" s="60"/>
      <c r="M26" s="60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9"/>
      <c r="AA26" s="50"/>
    </row>
    <row r="27" spans="1:27" s="45" customFormat="1">
      <c r="A27" s="48"/>
      <c r="B27" s="60"/>
      <c r="C27" s="60"/>
      <c r="D27" s="60"/>
      <c r="E27" s="60">
        <f>E26</f>
        <v>785150</v>
      </c>
      <c r="F27" s="60">
        <f>E27</f>
        <v>785150</v>
      </c>
      <c r="G27" s="60">
        <f t="shared" ref="G27:L27" si="12">F27</f>
        <v>785150</v>
      </c>
      <c r="H27" s="60">
        <f t="shared" si="12"/>
        <v>785150</v>
      </c>
      <c r="I27" s="60">
        <f t="shared" si="12"/>
        <v>785150</v>
      </c>
      <c r="J27" s="60">
        <f t="shared" si="12"/>
        <v>785150</v>
      </c>
      <c r="K27" s="60">
        <f t="shared" si="12"/>
        <v>785150</v>
      </c>
      <c r="L27" s="60">
        <f t="shared" si="12"/>
        <v>785150</v>
      </c>
      <c r="M27" s="60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9"/>
      <c r="AA27" s="50"/>
    </row>
    <row r="28" spans="1:27" s="45" customFormat="1">
      <c r="A28" s="48"/>
      <c r="B28" s="60"/>
      <c r="C28" s="60"/>
      <c r="D28" s="60"/>
      <c r="E28" s="60"/>
      <c r="F28" s="60">
        <f>F27</f>
        <v>785150</v>
      </c>
      <c r="G28" s="60">
        <f>F28</f>
        <v>785150</v>
      </c>
      <c r="H28" s="60">
        <f t="shared" ref="H28:M28" si="13">G28</f>
        <v>785150</v>
      </c>
      <c r="I28" s="60">
        <f t="shared" si="13"/>
        <v>785150</v>
      </c>
      <c r="J28" s="60">
        <f t="shared" si="13"/>
        <v>785150</v>
      </c>
      <c r="K28" s="60">
        <f t="shared" si="13"/>
        <v>785150</v>
      </c>
      <c r="L28" s="60">
        <f t="shared" si="13"/>
        <v>785150</v>
      </c>
      <c r="M28" s="60">
        <f t="shared" si="13"/>
        <v>785150</v>
      </c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9"/>
      <c r="AA28" s="50"/>
    </row>
    <row r="29" spans="1:27" s="45" customFormat="1">
      <c r="A29" s="48"/>
      <c r="B29" s="60"/>
      <c r="C29" s="60"/>
      <c r="D29" s="60"/>
      <c r="E29" s="60"/>
      <c r="F29" s="60"/>
      <c r="G29" s="60">
        <f>B21*C20</f>
        <v>990150</v>
      </c>
      <c r="H29" s="60">
        <f>G29</f>
        <v>990150</v>
      </c>
      <c r="I29" s="60">
        <f t="shared" ref="I29:N29" si="14">H29</f>
        <v>990150</v>
      </c>
      <c r="J29" s="60">
        <f t="shared" si="14"/>
        <v>990150</v>
      </c>
      <c r="K29" s="60">
        <f t="shared" si="14"/>
        <v>990150</v>
      </c>
      <c r="L29" s="60">
        <f t="shared" si="14"/>
        <v>990150</v>
      </c>
      <c r="M29" s="60">
        <f t="shared" si="14"/>
        <v>990150</v>
      </c>
      <c r="N29" s="60">
        <f t="shared" si="14"/>
        <v>990150</v>
      </c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9"/>
      <c r="AA29" s="50"/>
    </row>
    <row r="30" spans="1:27" s="45" customFormat="1">
      <c r="A30" s="48"/>
      <c r="B30" s="60"/>
      <c r="C30" s="60"/>
      <c r="D30" s="60"/>
      <c r="E30" s="60"/>
      <c r="F30" s="60"/>
      <c r="G30" s="60"/>
      <c r="H30" s="64">
        <f>B21*C20</f>
        <v>990150</v>
      </c>
      <c r="I30" s="64">
        <f>H30</f>
        <v>990150</v>
      </c>
      <c r="J30" s="64">
        <f t="shared" ref="J30:O30" si="15">I30</f>
        <v>990150</v>
      </c>
      <c r="K30" s="64">
        <f t="shared" si="15"/>
        <v>990150</v>
      </c>
      <c r="L30" s="64">
        <f t="shared" si="15"/>
        <v>990150</v>
      </c>
      <c r="M30" s="64">
        <f t="shared" si="15"/>
        <v>990150</v>
      </c>
      <c r="N30" s="64">
        <f t="shared" si="15"/>
        <v>990150</v>
      </c>
      <c r="O30" s="64">
        <f t="shared" si="15"/>
        <v>990150</v>
      </c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9"/>
      <c r="AA30" s="50"/>
    </row>
    <row r="31" spans="1:27" s="45" customFormat="1">
      <c r="A31" s="48"/>
      <c r="B31" s="60"/>
      <c r="C31" s="60"/>
      <c r="D31" s="60"/>
      <c r="E31" s="60"/>
      <c r="F31" s="60"/>
      <c r="G31" s="60"/>
      <c r="H31" s="60"/>
      <c r="I31" s="64">
        <f>B21*C20</f>
        <v>990150</v>
      </c>
      <c r="J31" s="64">
        <f>I31</f>
        <v>990150</v>
      </c>
      <c r="K31" s="64">
        <f t="shared" ref="K31:P31" si="16">J31</f>
        <v>990150</v>
      </c>
      <c r="L31" s="64">
        <f t="shared" si="16"/>
        <v>990150</v>
      </c>
      <c r="M31" s="64">
        <f t="shared" si="16"/>
        <v>990150</v>
      </c>
      <c r="N31" s="64">
        <f t="shared" si="16"/>
        <v>990150</v>
      </c>
      <c r="O31" s="64">
        <f t="shared" si="16"/>
        <v>990150</v>
      </c>
      <c r="P31" s="64">
        <f t="shared" si="16"/>
        <v>990150</v>
      </c>
      <c r="Q31" s="48"/>
      <c r="R31" s="48"/>
      <c r="S31" s="48"/>
      <c r="T31" s="48"/>
      <c r="U31" s="48"/>
      <c r="V31" s="48"/>
      <c r="W31" s="48"/>
      <c r="X31" s="48"/>
      <c r="Y31" s="48"/>
      <c r="Z31" s="49"/>
      <c r="AA31" s="50"/>
    </row>
    <row r="32" spans="1:27" s="45" customFormat="1">
      <c r="A32" s="48"/>
      <c r="B32" s="60"/>
      <c r="C32" s="60"/>
      <c r="D32" s="60"/>
      <c r="E32" s="60"/>
      <c r="F32" s="60"/>
      <c r="G32" s="60"/>
      <c r="H32" s="60"/>
      <c r="I32" s="60"/>
      <c r="J32" s="64">
        <f>I31</f>
        <v>990150</v>
      </c>
      <c r="K32" s="64">
        <f>J32</f>
        <v>990150</v>
      </c>
      <c r="L32" s="64">
        <f t="shared" ref="L32:Q32" si="17">K32</f>
        <v>990150</v>
      </c>
      <c r="M32" s="64">
        <f t="shared" si="17"/>
        <v>990150</v>
      </c>
      <c r="N32" s="64">
        <f t="shared" si="17"/>
        <v>990150</v>
      </c>
      <c r="O32" s="64">
        <f t="shared" si="17"/>
        <v>990150</v>
      </c>
      <c r="P32" s="64">
        <f t="shared" si="17"/>
        <v>990150</v>
      </c>
      <c r="Q32" s="64">
        <f t="shared" si="17"/>
        <v>990150</v>
      </c>
      <c r="R32" s="48"/>
      <c r="S32" s="48"/>
      <c r="T32" s="48"/>
      <c r="U32" s="48"/>
      <c r="V32" s="48"/>
      <c r="W32" s="48"/>
      <c r="X32" s="48"/>
      <c r="Y32" s="48"/>
      <c r="Z32" s="49"/>
      <c r="AA32" s="50"/>
    </row>
    <row r="33" spans="1:27" s="45" customFormat="1">
      <c r="A33" s="48"/>
      <c r="B33" s="60"/>
      <c r="C33" s="60"/>
      <c r="D33" s="60"/>
      <c r="E33" s="60"/>
      <c r="F33" s="60"/>
      <c r="G33" s="60"/>
      <c r="H33" s="60"/>
      <c r="I33" s="60"/>
      <c r="J33" s="60"/>
      <c r="K33" s="64">
        <f>K32</f>
        <v>990150</v>
      </c>
      <c r="L33" s="64">
        <f>K33</f>
        <v>990150</v>
      </c>
      <c r="M33" s="64">
        <f t="shared" ref="M33:R33" si="18">L33</f>
        <v>990150</v>
      </c>
      <c r="N33" s="64">
        <f t="shared" si="18"/>
        <v>990150</v>
      </c>
      <c r="O33" s="64">
        <f t="shared" si="18"/>
        <v>990150</v>
      </c>
      <c r="P33" s="64">
        <f t="shared" si="18"/>
        <v>990150</v>
      </c>
      <c r="Q33" s="64">
        <f t="shared" si="18"/>
        <v>990150</v>
      </c>
      <c r="R33" s="64">
        <f t="shared" si="18"/>
        <v>990150</v>
      </c>
      <c r="S33" s="48"/>
      <c r="T33" s="48"/>
      <c r="U33" s="48"/>
      <c r="V33" s="48"/>
      <c r="W33" s="48"/>
      <c r="X33" s="48"/>
      <c r="Y33" s="48"/>
      <c r="Z33" s="49"/>
      <c r="AA33" s="50"/>
    </row>
    <row r="34" spans="1:27" s="45" customFormat="1">
      <c r="A34" s="48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4">
        <f>L33</f>
        <v>990150</v>
      </c>
      <c r="M34" s="64">
        <f>L34</f>
        <v>990150</v>
      </c>
      <c r="N34" s="64">
        <f t="shared" ref="N34:S34" si="19">M34</f>
        <v>990150</v>
      </c>
      <c r="O34" s="64">
        <f t="shared" si="19"/>
        <v>990150</v>
      </c>
      <c r="P34" s="64">
        <f t="shared" si="19"/>
        <v>990150</v>
      </c>
      <c r="Q34" s="64">
        <f t="shared" si="19"/>
        <v>990150</v>
      </c>
      <c r="R34" s="64">
        <f t="shared" si="19"/>
        <v>990150</v>
      </c>
      <c r="S34" s="64">
        <f t="shared" si="19"/>
        <v>990150</v>
      </c>
      <c r="T34" s="48"/>
      <c r="U34" s="48"/>
      <c r="V34" s="48"/>
      <c r="W34" s="48"/>
      <c r="X34" s="48"/>
      <c r="Y34" s="48"/>
      <c r="Z34" s="49"/>
      <c r="AA34" s="50"/>
    </row>
    <row r="35" spans="1:27" s="45" customFormat="1">
      <c r="A35" s="48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4">
        <f>M34</f>
        <v>990150</v>
      </c>
      <c r="N35" s="66">
        <f>M35</f>
        <v>990150</v>
      </c>
      <c r="O35" s="66">
        <f t="shared" ref="O35:T35" si="20">N35</f>
        <v>990150</v>
      </c>
      <c r="P35" s="66">
        <f t="shared" si="20"/>
        <v>990150</v>
      </c>
      <c r="Q35" s="66">
        <f t="shared" si="20"/>
        <v>990150</v>
      </c>
      <c r="R35" s="66">
        <f t="shared" si="20"/>
        <v>990150</v>
      </c>
      <c r="S35" s="66">
        <f t="shared" si="20"/>
        <v>990150</v>
      </c>
      <c r="T35" s="66">
        <f t="shared" si="20"/>
        <v>990150</v>
      </c>
      <c r="U35" s="48"/>
      <c r="V35" s="48"/>
      <c r="W35" s="48"/>
      <c r="X35" s="48"/>
      <c r="Y35" s="48"/>
      <c r="Z35" s="49"/>
      <c r="AA35" s="50"/>
    </row>
    <row r="36" spans="1:27" s="43" customFormat="1">
      <c r="A36" s="46" t="s">
        <v>206</v>
      </c>
      <c r="B36" s="59">
        <f t="shared" ref="B36:T36" si="21">SUM(B24:B35)</f>
        <v>785150</v>
      </c>
      <c r="C36" s="59">
        <f t="shared" si="21"/>
        <v>1570300</v>
      </c>
      <c r="D36" s="59">
        <f t="shared" si="21"/>
        <v>2355450</v>
      </c>
      <c r="E36" s="59">
        <f t="shared" si="21"/>
        <v>3140600</v>
      </c>
      <c r="F36" s="59">
        <f t="shared" si="21"/>
        <v>3925750</v>
      </c>
      <c r="G36" s="59">
        <f t="shared" si="21"/>
        <v>4915900</v>
      </c>
      <c r="H36" s="59">
        <f t="shared" si="21"/>
        <v>5906050</v>
      </c>
      <c r="I36" s="59">
        <f t="shared" si="21"/>
        <v>6896200</v>
      </c>
      <c r="J36" s="59">
        <f t="shared" si="21"/>
        <v>7101200</v>
      </c>
      <c r="K36" s="59">
        <f t="shared" si="21"/>
        <v>7306200</v>
      </c>
      <c r="L36" s="59">
        <f t="shared" si="21"/>
        <v>7511200</v>
      </c>
      <c r="M36" s="59">
        <f t="shared" si="21"/>
        <v>7716200</v>
      </c>
      <c r="N36" s="46">
        <f t="shared" si="21"/>
        <v>6931050</v>
      </c>
      <c r="O36" s="46">
        <f t="shared" si="21"/>
        <v>5940900</v>
      </c>
      <c r="P36" s="46">
        <f t="shared" si="21"/>
        <v>4950750</v>
      </c>
      <c r="Q36" s="46">
        <f t="shared" si="21"/>
        <v>3960600</v>
      </c>
      <c r="R36" s="46">
        <f t="shared" si="21"/>
        <v>2970450</v>
      </c>
      <c r="S36" s="46">
        <f t="shared" si="21"/>
        <v>1980300</v>
      </c>
      <c r="T36" s="46">
        <f t="shared" si="21"/>
        <v>990150</v>
      </c>
      <c r="U36" s="46">
        <f>SUM(B36:T36)</f>
        <v>86854400</v>
      </c>
      <c r="V36" s="46"/>
      <c r="W36" s="46"/>
      <c r="X36" s="46"/>
      <c r="Y36" s="46"/>
      <c r="Z36" s="46"/>
      <c r="AA36" s="52"/>
    </row>
    <row r="38" spans="1:27" s="43" customFormat="1">
      <c r="A38" s="46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52"/>
    </row>
  </sheetData>
  <mergeCells count="4">
    <mergeCell ref="B3:M3"/>
    <mergeCell ref="N3:Y3"/>
    <mergeCell ref="B22:M22"/>
    <mergeCell ref="N22:Y22"/>
  </mergeCells>
  <pageMargins left="0.7" right="0.7" top="0.75" bottom="0.75" header="0.3" footer="0.3"/>
  <pageSetup paperSize="9" scale="43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3A4CD-63B1-48B0-BF30-CEF5C220E316}">
  <sheetPr codeName="Лист5"/>
  <dimension ref="A1:Q17"/>
  <sheetViews>
    <sheetView workbookViewId="0">
      <selection activeCell="M8" sqref="M8"/>
    </sheetView>
  </sheetViews>
  <sheetFormatPr defaultRowHeight="13.2"/>
  <cols>
    <col min="2" max="2" width="27.33203125" customWidth="1"/>
    <col min="3" max="3" width="21" customWidth="1"/>
    <col min="4" max="4" width="13.33203125" customWidth="1"/>
    <col min="5" max="5" width="12.6640625" customWidth="1"/>
    <col min="6" max="6" width="12.33203125" customWidth="1"/>
    <col min="7" max="7" width="13.33203125" customWidth="1"/>
    <col min="8" max="8" width="14.33203125" customWidth="1"/>
    <col min="9" max="9" width="12.6640625" customWidth="1"/>
    <col min="10" max="10" width="14.5546875" customWidth="1"/>
    <col min="11" max="11" width="13.6640625" customWidth="1"/>
    <col min="12" max="12" width="14.5546875" customWidth="1"/>
    <col min="13" max="14" width="14.44140625" customWidth="1"/>
    <col min="15" max="15" width="16.33203125" customWidth="1"/>
    <col min="17" max="17" width="13.33203125" customWidth="1"/>
  </cols>
  <sheetData>
    <row r="1" spans="1:17"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Q1" s="68" t="s">
        <v>221</v>
      </c>
    </row>
    <row r="2" spans="1:17" s="31" customFormat="1" ht="15.75" customHeight="1">
      <c r="A2" s="35"/>
      <c r="B2" s="73" t="s">
        <v>222</v>
      </c>
      <c r="C2" s="73"/>
      <c r="D2" s="36">
        <f>Фин.модель!D48</f>
        <v>10572913.73493143</v>
      </c>
      <c r="E2" s="36">
        <f>Фин.модель!F48</f>
        <v>10585400.42539089</v>
      </c>
      <c r="F2" s="36">
        <f>Фин.модель!H48</f>
        <v>14378252.901935209</v>
      </c>
      <c r="G2" s="36">
        <f>Фин.модель!J48</f>
        <v>13644617.398138817</v>
      </c>
      <c r="H2" s="36">
        <f>Фин.модель!L48</f>
        <v>13045392.972781209</v>
      </c>
      <c r="I2" s="36">
        <f>Фин.модель!N48</f>
        <v>12070071.603710426</v>
      </c>
      <c r="J2" s="36">
        <f>Фин.модель!P48</f>
        <v>12230169.32014871</v>
      </c>
      <c r="K2" s="36">
        <f>Фин.модель!R48</f>
        <v>12293370.38557478</v>
      </c>
      <c r="L2" s="36">
        <f>Фин.модель!T48</f>
        <v>13476453.48729429</v>
      </c>
      <c r="M2" s="36">
        <f>Фин.модель!V48</f>
        <v>13760015.451205844</v>
      </c>
      <c r="N2" s="36">
        <f>Фин.модель!X48</f>
        <v>13935217.363473043</v>
      </c>
      <c r="O2" s="36">
        <f>Фин.модель!Z48</f>
        <v>14098965.47723073</v>
      </c>
      <c r="P2" s="36"/>
      <c r="Q2" s="37">
        <f>SUM(D2:P2)</f>
        <v>154090840.52181536</v>
      </c>
    </row>
    <row r="3" spans="1:17">
      <c r="B3" s="14" t="s">
        <v>223</v>
      </c>
      <c r="C3" s="14">
        <v>205000</v>
      </c>
      <c r="D3">
        <f>C3</f>
        <v>205000</v>
      </c>
      <c r="E3">
        <f t="shared" ref="E3:O3" si="0">D3</f>
        <v>205000</v>
      </c>
      <c r="F3">
        <f t="shared" si="0"/>
        <v>205000</v>
      </c>
      <c r="G3">
        <f t="shared" si="0"/>
        <v>205000</v>
      </c>
      <c r="H3">
        <f t="shared" si="0"/>
        <v>205000</v>
      </c>
      <c r="I3">
        <f t="shared" si="0"/>
        <v>205000</v>
      </c>
      <c r="J3">
        <f t="shared" si="0"/>
        <v>205000</v>
      </c>
      <c r="K3">
        <f t="shared" si="0"/>
        <v>205000</v>
      </c>
      <c r="L3">
        <f t="shared" si="0"/>
        <v>205000</v>
      </c>
      <c r="M3">
        <f t="shared" si="0"/>
        <v>205000</v>
      </c>
      <c r="N3">
        <f t="shared" si="0"/>
        <v>205000</v>
      </c>
      <c r="O3">
        <f t="shared" si="0"/>
        <v>205000</v>
      </c>
    </row>
    <row r="4" spans="1:17" s="69" customFormat="1">
      <c r="B4" s="70" t="s">
        <v>224</v>
      </c>
      <c r="D4" s="69">
        <f>D2/D3</f>
        <v>51.575188950885021</v>
      </c>
      <c r="E4" s="69">
        <f t="shared" ref="E4:N4" si="1">E2/E3</f>
        <v>51.636099636053125</v>
      </c>
      <c r="F4" s="69">
        <f t="shared" si="1"/>
        <v>70.137819033830283</v>
      </c>
      <c r="G4" s="69">
        <f t="shared" si="1"/>
        <v>66.559109259213741</v>
      </c>
      <c r="H4" s="69">
        <f t="shared" si="1"/>
        <v>63.636063281859556</v>
      </c>
      <c r="I4" s="69">
        <f t="shared" si="1"/>
        <v>58.878398066880123</v>
      </c>
      <c r="J4" s="69">
        <f t="shared" si="1"/>
        <v>59.659362537310784</v>
      </c>
      <c r="K4" s="69">
        <f t="shared" si="1"/>
        <v>59.967660417437955</v>
      </c>
      <c r="L4" s="69">
        <f t="shared" si="1"/>
        <v>65.738797498996533</v>
      </c>
      <c r="M4" s="69">
        <f t="shared" si="1"/>
        <v>67.122026591248016</v>
      </c>
      <c r="N4" s="69">
        <f t="shared" si="1"/>
        <v>67.976670065722161</v>
      </c>
      <c r="O4" s="69">
        <f>O2/O3</f>
        <v>68.775441352345027</v>
      </c>
    </row>
    <row r="5" spans="1:17">
      <c r="B5" s="71" t="s">
        <v>225</v>
      </c>
      <c r="C5">
        <v>3</v>
      </c>
      <c r="D5" s="69">
        <f>D4/$C$5</f>
        <v>17.191729650295006</v>
      </c>
      <c r="E5" s="69">
        <f t="shared" ref="E5:O5" si="2">E4/$C$5</f>
        <v>17.212033212017708</v>
      </c>
      <c r="F5" s="69">
        <f>F4/$C$5</f>
        <v>23.379273011276762</v>
      </c>
      <c r="G5" s="69">
        <f t="shared" si="2"/>
        <v>22.186369753071247</v>
      </c>
      <c r="H5" s="69">
        <f t="shared" si="2"/>
        <v>21.212021093953187</v>
      </c>
      <c r="I5" s="69">
        <f t="shared" si="2"/>
        <v>19.626132688960041</v>
      </c>
      <c r="J5" s="69">
        <f t="shared" si="2"/>
        <v>19.886454179103595</v>
      </c>
      <c r="K5" s="69">
        <f t="shared" si="2"/>
        <v>19.989220139145985</v>
      </c>
      <c r="L5" s="69">
        <f t="shared" si="2"/>
        <v>21.912932499665512</v>
      </c>
      <c r="M5" s="69">
        <f t="shared" si="2"/>
        <v>22.374008863749339</v>
      </c>
      <c r="N5" s="69">
        <f t="shared" si="2"/>
        <v>22.658890021907386</v>
      </c>
      <c r="O5" s="69">
        <f t="shared" si="2"/>
        <v>22.925147117448343</v>
      </c>
    </row>
    <row r="6" spans="1:17"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</row>
    <row r="7" spans="1:17" s="31" customFormat="1">
      <c r="C7" s="72" t="s">
        <v>229</v>
      </c>
      <c r="D7" s="31">
        <v>18</v>
      </c>
    </row>
    <row r="8" spans="1:17">
      <c r="B8" s="14" t="s">
        <v>226</v>
      </c>
      <c r="C8" s="14" t="s">
        <v>227</v>
      </c>
      <c r="D8" s="69">
        <f>D5/12+D5</f>
        <v>18.624373787819589</v>
      </c>
      <c r="E8" s="69">
        <f t="shared" ref="E8:O8" si="3">E5/12+E5</f>
        <v>18.646369313019186</v>
      </c>
      <c r="F8" s="69">
        <f t="shared" si="3"/>
        <v>25.327545762216491</v>
      </c>
      <c r="G8" s="69">
        <f t="shared" si="3"/>
        <v>24.035233899160517</v>
      </c>
      <c r="H8" s="69">
        <f t="shared" si="3"/>
        <v>22.979689518449284</v>
      </c>
      <c r="I8" s="69">
        <f t="shared" si="3"/>
        <v>21.261643746373377</v>
      </c>
      <c r="J8" s="69">
        <f t="shared" si="3"/>
        <v>21.543658694028895</v>
      </c>
      <c r="K8" s="69">
        <f t="shared" si="3"/>
        <v>21.654988484074817</v>
      </c>
      <c r="L8" s="69">
        <f t="shared" si="3"/>
        <v>23.739010207970971</v>
      </c>
      <c r="M8" s="69">
        <f t="shared" si="3"/>
        <v>24.238509602395116</v>
      </c>
      <c r="N8" s="69">
        <f t="shared" si="3"/>
        <v>24.547130857066335</v>
      </c>
      <c r="O8" s="69">
        <f t="shared" si="3"/>
        <v>24.835576043902371</v>
      </c>
    </row>
    <row r="9" spans="1:17">
      <c r="C9" s="14" t="s">
        <v>227</v>
      </c>
      <c r="D9" s="69">
        <f>-(D8-$D$7)</f>
        <v>-0.62437378781958941</v>
      </c>
      <c r="E9" s="69">
        <f t="shared" ref="E9:O9" si="4">-(E8-$D$7)</f>
        <v>-0.64636931301918565</v>
      </c>
      <c r="F9" s="69">
        <f t="shared" si="4"/>
        <v>-7.3275457622164915</v>
      </c>
      <c r="G9" s="69">
        <f t="shared" si="4"/>
        <v>-6.0352338991605166</v>
      </c>
      <c r="H9" s="69">
        <f t="shared" si="4"/>
        <v>-4.979689518449284</v>
      </c>
      <c r="I9" s="69">
        <f t="shared" si="4"/>
        <v>-3.2616437463733767</v>
      </c>
      <c r="J9" s="69">
        <f t="shared" si="4"/>
        <v>-3.5436586940288954</v>
      </c>
      <c r="K9" s="69">
        <f t="shared" si="4"/>
        <v>-3.654988484074817</v>
      </c>
      <c r="L9" s="69">
        <f t="shared" si="4"/>
        <v>-5.7390102079709706</v>
      </c>
      <c r="M9" s="69">
        <f t="shared" si="4"/>
        <v>-6.2385096023951156</v>
      </c>
      <c r="N9" s="69">
        <f t="shared" si="4"/>
        <v>-6.5471308570663354</v>
      </c>
      <c r="O9" s="69">
        <f t="shared" si="4"/>
        <v>-6.8355760439023712</v>
      </c>
    </row>
    <row r="12" spans="1:17">
      <c r="B12" s="68" t="s">
        <v>234</v>
      </c>
      <c r="D12" s="68" t="s">
        <v>228</v>
      </c>
    </row>
    <row r="13" spans="1:17" s="74" customFormat="1">
      <c r="B13" s="74">
        <v>18</v>
      </c>
      <c r="C13" s="74" t="s">
        <v>230</v>
      </c>
      <c r="D13" s="74">
        <v>8</v>
      </c>
      <c r="F13" s="74">
        <v>60000</v>
      </c>
      <c r="G13" s="74">
        <f>D13*F13</f>
        <v>480000</v>
      </c>
    </row>
    <row r="14" spans="1:17" s="74" customFormat="1">
      <c r="C14" s="74" t="s">
        <v>231</v>
      </c>
      <c r="D14" s="74">
        <f>D13/2</f>
        <v>4</v>
      </c>
      <c r="F14" s="74">
        <v>60000</v>
      </c>
      <c r="G14" s="74">
        <f>D14*F14</f>
        <v>240000</v>
      </c>
    </row>
    <row r="15" spans="1:17" s="74" customFormat="1">
      <c r="C15" s="74" t="s">
        <v>232</v>
      </c>
      <c r="D15" s="74">
        <f>D13/2</f>
        <v>4</v>
      </c>
      <c r="F15" s="74">
        <v>60000</v>
      </c>
      <c r="G15" s="74">
        <f>D15*F15</f>
        <v>240000</v>
      </c>
    </row>
    <row r="16" spans="1:17" s="74" customFormat="1">
      <c r="C16" s="74" t="s">
        <v>233</v>
      </c>
      <c r="D16" s="74">
        <f>D13/4</f>
        <v>2</v>
      </c>
      <c r="F16" s="74">
        <v>40000</v>
      </c>
      <c r="G16" s="74">
        <f>D16*F16</f>
        <v>80000</v>
      </c>
    </row>
    <row r="17" spans="3:8" s="32" customFormat="1">
      <c r="C17" s="32" t="s">
        <v>206</v>
      </c>
      <c r="D17" s="32">
        <f>SUM(D13:D16)</f>
        <v>18</v>
      </c>
      <c r="G17" s="32">
        <f>SUM(G13:G16)</f>
        <v>1040000</v>
      </c>
      <c r="H17" s="32">
        <f>G17+G17*7.8%</f>
        <v>1121120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0490A-9CCC-4979-A8DF-761BF13F9A1B}">
  <sheetPr codeName="Лист7"/>
  <dimension ref="A1:AC11"/>
  <sheetViews>
    <sheetView workbookViewId="0">
      <pane xSplit="6" topLeftCell="G1" activePane="topRight" state="frozen"/>
      <selection activeCell="A2" sqref="A2"/>
      <selection pane="topRight" activeCell="K6" sqref="K6"/>
    </sheetView>
  </sheetViews>
  <sheetFormatPr defaultRowHeight="13.2"/>
  <cols>
    <col min="1" max="1" width="26.33203125" customWidth="1"/>
    <col min="2" max="2" width="14.109375" customWidth="1"/>
    <col min="3" max="3" width="15.33203125" customWidth="1"/>
    <col min="5" max="5" width="17" customWidth="1"/>
    <col min="6" max="6" width="13.6640625" customWidth="1"/>
    <col min="7" max="7" width="14.6640625" style="20" customWidth="1"/>
    <col min="8" max="8" width="15.109375" style="20" customWidth="1"/>
    <col min="9" max="9" width="25.44140625" style="20" customWidth="1"/>
    <col min="10" max="10" width="16.6640625" style="20" customWidth="1"/>
    <col min="11" max="11" width="15.88671875" style="20" customWidth="1"/>
    <col min="12" max="12" width="14.6640625" style="20" customWidth="1"/>
    <col min="13" max="13" width="13.5546875" style="20" customWidth="1"/>
    <col min="14" max="14" width="13.109375" style="20" customWidth="1"/>
    <col min="15" max="15" width="14.44140625" style="20" customWidth="1"/>
    <col min="16" max="17" width="14.33203125" style="20" customWidth="1"/>
    <col min="18" max="18" width="15.109375" style="20" customWidth="1"/>
    <col min="19" max="19" width="12.33203125" style="20" customWidth="1"/>
    <col min="20" max="20" width="13.5546875" style="20" customWidth="1"/>
    <col min="21" max="21" width="14" style="20" customWidth="1"/>
    <col min="22" max="22" width="13.88671875" style="20" customWidth="1"/>
  </cols>
  <sheetData>
    <row r="1" spans="1:29" ht="78.599999999999994" customHeight="1" thickBot="1">
      <c r="A1" s="1966" t="s">
        <v>64</v>
      </c>
      <c r="B1" s="1961" t="s">
        <v>65</v>
      </c>
      <c r="C1" s="1961" t="s">
        <v>66</v>
      </c>
      <c r="D1" s="1961" t="s">
        <v>67</v>
      </c>
      <c r="E1" s="1961" t="s">
        <v>68</v>
      </c>
      <c r="F1" s="1961" t="s">
        <v>69</v>
      </c>
      <c r="G1" s="1963" t="s">
        <v>70</v>
      </c>
      <c r="H1" s="1964"/>
      <c r="I1" s="1964"/>
      <c r="J1" s="1965"/>
      <c r="K1" s="1963" t="s">
        <v>71</v>
      </c>
      <c r="L1" s="1964"/>
      <c r="M1" s="1964"/>
      <c r="N1" s="1964"/>
      <c r="O1" s="1964"/>
      <c r="P1" s="1964"/>
      <c r="Q1" s="1964"/>
      <c r="R1" s="1964"/>
      <c r="S1" s="1964"/>
      <c r="T1" s="1964"/>
      <c r="U1" s="1964"/>
      <c r="V1" s="1965"/>
      <c r="W1" s="15"/>
      <c r="X1" s="15"/>
      <c r="Y1" s="15"/>
      <c r="Z1" s="15"/>
      <c r="AA1" s="15"/>
      <c r="AB1" s="15"/>
    </row>
    <row r="2" spans="1:29" ht="20.399999999999999" customHeight="1" thickBot="1">
      <c r="A2" s="1967"/>
      <c r="B2" s="1962"/>
      <c r="C2" s="1962"/>
      <c r="D2" s="1962"/>
      <c r="E2" s="1962"/>
      <c r="F2" s="1962"/>
      <c r="G2" s="29" t="s">
        <v>53</v>
      </c>
      <c r="H2" s="29" t="s">
        <v>54</v>
      </c>
      <c r="I2" s="29" t="s">
        <v>55</v>
      </c>
      <c r="J2" s="29" t="s">
        <v>56</v>
      </c>
      <c r="K2" s="29" t="s">
        <v>45</v>
      </c>
      <c r="L2" s="29" t="s">
        <v>46</v>
      </c>
      <c r="M2" s="29" t="s">
        <v>47</v>
      </c>
      <c r="N2" s="29" t="s">
        <v>48</v>
      </c>
      <c r="O2" s="29" t="s">
        <v>49</v>
      </c>
      <c r="P2" s="29" t="s">
        <v>50</v>
      </c>
      <c r="Q2" s="29" t="s">
        <v>51</v>
      </c>
      <c r="R2" s="29" t="s">
        <v>52</v>
      </c>
      <c r="S2" s="29" t="s">
        <v>53</v>
      </c>
      <c r="T2" s="29" t="s">
        <v>54</v>
      </c>
      <c r="U2" s="29" t="s">
        <v>55</v>
      </c>
      <c r="V2" s="30" t="s">
        <v>56</v>
      </c>
      <c r="W2" s="15"/>
      <c r="X2" s="15"/>
      <c r="Y2" s="15"/>
      <c r="Z2" s="15"/>
      <c r="AA2" s="15"/>
      <c r="AB2" s="15"/>
    </row>
    <row r="3" spans="1:29" ht="79.8" thickBot="1">
      <c r="A3" s="10" t="s">
        <v>58</v>
      </c>
      <c r="B3" s="11" t="s">
        <v>59</v>
      </c>
      <c r="C3" s="12" t="s">
        <v>60</v>
      </c>
      <c r="D3" s="13" t="s">
        <v>61</v>
      </c>
      <c r="E3" s="10" t="s">
        <v>62</v>
      </c>
      <c r="F3" s="12" t="s">
        <v>63</v>
      </c>
      <c r="G3" s="17">
        <v>777240</v>
      </c>
      <c r="H3" s="17">
        <v>1105600</v>
      </c>
      <c r="I3" s="17">
        <v>995420</v>
      </c>
      <c r="J3" s="18">
        <v>954120</v>
      </c>
      <c r="K3" s="17">
        <v>1016920</v>
      </c>
      <c r="L3" s="17">
        <v>912120</v>
      </c>
      <c r="M3" s="17">
        <v>1154420</v>
      </c>
      <c r="N3" s="17">
        <v>828120</v>
      </c>
      <c r="O3" s="17">
        <v>981400</v>
      </c>
      <c r="P3" s="17">
        <v>684500</v>
      </c>
      <c r="Q3" s="17">
        <v>822400</v>
      </c>
      <c r="R3" s="17">
        <v>684500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20"/>
    </row>
    <row r="4" spans="1:29" ht="53.4" thickBot="1">
      <c r="A4" s="10" t="s">
        <v>72</v>
      </c>
      <c r="B4" s="11" t="s">
        <v>73</v>
      </c>
      <c r="C4" s="10"/>
      <c r="D4" s="13" t="s">
        <v>74</v>
      </c>
      <c r="E4" s="10" t="s">
        <v>75</v>
      </c>
      <c r="F4" s="12" t="s">
        <v>63</v>
      </c>
      <c r="G4" s="21"/>
      <c r="H4" s="21"/>
      <c r="I4" s="21"/>
      <c r="J4" s="22"/>
      <c r="K4" s="17">
        <v>171600</v>
      </c>
      <c r="L4" s="17">
        <v>171600</v>
      </c>
      <c r="M4" s="17">
        <v>171600</v>
      </c>
      <c r="N4" s="17">
        <v>171600</v>
      </c>
      <c r="O4" s="17">
        <v>171600</v>
      </c>
      <c r="P4" s="17">
        <v>171600</v>
      </c>
      <c r="Q4" s="17">
        <v>171600</v>
      </c>
      <c r="R4" s="17">
        <v>171600</v>
      </c>
      <c r="S4" s="17">
        <v>171600</v>
      </c>
      <c r="T4" s="17">
        <v>171600</v>
      </c>
      <c r="U4" s="17">
        <v>171600</v>
      </c>
      <c r="V4" s="17">
        <v>171600</v>
      </c>
      <c r="W4" s="19"/>
      <c r="X4" s="19"/>
      <c r="Y4" s="19"/>
      <c r="Z4" s="19"/>
      <c r="AA4" s="19"/>
      <c r="AB4" s="19"/>
      <c r="AC4" s="20"/>
    </row>
    <row r="5" spans="1:29" ht="66.599999999999994" thickBot="1">
      <c r="A5" s="10" t="s">
        <v>76</v>
      </c>
      <c r="B5" s="11" t="s">
        <v>77</v>
      </c>
      <c r="C5" s="10"/>
      <c r="D5" s="13" t="s">
        <v>61</v>
      </c>
      <c r="E5" s="10" t="s">
        <v>78</v>
      </c>
      <c r="F5" s="12" t="s">
        <v>63</v>
      </c>
      <c r="G5" s="21"/>
      <c r="H5" s="21"/>
      <c r="I5" s="23"/>
      <c r="J5" s="18">
        <v>403240</v>
      </c>
      <c r="K5" s="17">
        <v>236340</v>
      </c>
      <c r="L5" s="17">
        <v>236340</v>
      </c>
      <c r="M5" s="17">
        <v>412100</v>
      </c>
      <c r="N5" s="17">
        <v>231860</v>
      </c>
      <c r="O5" s="17">
        <v>341260</v>
      </c>
      <c r="P5" s="17">
        <v>341260</v>
      </c>
      <c r="Q5" s="17">
        <v>341260</v>
      </c>
      <c r="R5" s="17">
        <v>341260</v>
      </c>
      <c r="S5" s="17">
        <v>341260</v>
      </c>
      <c r="T5" s="17">
        <v>341260</v>
      </c>
      <c r="U5" s="17">
        <v>232300</v>
      </c>
      <c r="V5" s="23"/>
      <c r="W5" s="19"/>
      <c r="X5" s="19"/>
      <c r="Y5" s="19"/>
      <c r="Z5" s="19"/>
      <c r="AA5" s="19"/>
      <c r="AB5" s="19"/>
      <c r="AC5" s="20"/>
    </row>
    <row r="6" spans="1:29" ht="40.200000000000003" thickBot="1">
      <c r="A6" s="10" t="s">
        <v>79</v>
      </c>
      <c r="B6" s="11" t="s">
        <v>80</v>
      </c>
      <c r="C6" s="10"/>
      <c r="D6" s="13" t="s">
        <v>61</v>
      </c>
      <c r="E6" s="10" t="s">
        <v>81</v>
      </c>
      <c r="F6" s="12" t="s">
        <v>63</v>
      </c>
      <c r="G6" s="21"/>
      <c r="H6" s="21"/>
      <c r="I6" s="23"/>
      <c r="J6" s="24"/>
      <c r="K6" s="17">
        <v>288467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19"/>
      <c r="X6" s="19"/>
      <c r="Y6" s="19"/>
      <c r="Z6" s="19"/>
      <c r="AA6" s="19"/>
      <c r="AB6" s="19"/>
      <c r="AC6" s="20"/>
    </row>
    <row r="7" spans="1:29" ht="40.200000000000003" thickBot="1">
      <c r="A7" s="16" t="s">
        <v>82</v>
      </c>
      <c r="B7" s="11" t="s">
        <v>83</v>
      </c>
      <c r="C7" s="10"/>
      <c r="D7" s="13" t="s">
        <v>61</v>
      </c>
      <c r="E7" s="10" t="s">
        <v>84</v>
      </c>
      <c r="F7" s="12" t="s">
        <v>63</v>
      </c>
      <c r="G7" s="21"/>
      <c r="H7" s="21"/>
      <c r="I7" s="23"/>
      <c r="J7" s="24"/>
      <c r="K7" s="21"/>
      <c r="L7" s="17">
        <v>68000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19"/>
      <c r="X7" s="19"/>
      <c r="Y7" s="19"/>
      <c r="Z7" s="19"/>
      <c r="AA7" s="19"/>
      <c r="AB7" s="19"/>
      <c r="AC7" s="20"/>
    </row>
    <row r="8" spans="1:29" s="28" customFormat="1" ht="13.8" thickBot="1">
      <c r="A8" s="26"/>
      <c r="B8" s="26"/>
      <c r="C8" s="26"/>
      <c r="D8" s="26"/>
      <c r="E8" s="26"/>
      <c r="F8" s="27" t="s">
        <v>85</v>
      </c>
      <c r="G8" s="25">
        <f>SUM(G3:G7)</f>
        <v>777240</v>
      </c>
      <c r="H8" s="25">
        <f t="shared" ref="H8:V8" si="0">SUM(H3:H7)</f>
        <v>1105600</v>
      </c>
      <c r="I8" s="25">
        <f t="shared" si="0"/>
        <v>995420</v>
      </c>
      <c r="J8" s="25">
        <f t="shared" si="0"/>
        <v>1357360</v>
      </c>
      <c r="K8" s="25">
        <f t="shared" si="0"/>
        <v>1713327</v>
      </c>
      <c r="L8" s="25">
        <f>SUM(L3:L7)</f>
        <v>1388060</v>
      </c>
      <c r="M8" s="25">
        <f t="shared" si="0"/>
        <v>1738120</v>
      </c>
      <c r="N8" s="25">
        <f t="shared" si="0"/>
        <v>1231580</v>
      </c>
      <c r="O8" s="25">
        <f t="shared" si="0"/>
        <v>1494260</v>
      </c>
      <c r="P8" s="25">
        <f t="shared" si="0"/>
        <v>1197360</v>
      </c>
      <c r="Q8" s="25">
        <f t="shared" si="0"/>
        <v>1335260</v>
      </c>
      <c r="R8" s="25">
        <f t="shared" si="0"/>
        <v>1197360</v>
      </c>
      <c r="S8" s="25">
        <f t="shared" si="0"/>
        <v>512860</v>
      </c>
      <c r="T8" s="25">
        <f t="shared" si="0"/>
        <v>512860</v>
      </c>
      <c r="U8" s="25">
        <f t="shared" si="0"/>
        <v>403900</v>
      </c>
      <c r="V8" s="25">
        <f t="shared" si="0"/>
        <v>171600</v>
      </c>
      <c r="W8" s="26"/>
      <c r="X8" s="26"/>
      <c r="Y8" s="26"/>
      <c r="Z8" s="26"/>
      <c r="AA8" s="26"/>
      <c r="AB8" s="26"/>
    </row>
    <row r="9" spans="1:29">
      <c r="W9" s="20"/>
      <c r="X9" s="20"/>
      <c r="Y9" s="20"/>
      <c r="Z9" s="20"/>
      <c r="AA9" s="20"/>
      <c r="AB9" s="20"/>
      <c r="AC9" s="20"/>
    </row>
    <row r="10" spans="1:29">
      <c r="W10" s="20"/>
      <c r="X10" s="20"/>
      <c r="Y10" s="20"/>
      <c r="Z10" s="20"/>
      <c r="AA10" s="20"/>
      <c r="AB10" s="20"/>
      <c r="AC10" s="20"/>
    </row>
    <row r="11" spans="1:29">
      <c r="W11" s="20"/>
      <c r="X11" s="20"/>
      <c r="Y11" s="20"/>
      <c r="Z11" s="20"/>
      <c r="AA11" s="20"/>
      <c r="AB11" s="20"/>
      <c r="AC11" s="20"/>
    </row>
  </sheetData>
  <mergeCells count="8">
    <mergeCell ref="F1:F2"/>
    <mergeCell ref="G1:J1"/>
    <mergeCell ref="K1:V1"/>
    <mergeCell ref="A1:A2"/>
    <mergeCell ref="B1:B2"/>
    <mergeCell ref="C1:C2"/>
    <mergeCell ref="D1:D2"/>
    <mergeCell ref="E1:E2"/>
  </mergeCells>
  <hyperlinks>
    <hyperlink ref="D3" r:id="rId1" display="https://docs.google.com/spreadsheets/d/1b1WUTmEx3zipbC1gmqZt2M3-i84MC912xpcblHVLDj8/edit?usp=sharing" xr:uid="{3C72AACA-392B-47D8-A2C7-C326A6806D25}"/>
    <hyperlink ref="D4" r:id="rId2" display="https://drive.google.com/file/d/1Kn6EQsIgdzN5G2oamb1jnWyCHJqIn_Sb/view?usp=sharing" xr:uid="{F46B2567-36CA-4C41-B3B4-8DF406AD91E0}"/>
    <hyperlink ref="D5" r:id="rId3" display="https://docs.google.com/spreadsheets/d/1w-DemPbXj4nW9BtOh9w_B_nyhkb7oqM6rf0iWm7d0sU/edit?usp=sharing" xr:uid="{8639EDCF-50BB-4A63-B83E-A78B0964527B}"/>
    <hyperlink ref="D6" r:id="rId4" display="https://docs.google.com/spreadsheets/d/1-Ld98AbGO_mxzW-LtcryAwELWwRjhdRTlD4sExtAFzQ/edit?usp=sharing" xr:uid="{7BEC7471-E465-4AB4-BB6E-C514D0271A7A}"/>
    <hyperlink ref="A7" r:id="rId5" display="http://jurassicocean.ru/" xr:uid="{9A2FCFF4-EED7-4906-AA7F-491718AAED60}"/>
    <hyperlink ref="D7" r:id="rId6" display="https://prcss.notion.site/UX-CRM-group-969d2c52e0c04203b21268acfdf69382" xr:uid="{5D49D90B-426F-4844-9E37-1C742C8688D4}"/>
  </hyperlinks>
  <pageMargins left="0.7" right="0.7" top="0.75" bottom="0.75" header="0.3" footer="0.3"/>
  <pageSetup paperSize="9" orientation="portrait" r:id="rId7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7D805-399B-4B7A-AB17-0A986569A777}">
  <sheetPr codeName="Лист8"/>
  <dimension ref="A1:N14"/>
  <sheetViews>
    <sheetView workbookViewId="0">
      <selection activeCell="M15" sqref="M15"/>
    </sheetView>
  </sheetViews>
  <sheetFormatPr defaultRowHeight="13.2"/>
  <cols>
    <col min="1" max="1" width="34.88671875" customWidth="1"/>
    <col min="2" max="2" width="16.88671875" customWidth="1"/>
    <col min="3" max="3" width="10.6640625" customWidth="1"/>
    <col min="4" max="5" width="10.109375" bestFit="1" customWidth="1"/>
    <col min="6" max="8" width="10.44140625" bestFit="1" customWidth="1"/>
    <col min="9" max="13" width="10.109375" bestFit="1" customWidth="1"/>
    <col min="14" max="14" width="16.44140625" customWidth="1"/>
  </cols>
  <sheetData>
    <row r="1" spans="1:14">
      <c r="B1">
        <v>1</v>
      </c>
      <c r="C1" s="14">
        <f>B1+1</f>
        <v>2</v>
      </c>
      <c r="D1" s="14">
        <f t="shared" ref="D1:M1" si="0">C1+1</f>
        <v>3</v>
      </c>
      <c r="E1" s="14">
        <f t="shared" si="0"/>
        <v>4</v>
      </c>
      <c r="F1" s="14">
        <f t="shared" si="0"/>
        <v>5</v>
      </c>
      <c r="G1" s="14">
        <f t="shared" si="0"/>
        <v>6</v>
      </c>
      <c r="H1" s="14">
        <f t="shared" si="0"/>
        <v>7</v>
      </c>
      <c r="I1" s="14">
        <f t="shared" si="0"/>
        <v>8</v>
      </c>
      <c r="J1" s="14">
        <f t="shared" si="0"/>
        <v>9</v>
      </c>
      <c r="K1" s="14">
        <f t="shared" si="0"/>
        <v>10</v>
      </c>
      <c r="L1" s="14">
        <f t="shared" si="0"/>
        <v>11</v>
      </c>
      <c r="M1" s="14">
        <f t="shared" si="0"/>
        <v>12</v>
      </c>
    </row>
    <row r="2" spans="1:14">
      <c r="A2" s="14" t="s">
        <v>634</v>
      </c>
      <c r="B2" s="33">
        <v>8503609</v>
      </c>
      <c r="C2" s="33">
        <v>9536465</v>
      </c>
      <c r="D2" s="33">
        <v>10131304</v>
      </c>
      <c r="E2" s="34">
        <v>10306673</v>
      </c>
      <c r="F2" s="33">
        <v>9976067</v>
      </c>
      <c r="G2" s="33">
        <v>9750963</v>
      </c>
      <c r="H2" s="33">
        <v>9791430</v>
      </c>
      <c r="I2" s="33">
        <v>10024087</v>
      </c>
      <c r="J2" s="33">
        <v>10279872</v>
      </c>
      <c r="K2" s="33">
        <v>13470098</v>
      </c>
      <c r="L2" s="33">
        <v>11590131</v>
      </c>
      <c r="M2" s="33">
        <v>12529905</v>
      </c>
      <c r="N2" s="33">
        <f>SUM(B2:M2)</f>
        <v>125890604</v>
      </c>
    </row>
    <row r="3" spans="1:14">
      <c r="A3" s="14"/>
      <c r="N3">
        <f>N2/12</f>
        <v>10490883.666666666</v>
      </c>
    </row>
    <row r="4" spans="1:14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>
        <v>1</v>
      </c>
    </row>
    <row r="5" spans="1:14">
      <c r="A5" s="14" t="s">
        <v>166</v>
      </c>
      <c r="B5" s="20">
        <f>B2*$N$4/$N$3</f>
        <v>0.81057127980734767</v>
      </c>
      <c r="C5" s="20">
        <f t="shared" ref="C5:M5" si="1">C2*$N$4/$N$3</f>
        <v>0.90902399673926426</v>
      </c>
      <c r="D5" s="20">
        <f t="shared" si="1"/>
        <v>0.96572455876055696</v>
      </c>
      <c r="E5" s="20">
        <f t="shared" si="1"/>
        <v>0.98244088176747491</v>
      </c>
      <c r="F5" s="20">
        <f t="shared" si="1"/>
        <v>0.95092723520494038</v>
      </c>
      <c r="G5" s="20">
        <f t="shared" si="1"/>
        <v>0.92947012947844787</v>
      </c>
      <c r="H5" s="20">
        <f t="shared" si="1"/>
        <v>0.93332747851459996</v>
      </c>
      <c r="I5" s="20">
        <f t="shared" si="1"/>
        <v>0.95550454265832263</v>
      </c>
      <c r="J5" s="20">
        <f t="shared" si="1"/>
        <v>0.97988618753469481</v>
      </c>
      <c r="K5" s="20">
        <f t="shared" si="1"/>
        <v>1.2839812572509384</v>
      </c>
      <c r="L5" s="20">
        <f t="shared" si="1"/>
        <v>1.1047811955847</v>
      </c>
      <c r="M5" s="20">
        <f t="shared" si="1"/>
        <v>1.194361256698713</v>
      </c>
    </row>
    <row r="7" spans="1:14">
      <c r="B7">
        <v>1</v>
      </c>
      <c r="C7" s="14">
        <f t="shared" ref="C7:M7" si="2">B7+1</f>
        <v>2</v>
      </c>
      <c r="D7" s="14">
        <f t="shared" si="2"/>
        <v>3</v>
      </c>
      <c r="E7" s="14">
        <f t="shared" si="2"/>
        <v>4</v>
      </c>
      <c r="F7" s="14">
        <f t="shared" si="2"/>
        <v>5</v>
      </c>
      <c r="G7" s="14">
        <f t="shared" si="2"/>
        <v>6</v>
      </c>
      <c r="H7" s="14">
        <f t="shared" si="2"/>
        <v>7</v>
      </c>
      <c r="I7" s="14">
        <f t="shared" si="2"/>
        <v>8</v>
      </c>
      <c r="J7" s="14">
        <f t="shared" si="2"/>
        <v>9</v>
      </c>
      <c r="K7" s="14">
        <f t="shared" si="2"/>
        <v>10</v>
      </c>
      <c r="L7" s="14">
        <f t="shared" si="2"/>
        <v>11</v>
      </c>
      <c r="M7" s="14">
        <f t="shared" si="2"/>
        <v>12</v>
      </c>
    </row>
    <row r="8" spans="1:14">
      <c r="A8" s="14" t="s">
        <v>635</v>
      </c>
      <c r="B8" s="33">
        <f>'[28]Текущий портфель'!$I$159</f>
        <v>13131369.52</v>
      </c>
      <c r="C8" s="33">
        <f>'[28]Текущий портфель'!$K$159</f>
        <v>12016711.069999998</v>
      </c>
      <c r="D8" s="33">
        <f>'[28]Текущий портфель'!$N$159</f>
        <v>13180905.5</v>
      </c>
      <c r="E8" s="34">
        <f>'[28]Текущий портфель'!$P$159</f>
        <v>13642737.359999998</v>
      </c>
      <c r="F8" s="33">
        <f>'[28]Текущий портфель'!$R$159</f>
        <v>12462546.49</v>
      </c>
      <c r="G8" s="33">
        <f>'[28]Текущий портфель'!$T$159</f>
        <v>10851573.039999999</v>
      </c>
      <c r="H8" s="33">
        <f>'[28]Текущий портфель'!$V$159</f>
        <v>11611995.640000001</v>
      </c>
      <c r="I8" s="33">
        <f>'[28]Текущий портфель'!$X$159</f>
        <v>11893131.540000001</v>
      </c>
      <c r="J8" s="33">
        <f>'[28]Текущий портфель'!$Z$159</f>
        <v>14349667.439999999</v>
      </c>
      <c r="K8" s="33">
        <f>'[28]Текущий портфель'!$AC$159</f>
        <v>11647173.280000001</v>
      </c>
      <c r="L8" s="33">
        <f>'[28]Текущий портфель'!$AF$159</f>
        <v>14316154.140000001</v>
      </c>
      <c r="M8" s="33"/>
      <c r="N8" s="33">
        <f>SUM(B8:M8)</f>
        <v>139103965.01999998</v>
      </c>
    </row>
    <row r="9" spans="1:14">
      <c r="A9" s="14"/>
      <c r="N9">
        <f>N8/12</f>
        <v>11591997.084999999</v>
      </c>
    </row>
    <row r="10" spans="1:14"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>
        <v>1</v>
      </c>
    </row>
    <row r="11" spans="1:14">
      <c r="A11" s="14" t="s">
        <v>166</v>
      </c>
      <c r="B11" s="20">
        <f>B8*$N$10/$N$9</f>
        <v>1.1327961371722517</v>
      </c>
      <c r="C11" s="20">
        <f t="shared" ref="C11:M11" si="3">C8*$N$10/$N$9</f>
        <v>1.0366385517426999</v>
      </c>
      <c r="D11" s="20">
        <f t="shared" si="3"/>
        <v>1.1370694284469793</v>
      </c>
      <c r="E11" s="20">
        <f t="shared" si="3"/>
        <v>1.1769100060984012</v>
      </c>
      <c r="F11" s="20">
        <f t="shared" si="3"/>
        <v>1.0750991739056326</v>
      </c>
      <c r="G11" s="20">
        <f t="shared" si="3"/>
        <v>0.93612627405176752</v>
      </c>
      <c r="H11" s="20">
        <f t="shared" si="3"/>
        <v>1.001725203591181</v>
      </c>
      <c r="I11" s="20">
        <f t="shared" si="3"/>
        <v>1.0259777890549739</v>
      </c>
      <c r="J11" s="20">
        <f t="shared" si="3"/>
        <v>1.2378943278521366</v>
      </c>
      <c r="K11" s="20">
        <f t="shared" si="3"/>
        <v>1.0047598523874199</v>
      </c>
      <c r="L11" s="20">
        <f t="shared" si="3"/>
        <v>1.2350032556965573</v>
      </c>
      <c r="M11" s="20">
        <f t="shared" si="3"/>
        <v>0</v>
      </c>
    </row>
    <row r="14" spans="1:14">
      <c r="A14" t="s">
        <v>636</v>
      </c>
      <c r="B14" s="20">
        <f>(B5+B11)/2</f>
        <v>0.97168370848979968</v>
      </c>
      <c r="C14" s="20">
        <f t="shared" ref="C14:M14" si="4">(C5+C11)/2</f>
        <v>0.97283127424098215</v>
      </c>
      <c r="D14" s="20">
        <f t="shared" si="4"/>
        <v>1.0513969936037681</v>
      </c>
      <c r="E14" s="20">
        <f t="shared" si="4"/>
        <v>1.0796754439329381</v>
      </c>
      <c r="F14" s="20">
        <f t="shared" si="4"/>
        <v>1.0130132045552864</v>
      </c>
      <c r="G14" s="20">
        <f t="shared" si="4"/>
        <v>0.93279820176510775</v>
      </c>
      <c r="H14" s="20">
        <f t="shared" si="4"/>
        <v>0.96752634105289048</v>
      </c>
      <c r="I14" s="20">
        <f t="shared" si="4"/>
        <v>0.99074116585664829</v>
      </c>
      <c r="J14" s="20">
        <f t="shared" si="4"/>
        <v>1.1088902576934156</v>
      </c>
      <c r="K14" s="20">
        <f t="shared" si="4"/>
        <v>1.1443705548191792</v>
      </c>
      <c r="L14" s="20">
        <f t="shared" si="4"/>
        <v>1.1698922256406288</v>
      </c>
      <c r="M14" s="20">
        <f>(M5+M11)/2</f>
        <v>0.59718062834935648</v>
      </c>
    </row>
  </sheetData>
  <phoneticPr fontId="6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17</vt:i4>
      </vt:variant>
    </vt:vector>
  </HeadingPairs>
  <TitlesOfParts>
    <vt:vector size="17" baseType="lpstr">
      <vt:lpstr>Фин.модель</vt:lpstr>
      <vt:lpstr>Юнит ЕМС </vt:lpstr>
      <vt:lpstr>БЛОК-ВЫРУЧКА</vt:lpstr>
      <vt:lpstr>База расходы</vt:lpstr>
      <vt:lpstr>База расходы зп</vt:lpstr>
      <vt:lpstr>Фин.модель сокр.</vt:lpstr>
      <vt:lpstr>Выручка тех. с новых клиентов</vt:lpstr>
      <vt:lpstr>план-факт</vt:lpstr>
      <vt:lpstr>Продажи</vt:lpstr>
      <vt:lpstr>Выручка-план</vt:lpstr>
      <vt:lpstr>план поступлений</vt:lpstr>
      <vt:lpstr>Отток</vt:lpstr>
      <vt:lpstr>Клиенты на входе</vt:lpstr>
      <vt:lpstr>План поступлений с новых продаж</vt:lpstr>
      <vt:lpstr>Найм сотрудников</vt:lpstr>
      <vt:lpstr>Новый клиентский портфель план </vt:lpstr>
      <vt:lpstr>коэффициент сезонности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Наталья</dc:creator>
  <cp:lastModifiedBy>Наталья</cp:lastModifiedBy>
  <cp:lastPrinted>2025-12-17T10:41:55Z</cp:lastPrinted>
  <dcterms:created xsi:type="dcterms:W3CDTF">2023-12-28T13:59:10Z</dcterms:created>
  <dcterms:modified xsi:type="dcterms:W3CDTF">2026-01-20T08:16:03Z</dcterms:modified>
</cp:coreProperties>
</file>