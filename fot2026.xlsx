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Наталья\Desktop\"/>
    </mc:Choice>
  </mc:AlternateContent>
  <xr:revisionPtr revIDLastSave="0" documentId="13_ncr:1_{2704F320-D219-487A-A586-AC2D8FE94D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00" i="1" l="1"/>
  <c r="P96" i="1"/>
  <c r="P95" i="1"/>
  <c r="P90" i="1"/>
  <c r="P89" i="1"/>
  <c r="P83" i="1"/>
  <c r="P75" i="1"/>
  <c r="P74" i="1"/>
  <c r="P73" i="1"/>
  <c r="P65" i="1"/>
  <c r="P62" i="1"/>
  <c r="P56" i="1"/>
  <c r="P47" i="1"/>
  <c r="P43" i="1"/>
  <c r="P42" i="1"/>
  <c r="P38" i="1"/>
  <c r="P33" i="1"/>
  <c r="P31" i="1"/>
  <c r="P30" i="1"/>
  <c r="P21" i="1"/>
  <c r="P15" i="1"/>
  <c r="P10" i="1"/>
  <c r="K107" i="1"/>
  <c r="K106" i="1"/>
  <c r="L99" i="1"/>
  <c r="L98" i="1"/>
  <c r="L97" i="1"/>
  <c r="L96" i="1"/>
  <c r="L95" i="1"/>
  <c r="L94" i="1"/>
  <c r="O94" i="1" s="1"/>
  <c r="L92" i="1"/>
  <c r="L91" i="1"/>
  <c r="L90" i="1"/>
  <c r="L89" i="1"/>
  <c r="O89" i="1" s="1"/>
  <c r="L87" i="1"/>
  <c r="L86" i="1"/>
  <c r="L85" i="1"/>
  <c r="L84" i="1"/>
  <c r="L83" i="1"/>
  <c r="L82" i="1"/>
  <c r="L81" i="1"/>
  <c r="L80" i="1"/>
  <c r="L79" i="1"/>
  <c r="O78" i="1"/>
  <c r="L78" i="1"/>
  <c r="M78" i="1" s="1"/>
  <c r="L75" i="1"/>
  <c r="L74" i="1"/>
  <c r="L73" i="1"/>
  <c r="L72" i="1"/>
  <c r="L71" i="1"/>
  <c r="L70" i="1"/>
  <c r="L69" i="1"/>
  <c r="L68" i="1"/>
  <c r="L67" i="1"/>
  <c r="L65" i="1"/>
  <c r="O65" i="1" s="1"/>
  <c r="L63" i="1"/>
  <c r="L62" i="1"/>
  <c r="L61" i="1"/>
  <c r="L60" i="1"/>
  <c r="O60" i="1" s="1"/>
  <c r="L58" i="1"/>
  <c r="L57" i="1"/>
  <c r="L56" i="1"/>
  <c r="L55" i="1"/>
  <c r="O55" i="1" s="1"/>
  <c r="L52" i="1"/>
  <c r="L51" i="1"/>
  <c r="L50" i="1"/>
  <c r="L49" i="1"/>
  <c r="L48" i="1"/>
  <c r="L47" i="1"/>
  <c r="L46" i="1"/>
  <c r="L44" i="1"/>
  <c r="L43" i="1"/>
  <c r="L42" i="1"/>
  <c r="L41" i="1"/>
  <c r="L40" i="1"/>
  <c r="L39" i="1"/>
  <c r="L38" i="1"/>
  <c r="L37" i="1"/>
  <c r="L36" i="1"/>
  <c r="L35" i="1"/>
  <c r="L34" i="1"/>
  <c r="L33" i="1"/>
  <c r="L31" i="1"/>
  <c r="L29" i="1"/>
  <c r="O29" i="1" s="1"/>
  <c r="L27" i="1"/>
  <c r="L26" i="1"/>
  <c r="L25" i="1"/>
  <c r="L24" i="1"/>
  <c r="O24" i="1" s="1"/>
  <c r="L21" i="1"/>
  <c r="M20" i="1" s="1"/>
  <c r="O20" i="1"/>
  <c r="L20" i="1"/>
  <c r="L18" i="1"/>
  <c r="L17" i="1"/>
  <c r="L16" i="1"/>
  <c r="O15" i="1"/>
  <c r="M15" i="1"/>
  <c r="L15" i="1"/>
  <c r="L13" i="1"/>
  <c r="O12" i="1"/>
  <c r="L12" i="1"/>
  <c r="M12" i="1" s="1"/>
  <c r="L11" i="1"/>
  <c r="L10" i="1"/>
  <c r="O7" i="1" s="1"/>
  <c r="L9" i="1"/>
  <c r="L8" i="1"/>
  <c r="O4" i="1"/>
  <c r="M4" i="1"/>
  <c r="L4" i="1"/>
  <c r="E107" i="1"/>
  <c r="E106" i="1"/>
  <c r="F99" i="1"/>
  <c r="F98" i="1"/>
  <c r="F97" i="1"/>
  <c r="F96" i="1"/>
  <c r="F95" i="1"/>
  <c r="F94" i="1"/>
  <c r="G94" i="1" s="1"/>
  <c r="F92" i="1"/>
  <c r="F91" i="1"/>
  <c r="F90" i="1"/>
  <c r="F89" i="1"/>
  <c r="F87" i="1"/>
  <c r="F86" i="1"/>
  <c r="F85" i="1"/>
  <c r="F84" i="1"/>
  <c r="F83" i="1"/>
  <c r="F82" i="1"/>
  <c r="F81" i="1"/>
  <c r="F80" i="1"/>
  <c r="F79" i="1"/>
  <c r="F78" i="1"/>
  <c r="F75" i="1"/>
  <c r="F74" i="1"/>
  <c r="F73" i="1"/>
  <c r="F72" i="1"/>
  <c r="F71" i="1"/>
  <c r="F70" i="1"/>
  <c r="F69" i="1"/>
  <c r="F68" i="1"/>
  <c r="F67" i="1"/>
  <c r="F65" i="1"/>
  <c r="F63" i="1"/>
  <c r="F62" i="1"/>
  <c r="F61" i="1"/>
  <c r="F60" i="1"/>
  <c r="F58" i="1"/>
  <c r="F57" i="1"/>
  <c r="F56" i="1"/>
  <c r="F55" i="1"/>
  <c r="F52" i="1"/>
  <c r="F51" i="1"/>
  <c r="F50" i="1"/>
  <c r="F49" i="1"/>
  <c r="F48" i="1"/>
  <c r="F47" i="1"/>
  <c r="F46" i="1"/>
  <c r="F44" i="1"/>
  <c r="F43" i="1"/>
  <c r="F42" i="1"/>
  <c r="F41" i="1"/>
  <c r="F40" i="1"/>
  <c r="F39" i="1"/>
  <c r="F38" i="1"/>
  <c r="F37" i="1"/>
  <c r="F36" i="1"/>
  <c r="F35" i="1"/>
  <c r="F34" i="1"/>
  <c r="F33" i="1"/>
  <c r="F31" i="1"/>
  <c r="F29" i="1"/>
  <c r="F27" i="1"/>
  <c r="F26" i="1"/>
  <c r="F25" i="1"/>
  <c r="F24" i="1"/>
  <c r="F21" i="1"/>
  <c r="F20" i="1"/>
  <c r="F18" i="1"/>
  <c r="F17" i="1"/>
  <c r="F16" i="1"/>
  <c r="F15" i="1"/>
  <c r="F13" i="1"/>
  <c r="I12" i="1"/>
  <c r="F12" i="1"/>
  <c r="F11" i="1"/>
  <c r="F10" i="1"/>
  <c r="F9" i="1"/>
  <c r="F8" i="1"/>
  <c r="I4" i="1"/>
  <c r="F4" i="1"/>
  <c r="G4" i="1" s="1"/>
  <c r="O101" i="1" l="1"/>
  <c r="M7" i="1"/>
  <c r="M110" i="1"/>
  <c r="N110" i="1" s="1"/>
  <c r="M60" i="1"/>
  <c r="M94" i="1"/>
  <c r="M29" i="1"/>
  <c r="M89" i="1"/>
  <c r="M24" i="1"/>
  <c r="O110" i="1"/>
  <c r="M65" i="1"/>
  <c r="M55" i="1"/>
  <c r="G12" i="1"/>
  <c r="I65" i="1"/>
  <c r="G15" i="1"/>
  <c r="G24" i="1"/>
  <c r="G60" i="1"/>
  <c r="I20" i="1"/>
  <c r="I78" i="1"/>
  <c r="G20" i="1"/>
  <c r="I94" i="1"/>
  <c r="I29" i="1"/>
  <c r="G78" i="1"/>
  <c r="I60" i="1"/>
  <c r="I24" i="1"/>
  <c r="I55" i="1"/>
  <c r="I7" i="1"/>
  <c r="I15" i="1"/>
  <c r="I89" i="1"/>
  <c r="G111" i="1"/>
  <c r="G65" i="1"/>
  <c r="G7" i="1"/>
  <c r="G29" i="1"/>
  <c r="G55" i="1"/>
  <c r="G89" i="1"/>
  <c r="M106" i="1" l="1"/>
  <c r="N89" i="1" s="1"/>
  <c r="M108" i="1"/>
  <c r="N108" i="1" s="1"/>
  <c r="N94" i="1"/>
  <c r="M111" i="1"/>
  <c r="N111" i="1" s="1"/>
  <c r="M109" i="1"/>
  <c r="N109" i="1" s="1"/>
  <c r="I101" i="1"/>
  <c r="G106" i="1"/>
  <c r="H78" i="1" s="1"/>
  <c r="I110" i="1"/>
  <c r="G107" i="1"/>
  <c r="H111" i="1" s="1"/>
  <c r="H12" i="1"/>
  <c r="H20" i="1"/>
  <c r="H15" i="1"/>
  <c r="H94" i="1"/>
  <c r="H4" i="1"/>
  <c r="H24" i="1"/>
  <c r="H89" i="1"/>
  <c r="H55" i="1"/>
  <c r="G108" i="1"/>
  <c r="H29" i="1"/>
  <c r="H65" i="1"/>
  <c r="G110" i="1"/>
  <c r="G109" i="1"/>
  <c r="N29" i="1" l="1"/>
  <c r="N7" i="1"/>
  <c r="N24" i="1"/>
  <c r="N60" i="1"/>
  <c r="N55" i="1"/>
  <c r="M107" i="1"/>
  <c r="N12" i="1"/>
  <c r="N78" i="1"/>
  <c r="N4" i="1"/>
  <c r="N20" i="1"/>
  <c r="N15" i="1"/>
  <c r="N65" i="1"/>
  <c r="H110" i="1"/>
  <c r="H7" i="1"/>
  <c r="H60" i="1"/>
  <c r="H108" i="1"/>
  <c r="H10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Наталья</author>
  </authors>
  <commentList>
    <comment ref="F7" authorId="0" shapeId="0" xr:uid="{6E29B283-ECBC-40A3-82EF-2632A0D7939F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ПРОФИТ</t>
        </r>
      </text>
    </comment>
    <comment ref="B76" authorId="0" shapeId="0" xr:uid="{4DA43C86-7A65-4EB6-AD40-9F7E2D8D8EB8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ИП через ИП</t>
        </r>
      </text>
    </comment>
  </commentList>
</comments>
</file>

<file path=xl/sharedStrings.xml><?xml version="1.0" encoding="utf-8"?>
<sst xmlns="http://schemas.openxmlformats.org/spreadsheetml/2006/main" count="286" uniqueCount="182">
  <si>
    <t>ПЛАН НА ЯНВАРЬ</t>
  </si>
  <si>
    <t>Отдел</t>
  </si>
  <si>
    <t>Должность</t>
  </si>
  <si>
    <t>Сумма на руки</t>
  </si>
  <si>
    <t>Оклад+налоги с ФОТ</t>
  </si>
  <si>
    <t>ИТОГО</t>
  </si>
  <si>
    <t>%</t>
  </si>
  <si>
    <t>ЧЕЛ.</t>
  </si>
  <si>
    <t>Руководство</t>
  </si>
  <si>
    <t>УПР</t>
  </si>
  <si>
    <t>Ильин Иван Константинович</t>
  </si>
  <si>
    <t>Генеральный дирекор</t>
  </si>
  <si>
    <t>Аксенова Наталья Валериевна</t>
  </si>
  <si>
    <t>Финансовый директор</t>
  </si>
  <si>
    <t>Административный блок/ бухгалтерия, персонал, офис/</t>
  </si>
  <si>
    <t>БУХ</t>
  </si>
  <si>
    <t>Профит</t>
  </si>
  <si>
    <t>Руководитель отдела бухгалтерского и налогового учета</t>
  </si>
  <si>
    <t>Мулаева Анастасия Олеговна</t>
  </si>
  <si>
    <t>Кирьянова Евгения</t>
  </si>
  <si>
    <t>Васькина Анастасия</t>
  </si>
  <si>
    <t>Чернышов Илья Геннадьевич</t>
  </si>
  <si>
    <t>Юрист</t>
  </si>
  <si>
    <t>HR</t>
  </si>
  <si>
    <t>Самсаева Кристина Юрьевна</t>
  </si>
  <si>
    <t>Директор по персоналу</t>
  </si>
  <si>
    <t>Богданова Маргарита</t>
  </si>
  <si>
    <t>офис</t>
  </si>
  <si>
    <t>Федярова Карина Сергеевна</t>
  </si>
  <si>
    <t>Помощник руководителя</t>
  </si>
  <si>
    <t>Гуренкова Инна Михайловна</t>
  </si>
  <si>
    <t>Ильин Константин Иванович</t>
  </si>
  <si>
    <t>Оператор ПК</t>
  </si>
  <si>
    <t>Проклашин Александр Сергеевич</t>
  </si>
  <si>
    <t>Системный администратор</t>
  </si>
  <si>
    <t>Маркетинг</t>
  </si>
  <si>
    <t>МАРК</t>
  </si>
  <si>
    <t>Филиппова Екатерина Николаевна</t>
  </si>
  <si>
    <t>Директор по маркетингу</t>
  </si>
  <si>
    <t>Шапочкина Екатерина Игоревна</t>
  </si>
  <si>
    <t>Петрухина Дарья Александровна</t>
  </si>
  <si>
    <t>Отдел продаж</t>
  </si>
  <si>
    <t>ПРОД.</t>
  </si>
  <si>
    <t>Руководитель отдела продаж</t>
  </si>
  <si>
    <t>Крыгина Наталья Сергеевна</t>
  </si>
  <si>
    <t>Менеджер по продажам</t>
  </si>
  <si>
    <t>Суружиу Дмитрий Константинович</t>
  </si>
  <si>
    <t>Кадышев Алексей Александрович</t>
  </si>
  <si>
    <t>Интернет-маркетинг</t>
  </si>
  <si>
    <t>МЕНЕДЖ.</t>
  </si>
  <si>
    <t>Попова Ева Андреевна</t>
  </si>
  <si>
    <t>Сламбеков Аргын</t>
  </si>
  <si>
    <t>Петров Владислав Валерьевич</t>
  </si>
  <si>
    <t>Самусевич Максим Сергеевич</t>
  </si>
  <si>
    <t>Волков Денис Андреевич</t>
  </si>
  <si>
    <t>Швецов Никита Георгиевич</t>
  </si>
  <si>
    <t>Ведущий менеджер проектов</t>
  </si>
  <si>
    <t>Ткаченко Александр Дмитриевмч</t>
  </si>
  <si>
    <t>Коробач Евгений Сергеевич</t>
  </si>
  <si>
    <t>миддл</t>
  </si>
  <si>
    <t>Коваленко Ольга Владимировна</t>
  </si>
  <si>
    <t>CRM-маркетолог</t>
  </si>
  <si>
    <t>Паршакина Ольга Сергеевна</t>
  </si>
  <si>
    <t>тимлид</t>
  </si>
  <si>
    <t>Старший менеджер интернет-проектов</t>
  </si>
  <si>
    <t>Потковский Иван Владимирович</t>
  </si>
  <si>
    <t>Старший менеджер проектов</t>
  </si>
  <si>
    <t>Кострома Дмитрий Геннадьевич</t>
  </si>
  <si>
    <t>Чернышёв Денис Вадимович</t>
  </si>
  <si>
    <t>Радецкая Лика Дмитриевна</t>
  </si>
  <si>
    <t>джун</t>
  </si>
  <si>
    <t>crm-маркетолог стажер</t>
  </si>
  <si>
    <t>Пономаренко Елизавета Дмитриевна</t>
  </si>
  <si>
    <t>Порываева Виктория Дмитриевна</t>
  </si>
  <si>
    <t>Юмакулова Аида Александровна</t>
  </si>
  <si>
    <t>Орел Оксана Анатольевна</t>
  </si>
  <si>
    <t>Слепова Надежда Сергеевна</t>
  </si>
  <si>
    <t>Шендрик Полина Сергеевна</t>
  </si>
  <si>
    <t>Алесенко Екатерина Руслановна</t>
  </si>
  <si>
    <t>Денисенко Елизавета Павловна</t>
  </si>
  <si>
    <t>Цаплина Олеся Рахимзяновна</t>
  </si>
  <si>
    <t>Щур Анастасия Игоревна</t>
  </si>
  <si>
    <t>МарТех</t>
  </si>
  <si>
    <t>МАРТЕХ.</t>
  </si>
  <si>
    <t>Абрамова Екатерина Владимировна</t>
  </si>
  <si>
    <t>Технический менеджер проектов/тимлид</t>
  </si>
  <si>
    <t>Безух Михаил Алексеевич</t>
  </si>
  <si>
    <t>Технический менеджер проектов</t>
  </si>
  <si>
    <t>Мартынова Наталья Юрьевна</t>
  </si>
  <si>
    <t>Плужник Арсений Игоревич</t>
  </si>
  <si>
    <t>Аналитика</t>
  </si>
  <si>
    <t>АНАЛИТИКА</t>
  </si>
  <si>
    <t>Куракин Валерий Сергеевич</t>
  </si>
  <si>
    <t>Руководитель отдела аналитики</t>
  </si>
  <si>
    <t>Скрябина Елена Сергеевна</t>
  </si>
  <si>
    <t>Старший аналитик</t>
  </si>
  <si>
    <t>Чемоданова Ольга Сергеевна</t>
  </si>
  <si>
    <t>Горина Ирина</t>
  </si>
  <si>
    <t>Дизайн (PROCESS)</t>
  </si>
  <si>
    <t>ДИЗ.</t>
  </si>
  <si>
    <t>Малыхина Юлия Эдуардовна</t>
  </si>
  <si>
    <t>Руководитель группы дизайнеров</t>
  </si>
  <si>
    <t>Лобанов Артем Николаевич</t>
  </si>
  <si>
    <t>Ведущий дизайнер интернет-проектов</t>
  </si>
  <si>
    <t>Мирошникова Елена Владимировна</t>
  </si>
  <si>
    <t>Ведущий веб-дизайнер</t>
  </si>
  <si>
    <t>Пушкина Юлия Игоревна</t>
  </si>
  <si>
    <t>Дизайнер визуальных коммуникаций</t>
  </si>
  <si>
    <t>Козикова Анастасия Валерьевна</t>
  </si>
  <si>
    <t>Ведущий дизайнер проектов</t>
  </si>
  <si>
    <t>Попова Юлия Андреевна</t>
  </si>
  <si>
    <t>Ведущий дизайнер</t>
  </si>
  <si>
    <t>Котов Александр Владимирович</t>
  </si>
  <si>
    <t>Бойко Мария Сергеевна</t>
  </si>
  <si>
    <t>Старший дизайнер интернет-проектов</t>
  </si>
  <si>
    <t>Исмаилова Людмила Юрьевна</t>
  </si>
  <si>
    <t>Балабанова Евгения Юрьевна</t>
  </si>
  <si>
    <t>Старший дизайнер</t>
  </si>
  <si>
    <t>Корсунова Дарья</t>
  </si>
  <si>
    <t>Контент</t>
  </si>
  <si>
    <t>КОНТЕНТ</t>
  </si>
  <si>
    <t>Копаева Юлия Андреевна</t>
  </si>
  <si>
    <t>Старший редактор</t>
  </si>
  <si>
    <t>Рязанцев Андрей Николаевич</t>
  </si>
  <si>
    <t>Старший контент-менеджер</t>
  </si>
  <si>
    <t>Сидорова Елена Александровна</t>
  </si>
  <si>
    <t>Контент-менеджер</t>
  </si>
  <si>
    <t>Волынина Светлана Сергеевна</t>
  </si>
  <si>
    <t>Гуслякова Виктория Сергеевна</t>
  </si>
  <si>
    <t>Баландина Наталия Владимировна</t>
  </si>
  <si>
    <t>Корректор</t>
  </si>
  <si>
    <t>Малистова Анна Олеговна</t>
  </si>
  <si>
    <t>Пишущий редактор</t>
  </si>
  <si>
    <t>Морозова Анастасия Леонидовна</t>
  </si>
  <si>
    <t>Чернова Светлана Александровна</t>
  </si>
  <si>
    <t>Дворкина Елена Тимуровна</t>
  </si>
  <si>
    <t>Верстка</t>
  </si>
  <si>
    <t>ВЕРСТ.</t>
  </si>
  <si>
    <t>Князев Дмитрий Игоревич</t>
  </si>
  <si>
    <t>Ведущий html-верстальщик</t>
  </si>
  <si>
    <t>Орлова Алла Александровна</t>
  </si>
  <si>
    <t>старший html-верстальщик</t>
  </si>
  <si>
    <t>Чепков Артем Андреевич</t>
  </si>
  <si>
    <t>html-верстальщик</t>
  </si>
  <si>
    <t>Арнаут Денис Александрович</t>
  </si>
  <si>
    <t>Креативн.</t>
  </si>
  <si>
    <t>КРЕАТИВН.</t>
  </si>
  <si>
    <t>Устинова Марина Александровна</t>
  </si>
  <si>
    <t>Руководитель отдела веб-дизайна</t>
  </si>
  <si>
    <t>Ионкина Вера Сергеевна</t>
  </si>
  <si>
    <t>Старший продукт-мнеджер</t>
  </si>
  <si>
    <t>Свистунов Даниил Иванович</t>
  </si>
  <si>
    <t>Руководитель отдела коммуникационного дизайна</t>
  </si>
  <si>
    <t>Кнутов Артем Виталиевич</t>
  </si>
  <si>
    <t>Ведущий веб-разработчик</t>
  </si>
  <si>
    <t>Колупаева Дарья Георгиевна</t>
  </si>
  <si>
    <t>Сычев</t>
  </si>
  <si>
    <t>ИТОГО ФОТ:</t>
  </si>
  <si>
    <t>ИТОГО ФОТ без CS:</t>
  </si>
  <si>
    <t>в т.ч. ПРОИЗВОДСТВЕННЫЕ</t>
  </si>
  <si>
    <t>в т.ч. ПРОИЗВОДСТВЕННЫЕ ВСПОМОГАТЕЛЬНЫЕ</t>
  </si>
  <si>
    <t>в т.ч. НЕПРОИЗВОДСТВЕННЫЕ</t>
  </si>
  <si>
    <t>в т.ч. CS</t>
  </si>
  <si>
    <t>Формат</t>
  </si>
  <si>
    <t>Кадровик</t>
  </si>
  <si>
    <t xml:space="preserve">                                                                      Менеджер по подбору и адаптации персонала</t>
  </si>
  <si>
    <t>Руководитель клиентского сервиса и сопровождения</t>
  </si>
  <si>
    <t>Маркетолог</t>
  </si>
  <si>
    <t>посмотреть время окончания декрета</t>
  </si>
  <si>
    <t>синьор</t>
  </si>
  <si>
    <t>синьор-стратег</t>
  </si>
  <si>
    <t>роль на обучение* и в перспективе стратег</t>
  </si>
  <si>
    <t>СТАЖЕР.</t>
  </si>
  <si>
    <t>кто это?</t>
  </si>
  <si>
    <t>декрет в апреле</t>
  </si>
  <si>
    <t>дать проектов</t>
  </si>
  <si>
    <t>креативная команда переходит в дизайн и дизайн и креативная команда становится единой командой</t>
  </si>
  <si>
    <t>0,5 в креативной команде</t>
  </si>
  <si>
    <t>ведущий</t>
  </si>
  <si>
    <t>продакт-менеджер</t>
  </si>
  <si>
    <t>ИП</t>
  </si>
  <si>
    <t>веб-разработчик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</si>
</sst>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rgb="FFC00000"/>
      <name val="Calibri"/>
      <family val="2"/>
      <charset val="204"/>
      <scheme val="minor"/>
    </font>
    <font>
      <sz val="9"/>
      <name val="Segoe UI"/>
      <family val="2"/>
      <charset val="204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8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7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3" fillId="3" borderId="2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horizontal="left" wrapText="1"/>
    </xf>
    <xf numFmtId="3" fontId="4" fillId="3" borderId="3" xfId="0" applyNumberFormat="1" applyFont="1" applyFill="1" applyBorder="1" applyAlignment="1">
      <alignment horizontal="left" wrapText="1"/>
    </xf>
    <xf numFmtId="3" fontId="5" fillId="3" borderId="2" xfId="0" applyNumberFormat="1" applyFont="1" applyFill="1" applyBorder="1" applyAlignment="1">
      <alignment horizontal="left" wrapText="1"/>
    </xf>
    <xf numFmtId="3" fontId="5" fillId="3" borderId="3" xfId="0" applyNumberFormat="1" applyFont="1" applyFill="1" applyBorder="1" applyAlignment="1">
      <alignment horizontal="left" wrapText="1"/>
    </xf>
    <xf numFmtId="9" fontId="5" fillId="3" borderId="2" xfId="0" applyNumberFormat="1" applyFont="1" applyFill="1" applyBorder="1" applyAlignment="1">
      <alignment horizontal="left" wrapText="1"/>
    </xf>
    <xf numFmtId="0" fontId="6" fillId="2" borderId="5" xfId="0" applyFont="1" applyFill="1" applyBorder="1" applyAlignment="1">
      <alignment horizontal="left"/>
    </xf>
    <xf numFmtId="0" fontId="0" fillId="2" borderId="6" xfId="0" applyFill="1" applyBorder="1"/>
    <xf numFmtId="0" fontId="3" fillId="4" borderId="7" xfId="0" applyFont="1" applyFill="1" applyBorder="1" applyAlignment="1">
      <alignment horizontal="left" wrapText="1"/>
    </xf>
    <xf numFmtId="0" fontId="3" fillId="4" borderId="8" xfId="0" applyFont="1" applyFill="1" applyBorder="1" applyAlignment="1">
      <alignment horizontal="left" wrapText="1"/>
    </xf>
    <xf numFmtId="0" fontId="7" fillId="2" borderId="7" xfId="0" applyFont="1" applyFill="1" applyBorder="1" applyAlignment="1">
      <alignment horizontal="left" wrapText="1"/>
    </xf>
    <xf numFmtId="3" fontId="4" fillId="2" borderId="8" xfId="0" applyNumberFormat="1" applyFont="1" applyFill="1" applyBorder="1" applyAlignment="1">
      <alignment horizontal="left" wrapText="1"/>
    </xf>
    <xf numFmtId="3" fontId="5" fillId="2" borderId="7" xfId="0" applyNumberFormat="1" applyFont="1" applyFill="1" applyBorder="1" applyAlignment="1">
      <alignment horizontal="left" wrapText="1"/>
    </xf>
    <xf numFmtId="3" fontId="4" fillId="2" borderId="7" xfId="0" applyNumberFormat="1" applyFont="1" applyFill="1" applyBorder="1" applyAlignment="1">
      <alignment horizontal="left" wrapText="1"/>
    </xf>
    <xf numFmtId="0" fontId="8" fillId="2" borderId="9" xfId="0" applyFont="1" applyFill="1" applyBorder="1"/>
    <xf numFmtId="0" fontId="9" fillId="0" borderId="10" xfId="0" applyFont="1" applyBorder="1"/>
    <xf numFmtId="0" fontId="7" fillId="0" borderId="11" xfId="0" applyFont="1" applyBorder="1" applyAlignment="1">
      <alignment horizontal="left" wrapText="1"/>
    </xf>
    <xf numFmtId="0" fontId="7" fillId="0" borderId="12" xfId="0" applyFont="1" applyBorder="1" applyAlignment="1">
      <alignment horizontal="left" wrapText="1"/>
    </xf>
    <xf numFmtId="3" fontId="4" fillId="0" borderId="13" xfId="0" applyNumberFormat="1" applyFont="1" applyBorder="1" applyAlignment="1">
      <alignment horizontal="left" vertical="center" wrapText="1"/>
    </xf>
    <xf numFmtId="3" fontId="5" fillId="0" borderId="14" xfId="0" applyNumberFormat="1" applyFont="1" applyBorder="1" applyAlignment="1">
      <alignment horizontal="left" vertical="center" wrapText="1"/>
    </xf>
    <xf numFmtId="3" fontId="4" fillId="0" borderId="13" xfId="0" applyNumberFormat="1" applyFont="1" applyBorder="1" applyAlignment="1">
      <alignment horizontal="center" vertical="center" wrapText="1"/>
    </xf>
    <xf numFmtId="9" fontId="4" fillId="0" borderId="14" xfId="0" applyNumberFormat="1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9" fillId="0" borderId="16" xfId="0" applyFont="1" applyBorder="1"/>
    <xf numFmtId="0" fontId="7" fillId="0" borderId="17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3" fontId="4" fillId="0" borderId="19" xfId="0" applyNumberFormat="1" applyFont="1" applyBorder="1" applyAlignment="1">
      <alignment horizontal="left" vertical="center" wrapText="1"/>
    </xf>
    <xf numFmtId="3" fontId="5" fillId="0" borderId="20" xfId="0" applyNumberFormat="1" applyFont="1" applyBorder="1" applyAlignment="1">
      <alignment horizontal="left" vertical="center" wrapText="1"/>
    </xf>
    <xf numFmtId="3" fontId="4" fillId="0" borderId="0" xfId="0" applyNumberFormat="1" applyFont="1" applyAlignment="1">
      <alignment horizontal="center" vertical="center" wrapText="1"/>
    </xf>
    <xf numFmtId="9" fontId="4" fillId="0" borderId="21" xfId="0" applyNumberFormat="1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0" fillId="2" borderId="23" xfId="0" applyFill="1" applyBorder="1"/>
    <xf numFmtId="0" fontId="3" fillId="4" borderId="24" xfId="0" applyFont="1" applyFill="1" applyBorder="1" applyAlignment="1">
      <alignment horizontal="left" wrapText="1"/>
    </xf>
    <xf numFmtId="0" fontId="3" fillId="4" borderId="25" xfId="0" applyFont="1" applyFill="1" applyBorder="1" applyAlignment="1">
      <alignment horizontal="left" wrapText="1"/>
    </xf>
    <xf numFmtId="0" fontId="7" fillId="2" borderId="24" xfId="0" applyFont="1" applyFill="1" applyBorder="1" applyAlignment="1">
      <alignment horizontal="left" wrapText="1"/>
    </xf>
    <xf numFmtId="3" fontId="4" fillId="2" borderId="25" xfId="0" applyNumberFormat="1" applyFont="1" applyFill="1" applyBorder="1" applyAlignment="1">
      <alignment horizontal="left" wrapText="1"/>
    </xf>
    <xf numFmtId="3" fontId="5" fillId="2" borderId="24" xfId="0" applyNumberFormat="1" applyFont="1" applyFill="1" applyBorder="1" applyAlignment="1">
      <alignment vertical="center" wrapText="1"/>
    </xf>
    <xf numFmtId="9" fontId="4" fillId="2" borderId="24" xfId="0" applyNumberFormat="1" applyFont="1" applyFill="1" applyBorder="1" applyAlignment="1">
      <alignment horizontal="center" wrapText="1"/>
    </xf>
    <xf numFmtId="0" fontId="8" fillId="2" borderId="26" xfId="0" applyFont="1" applyFill="1" applyBorder="1"/>
    <xf numFmtId="0" fontId="9" fillId="5" borderId="10" xfId="0" applyFont="1" applyFill="1" applyBorder="1"/>
    <xf numFmtId="0" fontId="7" fillId="5" borderId="27" xfId="0" applyFont="1" applyFill="1" applyBorder="1" applyAlignment="1">
      <alignment horizontal="left" wrapText="1"/>
    </xf>
    <xf numFmtId="0" fontId="7" fillId="5" borderId="28" xfId="0" applyFont="1" applyFill="1" applyBorder="1" applyAlignment="1">
      <alignment horizontal="left" wrapText="1"/>
    </xf>
    <xf numFmtId="3" fontId="4" fillId="5" borderId="28" xfId="0" applyNumberFormat="1" applyFont="1" applyFill="1" applyBorder="1" applyAlignment="1">
      <alignment horizontal="left" wrapText="1"/>
    </xf>
    <xf numFmtId="3" fontId="5" fillId="5" borderId="21" xfId="0" applyNumberFormat="1" applyFont="1" applyFill="1" applyBorder="1" applyAlignment="1">
      <alignment horizontal="left" wrapText="1"/>
    </xf>
    <xf numFmtId="0" fontId="7" fillId="0" borderId="27" xfId="0" applyFont="1" applyBorder="1" applyAlignment="1">
      <alignment horizontal="left" wrapText="1"/>
    </xf>
    <xf numFmtId="0" fontId="7" fillId="0" borderId="28" xfId="0" applyFont="1" applyBorder="1" applyAlignment="1">
      <alignment horizontal="left" wrapText="1"/>
    </xf>
    <xf numFmtId="3" fontId="4" fillId="0" borderId="28" xfId="0" applyNumberFormat="1" applyFont="1" applyBorder="1" applyAlignment="1">
      <alignment horizontal="left" wrapText="1"/>
    </xf>
    <xf numFmtId="3" fontId="5" fillId="0" borderId="21" xfId="0" applyNumberFormat="1" applyFont="1" applyBorder="1" applyAlignment="1">
      <alignment horizontal="left" wrapText="1"/>
    </xf>
    <xf numFmtId="3" fontId="4" fillId="0" borderId="18" xfId="0" applyNumberFormat="1" applyFont="1" applyBorder="1" applyAlignment="1">
      <alignment horizontal="left" wrapText="1"/>
    </xf>
    <xf numFmtId="3" fontId="5" fillId="0" borderId="20" xfId="0" applyNumberFormat="1" applyFont="1" applyBorder="1" applyAlignment="1">
      <alignment horizontal="left" wrapText="1"/>
    </xf>
    <xf numFmtId="3" fontId="4" fillId="0" borderId="19" xfId="0" applyNumberFormat="1" applyFont="1" applyBorder="1" applyAlignment="1">
      <alignment horizontal="center" vertical="center" wrapText="1"/>
    </xf>
    <xf numFmtId="9" fontId="4" fillId="0" borderId="20" xfId="0" applyNumberFormat="1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/>
    </xf>
    <xf numFmtId="0" fontId="7" fillId="0" borderId="21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3" fontId="4" fillId="5" borderId="0" xfId="0" applyNumberFormat="1" applyFont="1" applyFill="1" applyAlignment="1">
      <alignment horizontal="left" wrapText="1"/>
    </xf>
    <xf numFmtId="3" fontId="8" fillId="0" borderId="5" xfId="0" applyNumberFormat="1" applyFont="1" applyBorder="1" applyAlignment="1">
      <alignment horizontal="center" vertical="center"/>
    </xf>
    <xf numFmtId="3" fontId="8" fillId="0" borderId="22" xfId="0" applyNumberFormat="1" applyFont="1" applyBorder="1" applyAlignment="1">
      <alignment horizontal="center" vertical="center"/>
    </xf>
    <xf numFmtId="0" fontId="7" fillId="5" borderId="21" xfId="0" applyFont="1" applyFill="1" applyBorder="1" applyAlignment="1">
      <alignment horizontal="left" wrapText="1"/>
    </xf>
    <xf numFmtId="0" fontId="7" fillId="5" borderId="0" xfId="0" applyFont="1" applyFill="1" applyAlignment="1">
      <alignment horizontal="left" wrapText="1"/>
    </xf>
    <xf numFmtId="3" fontId="8" fillId="0" borderId="29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left" wrapText="1"/>
    </xf>
    <xf numFmtId="3" fontId="4" fillId="0" borderId="3" xfId="0" applyNumberFormat="1" applyFont="1" applyBorder="1" applyAlignment="1">
      <alignment horizontal="center" vertical="center" wrapText="1"/>
    </xf>
    <xf numFmtId="9" fontId="4" fillId="0" borderId="2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left" wrapText="1"/>
    </xf>
    <xf numFmtId="3" fontId="8" fillId="0" borderId="30" xfId="0" applyNumberFormat="1" applyFont="1" applyBorder="1" applyAlignment="1">
      <alignment horizontal="center" vertical="center"/>
    </xf>
    <xf numFmtId="3" fontId="5" fillId="2" borderId="31" xfId="0" applyNumberFormat="1" applyFont="1" applyFill="1" applyBorder="1" applyAlignment="1">
      <alignment horizontal="left" wrapText="1"/>
    </xf>
    <xf numFmtId="9" fontId="4" fillId="2" borderId="7" xfId="0" applyNumberFormat="1" applyFont="1" applyFill="1" applyBorder="1" applyAlignment="1">
      <alignment horizontal="center" wrapText="1"/>
    </xf>
    <xf numFmtId="0" fontId="9" fillId="5" borderId="32" xfId="0" applyFont="1" applyFill="1" applyBorder="1"/>
    <xf numFmtId="0" fontId="7" fillId="5" borderId="33" xfId="0" applyFont="1" applyFill="1" applyBorder="1" applyAlignment="1">
      <alignment horizontal="left" wrapText="1"/>
    </xf>
    <xf numFmtId="0" fontId="7" fillId="5" borderId="34" xfId="0" applyFont="1" applyFill="1" applyBorder="1" applyAlignment="1">
      <alignment horizontal="left" wrapText="1"/>
    </xf>
    <xf numFmtId="0" fontId="7" fillId="5" borderId="35" xfId="0" applyFont="1" applyFill="1" applyBorder="1" applyAlignment="1">
      <alignment horizontal="left" wrapText="1"/>
    </xf>
    <xf numFmtId="3" fontId="4" fillId="5" borderId="34" xfId="0" applyNumberFormat="1" applyFont="1" applyFill="1" applyBorder="1" applyAlignment="1">
      <alignment horizontal="left" wrapText="1"/>
    </xf>
    <xf numFmtId="0" fontId="9" fillId="0" borderId="33" xfId="0" applyFont="1" applyBorder="1" applyAlignment="1">
      <alignment horizontal="left" wrapText="1"/>
    </xf>
    <xf numFmtId="0" fontId="9" fillId="0" borderId="34" xfId="0" applyFont="1" applyBorder="1" applyAlignment="1">
      <alignment horizontal="left" wrapText="1"/>
    </xf>
    <xf numFmtId="3" fontId="4" fillId="0" borderId="34" xfId="0" applyNumberFormat="1" applyFont="1" applyBorder="1" applyAlignment="1">
      <alignment horizontal="left" wrapText="1"/>
    </xf>
    <xf numFmtId="0" fontId="9" fillId="0" borderId="36" xfId="0" applyFont="1" applyBorder="1"/>
    <xf numFmtId="0" fontId="7" fillId="0" borderId="37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  <xf numFmtId="0" fontId="9" fillId="0" borderId="32" xfId="0" applyFont="1" applyBorder="1"/>
    <xf numFmtId="0" fontId="10" fillId="0" borderId="33" xfId="0" applyFont="1" applyBorder="1" applyAlignment="1">
      <alignment horizontal="left" wrapText="1"/>
    </xf>
    <xf numFmtId="0" fontId="11" fillId="0" borderId="34" xfId="0" applyFont="1" applyBorder="1" applyAlignment="1">
      <alignment horizontal="left" wrapText="1"/>
    </xf>
    <xf numFmtId="0" fontId="10" fillId="5" borderId="33" xfId="0" applyFont="1" applyFill="1" applyBorder="1" applyAlignment="1">
      <alignment horizontal="left" wrapText="1"/>
    </xf>
    <xf numFmtId="0" fontId="11" fillId="5" borderId="34" xfId="0" applyFont="1" applyFill="1" applyBorder="1" applyAlignment="1">
      <alignment horizontal="left" wrapText="1"/>
    </xf>
    <xf numFmtId="0" fontId="0" fillId="2" borderId="39" xfId="0" applyFill="1" applyBorder="1"/>
    <xf numFmtId="0" fontId="3" fillId="4" borderId="40" xfId="0" applyFont="1" applyFill="1" applyBorder="1" applyAlignment="1">
      <alignment horizontal="left" wrapText="1"/>
    </xf>
    <xf numFmtId="0" fontId="3" fillId="4" borderId="41" xfId="0" applyFont="1" applyFill="1" applyBorder="1" applyAlignment="1">
      <alignment horizontal="left" wrapText="1"/>
    </xf>
    <xf numFmtId="0" fontId="7" fillId="2" borderId="40" xfId="0" applyFont="1" applyFill="1" applyBorder="1" applyAlignment="1">
      <alignment horizontal="left" wrapText="1"/>
    </xf>
    <xf numFmtId="3" fontId="4" fillId="2" borderId="41" xfId="0" applyNumberFormat="1" applyFont="1" applyFill="1" applyBorder="1" applyAlignment="1">
      <alignment horizontal="left" wrapText="1"/>
    </xf>
    <xf numFmtId="3" fontId="5" fillId="2" borderId="40" xfId="0" applyNumberFormat="1" applyFont="1" applyFill="1" applyBorder="1" applyAlignment="1">
      <alignment horizontal="left" wrapText="1"/>
    </xf>
    <xf numFmtId="3" fontId="4" fillId="2" borderId="40" xfId="0" applyNumberFormat="1" applyFont="1" applyFill="1" applyBorder="1" applyAlignment="1">
      <alignment horizontal="left" wrapText="1"/>
    </xf>
    <xf numFmtId="0" fontId="8" fillId="2" borderId="42" xfId="0" applyFont="1" applyFill="1" applyBorder="1"/>
    <xf numFmtId="0" fontId="9" fillId="5" borderId="43" xfId="0" applyFont="1" applyFill="1" applyBorder="1" applyAlignment="1">
      <alignment horizontal="left" wrapText="1"/>
    </xf>
    <xf numFmtId="0" fontId="9" fillId="5" borderId="44" xfId="0" applyFont="1" applyFill="1" applyBorder="1" applyAlignment="1">
      <alignment horizontal="left" wrapText="1"/>
    </xf>
    <xf numFmtId="3" fontId="4" fillId="5" borderId="44" xfId="0" applyNumberFormat="1" applyFont="1" applyFill="1" applyBorder="1" applyAlignment="1">
      <alignment horizontal="left" wrapText="1"/>
    </xf>
    <xf numFmtId="0" fontId="9" fillId="5" borderId="33" xfId="0" applyFont="1" applyFill="1" applyBorder="1" applyAlignment="1">
      <alignment horizontal="left" wrapText="1"/>
    </xf>
    <xf numFmtId="0" fontId="9" fillId="5" borderId="34" xfId="0" applyFont="1" applyFill="1" applyBorder="1" applyAlignment="1">
      <alignment horizontal="left" wrapText="1"/>
    </xf>
    <xf numFmtId="3" fontId="5" fillId="5" borderId="33" xfId="0" applyNumberFormat="1" applyFont="1" applyFill="1" applyBorder="1" applyAlignment="1">
      <alignment horizontal="left" wrapText="1"/>
    </xf>
    <xf numFmtId="3" fontId="4" fillId="6" borderId="34" xfId="0" applyNumberFormat="1" applyFont="1" applyFill="1" applyBorder="1" applyAlignment="1">
      <alignment horizontal="left" wrapText="1"/>
    </xf>
    <xf numFmtId="0" fontId="9" fillId="5" borderId="38" xfId="0" applyFont="1" applyFill="1" applyBorder="1" applyAlignment="1">
      <alignment horizontal="left" wrapText="1"/>
    </xf>
    <xf numFmtId="0" fontId="9" fillId="5" borderId="37" xfId="0" applyFont="1" applyFill="1" applyBorder="1" applyAlignment="1">
      <alignment horizontal="left" wrapText="1"/>
    </xf>
    <xf numFmtId="0" fontId="9" fillId="5" borderId="36" xfId="0" applyFont="1" applyFill="1" applyBorder="1"/>
    <xf numFmtId="3" fontId="4" fillId="5" borderId="38" xfId="0" applyNumberFormat="1" applyFont="1" applyFill="1" applyBorder="1" applyAlignment="1">
      <alignment horizontal="left" wrapText="1"/>
    </xf>
    <xf numFmtId="3" fontId="5" fillId="5" borderId="37" xfId="0" applyNumberFormat="1" applyFont="1" applyFill="1" applyBorder="1" applyAlignment="1">
      <alignment horizontal="left" wrapText="1"/>
    </xf>
    <xf numFmtId="0" fontId="12" fillId="0" borderId="33" xfId="0" applyFont="1" applyBorder="1"/>
    <xf numFmtId="0" fontId="9" fillId="0" borderId="43" xfId="0" applyFont="1" applyBorder="1" applyAlignment="1">
      <alignment horizontal="left" wrapText="1"/>
    </xf>
    <xf numFmtId="3" fontId="4" fillId="0" borderId="44" xfId="0" applyNumberFormat="1" applyFont="1" applyBorder="1" applyAlignment="1">
      <alignment horizontal="left" wrapText="1"/>
    </xf>
    <xf numFmtId="0" fontId="9" fillId="2" borderId="39" xfId="0" applyFont="1" applyFill="1" applyBorder="1"/>
    <xf numFmtId="9" fontId="4" fillId="2" borderId="40" xfId="0" applyNumberFormat="1" applyFont="1" applyFill="1" applyBorder="1" applyAlignment="1">
      <alignment horizontal="center" wrapText="1"/>
    </xf>
    <xf numFmtId="0" fontId="7" fillId="5" borderId="37" xfId="0" applyFont="1" applyFill="1" applyBorder="1" applyAlignment="1">
      <alignment horizontal="left" wrapText="1"/>
    </xf>
    <xf numFmtId="0" fontId="7" fillId="5" borderId="38" xfId="0" applyFont="1" applyFill="1" applyBorder="1" applyAlignment="1">
      <alignment horizontal="left" wrapText="1"/>
    </xf>
    <xf numFmtId="3" fontId="4" fillId="0" borderId="38" xfId="0" applyNumberFormat="1" applyFont="1" applyBorder="1" applyAlignment="1">
      <alignment horizontal="center" vertical="center" wrapText="1"/>
    </xf>
    <xf numFmtId="9" fontId="4" fillId="0" borderId="37" xfId="0" applyNumberFormat="1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/>
    </xf>
    <xf numFmtId="3" fontId="4" fillId="0" borderId="38" xfId="0" applyNumberFormat="1" applyFont="1" applyBorder="1" applyAlignment="1">
      <alignment horizontal="left" wrapText="1"/>
    </xf>
    <xf numFmtId="3" fontId="4" fillId="0" borderId="34" xfId="0" applyNumberFormat="1" applyFont="1" applyBorder="1" applyAlignment="1">
      <alignment horizontal="center" vertical="center" wrapText="1"/>
    </xf>
    <xf numFmtId="9" fontId="4" fillId="0" borderId="33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left" wrapText="1"/>
    </xf>
    <xf numFmtId="0" fontId="7" fillId="0" borderId="34" xfId="0" applyFont="1" applyBorder="1" applyAlignment="1">
      <alignment horizontal="left" wrapText="1"/>
    </xf>
    <xf numFmtId="0" fontId="3" fillId="7" borderId="7" xfId="0" applyFont="1" applyFill="1" applyBorder="1" applyAlignment="1">
      <alignment horizontal="left" wrapText="1"/>
    </xf>
    <xf numFmtId="0" fontId="4" fillId="0" borderId="32" xfId="0" applyFont="1" applyBorder="1"/>
    <xf numFmtId="0" fontId="4" fillId="0" borderId="33" xfId="0" applyFont="1" applyBorder="1" applyAlignment="1">
      <alignment horizontal="left" wrapText="1"/>
    </xf>
    <xf numFmtId="0" fontId="4" fillId="0" borderId="34" xfId="0" applyFont="1" applyBorder="1" applyAlignment="1">
      <alignment horizontal="left" wrapText="1"/>
    </xf>
    <xf numFmtId="0" fontId="8" fillId="8" borderId="22" xfId="0" applyFont="1" applyFill="1" applyBorder="1" applyAlignment="1">
      <alignment horizontal="center" vertical="center"/>
    </xf>
    <xf numFmtId="0" fontId="8" fillId="2" borderId="6" xfId="0" applyFont="1" applyFill="1" applyBorder="1"/>
    <xf numFmtId="0" fontId="5" fillId="4" borderId="7" xfId="0" applyFont="1" applyFill="1" applyBorder="1" applyAlignment="1">
      <alignment horizontal="left" wrapText="1"/>
    </xf>
    <xf numFmtId="0" fontId="5" fillId="4" borderId="8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0" borderId="10" xfId="0" applyFont="1" applyBorder="1"/>
    <xf numFmtId="3" fontId="5" fillId="0" borderId="37" xfId="0" applyNumberFormat="1" applyFont="1" applyBorder="1" applyAlignment="1">
      <alignment horizontal="left" wrapText="1"/>
    </xf>
    <xf numFmtId="0" fontId="4" fillId="5" borderId="10" xfId="0" applyFont="1" applyFill="1" applyBorder="1"/>
    <xf numFmtId="0" fontId="4" fillId="5" borderId="33" xfId="0" applyFont="1" applyFill="1" applyBorder="1" applyAlignment="1">
      <alignment horizontal="left" wrapText="1"/>
    </xf>
    <xf numFmtId="0" fontId="4" fillId="5" borderId="34" xfId="0" applyFont="1" applyFill="1" applyBorder="1" applyAlignment="1">
      <alignment horizontal="left" wrapText="1"/>
    </xf>
    <xf numFmtId="0" fontId="4" fillId="0" borderId="43" xfId="0" applyFont="1" applyBorder="1" applyAlignment="1">
      <alignment horizontal="left" wrapText="1"/>
    </xf>
    <xf numFmtId="0" fontId="4" fillId="0" borderId="44" xfId="0" applyFont="1" applyBorder="1" applyAlignment="1">
      <alignment horizontal="left" wrapText="1"/>
    </xf>
    <xf numFmtId="3" fontId="4" fillId="0" borderId="13" xfId="0" applyNumberFormat="1" applyFont="1" applyBorder="1" applyAlignment="1">
      <alignment vertical="center" wrapText="1"/>
    </xf>
    <xf numFmtId="0" fontId="4" fillId="0" borderId="27" xfId="0" applyFont="1" applyBorder="1" applyAlignment="1">
      <alignment horizontal="left" wrapText="1"/>
    </xf>
    <xf numFmtId="3" fontId="4" fillId="0" borderId="0" xfId="0" applyNumberFormat="1" applyFont="1" applyAlignment="1">
      <alignment vertical="center" wrapText="1"/>
    </xf>
    <xf numFmtId="0" fontId="4" fillId="0" borderId="35" xfId="0" applyFont="1" applyBorder="1" applyAlignment="1">
      <alignment horizontal="left" wrapText="1"/>
    </xf>
    <xf numFmtId="0" fontId="4" fillId="0" borderId="45" xfId="0" applyFont="1" applyBorder="1" applyAlignment="1">
      <alignment horizontal="left" wrapText="1"/>
    </xf>
    <xf numFmtId="3" fontId="4" fillId="0" borderId="45" xfId="0" applyNumberFormat="1" applyFont="1" applyBorder="1" applyAlignment="1">
      <alignment horizontal="left" wrapText="1"/>
    </xf>
    <xf numFmtId="0" fontId="8" fillId="2" borderId="1" xfId="0" applyFont="1" applyFill="1" applyBorder="1"/>
    <xf numFmtId="0" fontId="5" fillId="4" borderId="43" xfId="0" applyFont="1" applyFill="1" applyBorder="1" applyAlignment="1">
      <alignment horizontal="left" wrapText="1"/>
    </xf>
    <xf numFmtId="0" fontId="5" fillId="4" borderId="44" xfId="0" applyFont="1" applyFill="1" applyBorder="1" applyAlignment="1">
      <alignment horizontal="left" wrapText="1"/>
    </xf>
    <xf numFmtId="0" fontId="4" fillId="2" borderId="43" xfId="0" applyFont="1" applyFill="1" applyBorder="1" applyAlignment="1">
      <alignment horizontal="left" wrapText="1"/>
    </xf>
    <xf numFmtId="3" fontId="4" fillId="2" borderId="44" xfId="0" applyNumberFormat="1" applyFont="1" applyFill="1" applyBorder="1" applyAlignment="1">
      <alignment horizontal="left" wrapText="1"/>
    </xf>
    <xf numFmtId="3" fontId="5" fillId="2" borderId="43" xfId="0" applyNumberFormat="1" applyFont="1" applyFill="1" applyBorder="1" applyAlignment="1">
      <alignment horizontal="left" wrapText="1"/>
    </xf>
    <xf numFmtId="3" fontId="4" fillId="2" borderId="43" xfId="0" applyNumberFormat="1" applyFont="1" applyFill="1" applyBorder="1" applyAlignment="1">
      <alignment horizontal="left" wrapText="1"/>
    </xf>
    <xf numFmtId="0" fontId="8" fillId="2" borderId="46" xfId="0" applyFont="1" applyFill="1" applyBorder="1"/>
    <xf numFmtId="0" fontId="4" fillId="0" borderId="4" xfId="0" applyFont="1" applyBorder="1"/>
    <xf numFmtId="0" fontId="7" fillId="0" borderId="47" xfId="0" applyFont="1" applyBorder="1" applyAlignment="1">
      <alignment horizontal="left" wrapText="1"/>
    </xf>
    <xf numFmtId="0" fontId="7" fillId="0" borderId="48" xfId="0" applyFont="1" applyBorder="1" applyAlignment="1">
      <alignment horizontal="left" wrapText="1"/>
    </xf>
    <xf numFmtId="3" fontId="4" fillId="0" borderId="48" xfId="0" applyNumberFormat="1" applyFont="1" applyBorder="1" applyAlignment="1">
      <alignment horizontal="left" wrapText="1"/>
    </xf>
    <xf numFmtId="0" fontId="8" fillId="0" borderId="5" xfId="0" applyFont="1" applyBorder="1" applyAlignment="1">
      <alignment horizontal="center" vertical="center"/>
    </xf>
    <xf numFmtId="0" fontId="4" fillId="5" borderId="32" xfId="0" applyFont="1" applyFill="1" applyBorder="1"/>
    <xf numFmtId="0" fontId="4" fillId="0" borderId="49" xfId="0" applyFont="1" applyBorder="1"/>
    <xf numFmtId="0" fontId="4" fillId="0" borderId="50" xfId="0" applyFont="1" applyBorder="1" applyAlignment="1">
      <alignment horizontal="left" wrapText="1"/>
    </xf>
    <xf numFmtId="0" fontId="4" fillId="0" borderId="51" xfId="0" applyFont="1" applyBorder="1" applyAlignment="1">
      <alignment horizontal="left" wrapText="1"/>
    </xf>
    <xf numFmtId="3" fontId="4" fillId="0" borderId="51" xfId="0" applyNumberFormat="1" applyFont="1" applyBorder="1" applyAlignment="1">
      <alignment horizontal="left" wrapText="1"/>
    </xf>
    <xf numFmtId="3" fontId="4" fillId="0" borderId="0" xfId="0" applyNumberFormat="1" applyFont="1" applyAlignment="1">
      <alignment vertical="center" wrapText="1"/>
    </xf>
    <xf numFmtId="9" fontId="4" fillId="0" borderId="21" xfId="0" applyNumberFormat="1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3" fontId="8" fillId="0" borderId="22" xfId="0" applyNumberFormat="1" applyFont="1" applyBorder="1" applyAlignment="1">
      <alignment horizontal="center" vertical="center"/>
    </xf>
    <xf numFmtId="0" fontId="0" fillId="9" borderId="4" xfId="0" applyFill="1" applyBorder="1"/>
    <xf numFmtId="0" fontId="7" fillId="9" borderId="2" xfId="0" applyFont="1" applyFill="1" applyBorder="1" applyAlignment="1">
      <alignment horizontal="left" wrapText="1"/>
    </xf>
    <xf numFmtId="0" fontId="7" fillId="9" borderId="3" xfId="0" applyFont="1" applyFill="1" applyBorder="1" applyAlignment="1">
      <alignment horizontal="left" wrapText="1"/>
    </xf>
    <xf numFmtId="3" fontId="4" fillId="9" borderId="3" xfId="0" applyNumberFormat="1" applyFont="1" applyFill="1" applyBorder="1" applyAlignment="1">
      <alignment horizontal="left" wrapText="1"/>
    </xf>
    <xf numFmtId="3" fontId="5" fillId="9" borderId="2" xfId="0" applyNumberFormat="1" applyFont="1" applyFill="1" applyBorder="1" applyAlignment="1">
      <alignment horizontal="left" wrapText="1"/>
    </xf>
    <xf numFmtId="9" fontId="4" fillId="9" borderId="2" xfId="0" applyNumberFormat="1" applyFont="1" applyFill="1" applyBorder="1" applyAlignment="1">
      <alignment horizontal="center" wrapText="1"/>
    </xf>
    <xf numFmtId="0" fontId="8" fillId="9" borderId="5" xfId="0" applyFont="1" applyFill="1" applyBorder="1"/>
    <xf numFmtId="0" fontId="0" fillId="9" borderId="10" xfId="0" applyFill="1" applyBorder="1"/>
    <xf numFmtId="0" fontId="7" fillId="9" borderId="21" xfId="0" applyFont="1" applyFill="1" applyBorder="1" applyAlignment="1">
      <alignment horizontal="left" wrapText="1"/>
    </xf>
    <xf numFmtId="0" fontId="7" fillId="9" borderId="0" xfId="0" applyFont="1" applyFill="1" applyAlignment="1">
      <alignment horizontal="left" wrapText="1"/>
    </xf>
    <xf numFmtId="3" fontId="3" fillId="10" borderId="21" xfId="0" applyNumberFormat="1" applyFont="1" applyFill="1" applyBorder="1" applyAlignment="1">
      <alignment horizontal="left" wrapText="1"/>
    </xf>
    <xf numFmtId="3" fontId="5" fillId="8" borderId="0" xfId="0" applyNumberFormat="1" applyFont="1" applyFill="1" applyAlignment="1">
      <alignment horizontal="center" wrapText="1"/>
    </xf>
    <xf numFmtId="3" fontId="5" fillId="9" borderId="21" xfId="0" applyNumberFormat="1" applyFont="1" applyFill="1" applyBorder="1" applyAlignment="1">
      <alignment horizontal="left" wrapText="1"/>
    </xf>
    <xf numFmtId="3" fontId="13" fillId="8" borderId="0" xfId="0" applyNumberFormat="1" applyFont="1" applyFill="1" applyAlignment="1">
      <alignment horizontal="center" wrapText="1"/>
    </xf>
    <xf numFmtId="9" fontId="5" fillId="9" borderId="21" xfId="0" applyNumberFormat="1" applyFont="1" applyFill="1" applyBorder="1" applyAlignment="1">
      <alignment horizontal="center" wrapText="1"/>
    </xf>
    <xf numFmtId="3" fontId="14" fillId="9" borderId="22" xfId="0" applyNumberFormat="1" applyFont="1" applyFill="1" applyBorder="1"/>
    <xf numFmtId="3" fontId="15" fillId="8" borderId="0" xfId="0" applyNumberFormat="1" applyFont="1" applyFill="1" applyAlignment="1">
      <alignment horizontal="center" wrapText="1"/>
    </xf>
    <xf numFmtId="9" fontId="4" fillId="9" borderId="21" xfId="0" applyNumberFormat="1" applyFont="1" applyFill="1" applyBorder="1" applyAlignment="1">
      <alignment horizontal="center" wrapText="1"/>
    </xf>
    <xf numFmtId="0" fontId="8" fillId="9" borderId="22" xfId="0" applyFont="1" applyFill="1" applyBorder="1"/>
    <xf numFmtId="0" fontId="1" fillId="9" borderId="5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left" wrapText="1"/>
    </xf>
    <xf numFmtId="0" fontId="3" fillId="9" borderId="3" xfId="0" applyFont="1" applyFill="1" applyBorder="1" applyAlignment="1">
      <alignment horizontal="left" wrapText="1"/>
    </xf>
    <xf numFmtId="3" fontId="5" fillId="9" borderId="3" xfId="0" applyNumberFormat="1" applyFont="1" applyFill="1" applyBorder="1" applyAlignment="1">
      <alignment horizontal="center" wrapText="1"/>
    </xf>
    <xf numFmtId="3" fontId="16" fillId="9" borderId="3" xfId="0" applyNumberFormat="1" applyFont="1" applyFill="1" applyBorder="1" applyAlignment="1">
      <alignment horizontal="center" wrapText="1"/>
    </xf>
    <xf numFmtId="10" fontId="16" fillId="9" borderId="2" xfId="0" applyNumberFormat="1" applyFont="1" applyFill="1" applyBorder="1" applyAlignment="1">
      <alignment horizontal="center" wrapText="1"/>
    </xf>
    <xf numFmtId="0" fontId="6" fillId="9" borderId="5" xfId="0" applyFont="1" applyFill="1" applyBorder="1"/>
    <xf numFmtId="0" fontId="1" fillId="9" borderId="53" xfId="0" applyFont="1" applyFill="1" applyBorder="1" applyAlignment="1">
      <alignment horizontal="center"/>
    </xf>
    <xf numFmtId="0" fontId="3" fillId="9" borderId="21" xfId="0" applyFont="1" applyFill="1" applyBorder="1" applyAlignment="1">
      <alignment horizontal="left" wrapText="1"/>
    </xf>
    <xf numFmtId="0" fontId="3" fillId="9" borderId="0" xfId="0" applyFont="1" applyFill="1" applyAlignment="1">
      <alignment horizontal="left" wrapText="1"/>
    </xf>
    <xf numFmtId="3" fontId="5" fillId="9" borderId="0" xfId="0" applyNumberFormat="1" applyFont="1" applyFill="1" applyAlignment="1">
      <alignment horizontal="center" wrapText="1"/>
    </xf>
    <xf numFmtId="3" fontId="16" fillId="9" borderId="0" xfId="0" applyNumberFormat="1" applyFont="1" applyFill="1" applyAlignment="1">
      <alignment horizontal="center" wrapText="1"/>
    </xf>
    <xf numFmtId="10" fontId="16" fillId="9" borderId="21" xfId="0" applyNumberFormat="1" applyFont="1" applyFill="1" applyBorder="1" applyAlignment="1">
      <alignment horizontal="center" wrapText="1"/>
    </xf>
    <xf numFmtId="0" fontId="6" fillId="9" borderId="22" xfId="0" applyFont="1" applyFill="1" applyBorder="1"/>
    <xf numFmtId="0" fontId="1" fillId="9" borderId="54" xfId="0" applyFont="1" applyFill="1" applyBorder="1" applyAlignment="1">
      <alignment horizontal="center"/>
    </xf>
    <xf numFmtId="0" fontId="3" fillId="9" borderId="20" xfId="0" applyFont="1" applyFill="1" applyBorder="1" applyAlignment="1">
      <alignment horizontal="left" wrapText="1"/>
    </xf>
    <xf numFmtId="0" fontId="3" fillId="9" borderId="19" xfId="0" applyFont="1" applyFill="1" applyBorder="1" applyAlignment="1">
      <alignment horizontal="left" wrapText="1"/>
    </xf>
    <xf numFmtId="3" fontId="5" fillId="9" borderId="19" xfId="0" applyNumberFormat="1" applyFont="1" applyFill="1" applyBorder="1" applyAlignment="1">
      <alignment horizontal="center" wrapText="1"/>
    </xf>
    <xf numFmtId="3" fontId="5" fillId="9" borderId="20" xfId="0" applyNumberFormat="1" applyFont="1" applyFill="1" applyBorder="1" applyAlignment="1">
      <alignment horizontal="left" wrapText="1"/>
    </xf>
    <xf numFmtId="3" fontId="16" fillId="9" borderId="19" xfId="0" applyNumberFormat="1" applyFont="1" applyFill="1" applyBorder="1" applyAlignment="1">
      <alignment horizontal="center" wrapText="1"/>
    </xf>
    <xf numFmtId="10" fontId="16" fillId="9" borderId="20" xfId="0" applyNumberFormat="1" applyFont="1" applyFill="1" applyBorder="1" applyAlignment="1">
      <alignment horizontal="center" wrapText="1"/>
    </xf>
    <xf numFmtId="0" fontId="6" fillId="9" borderId="29" xfId="0" applyFont="1" applyFill="1" applyBorder="1"/>
    <xf numFmtId="3" fontId="4" fillId="0" borderId="0" xfId="0" applyNumberFormat="1" applyFont="1" applyAlignment="1">
      <alignment horizontal="center" vertical="center" wrapText="1"/>
    </xf>
    <xf numFmtId="0" fontId="9" fillId="11" borderId="10" xfId="0" applyFont="1" applyFill="1" applyBorder="1"/>
    <xf numFmtId="0" fontId="7" fillId="11" borderId="27" xfId="0" applyFont="1" applyFill="1" applyBorder="1" applyAlignment="1">
      <alignment horizontal="left" wrapText="1"/>
    </xf>
    <xf numFmtId="0" fontId="7" fillId="11" borderId="28" xfId="0" applyFont="1" applyFill="1" applyBorder="1" applyAlignment="1">
      <alignment horizontal="left" wrapText="1"/>
    </xf>
    <xf numFmtId="3" fontId="4" fillId="11" borderId="28" xfId="0" applyNumberFormat="1" applyFont="1" applyFill="1" applyBorder="1" applyAlignment="1">
      <alignment horizontal="left" wrapText="1"/>
    </xf>
    <xf numFmtId="3" fontId="5" fillId="11" borderId="21" xfId="0" applyNumberFormat="1" applyFont="1" applyFill="1" applyBorder="1" applyAlignment="1">
      <alignment horizontal="left" wrapText="1"/>
    </xf>
    <xf numFmtId="0" fontId="0" fillId="11" borderId="0" xfId="0" applyFill="1"/>
    <xf numFmtId="0" fontId="9" fillId="11" borderId="4" xfId="0" applyFont="1" applyFill="1" applyBorder="1"/>
    <xf numFmtId="0" fontId="7" fillId="11" borderId="2" xfId="0" applyFont="1" applyFill="1" applyBorder="1" applyAlignment="1">
      <alignment horizontal="left" wrapText="1"/>
    </xf>
    <xf numFmtId="0" fontId="7" fillId="11" borderId="3" xfId="0" applyFont="1" applyFill="1" applyBorder="1" applyAlignment="1">
      <alignment horizontal="left" wrapText="1"/>
    </xf>
    <xf numFmtId="3" fontId="4" fillId="11" borderId="3" xfId="0" applyNumberFormat="1" applyFont="1" applyFill="1" applyBorder="1" applyAlignment="1">
      <alignment horizontal="left" wrapText="1"/>
    </xf>
    <xf numFmtId="3" fontId="5" fillId="11" borderId="2" xfId="0" applyNumberFormat="1" applyFont="1" applyFill="1" applyBorder="1" applyAlignment="1">
      <alignment horizontal="left" wrapText="1"/>
    </xf>
    <xf numFmtId="0" fontId="9" fillId="11" borderId="33" xfId="0" applyFont="1" applyFill="1" applyBorder="1" applyAlignment="1">
      <alignment horizontal="left" wrapText="1"/>
    </xf>
    <xf numFmtId="0" fontId="9" fillId="11" borderId="34" xfId="0" applyFont="1" applyFill="1" applyBorder="1" applyAlignment="1">
      <alignment horizontal="left" wrapText="1"/>
    </xf>
    <xf numFmtId="3" fontId="4" fillId="11" borderId="34" xfId="0" applyNumberFormat="1" applyFont="1" applyFill="1" applyBorder="1" applyAlignment="1">
      <alignment horizontal="left" wrapText="1"/>
    </xf>
    <xf numFmtId="0" fontId="9" fillId="11" borderId="32" xfId="0" applyFont="1" applyFill="1" applyBorder="1"/>
    <xf numFmtId="0" fontId="9" fillId="11" borderId="38" xfId="0" applyFont="1" applyFill="1" applyBorder="1" applyAlignment="1">
      <alignment horizontal="left" wrapText="1"/>
    </xf>
    <xf numFmtId="0" fontId="9" fillId="11" borderId="37" xfId="0" applyFont="1" applyFill="1" applyBorder="1" applyAlignment="1">
      <alignment horizontal="left" wrapText="1"/>
    </xf>
    <xf numFmtId="3" fontId="5" fillId="11" borderId="33" xfId="0" applyNumberFormat="1" applyFont="1" applyFill="1" applyBorder="1" applyAlignment="1">
      <alignment horizontal="left" wrapText="1"/>
    </xf>
    <xf numFmtId="3" fontId="5" fillId="11" borderId="37" xfId="0" applyNumberFormat="1" applyFont="1" applyFill="1" applyBorder="1" applyAlignment="1">
      <alignment horizontal="left" wrapText="1"/>
    </xf>
    <xf numFmtId="0" fontId="9" fillId="11" borderId="36" xfId="0" applyFont="1" applyFill="1" applyBorder="1"/>
    <xf numFmtId="3" fontId="4" fillId="11" borderId="38" xfId="0" applyNumberFormat="1" applyFont="1" applyFill="1" applyBorder="1" applyAlignment="1">
      <alignment horizontal="left" wrapText="1"/>
    </xf>
    <xf numFmtId="0" fontId="9" fillId="0" borderId="21" xfId="0" applyFont="1" applyBorder="1" applyAlignment="1">
      <alignment horizontal="left" wrapText="1"/>
    </xf>
    <xf numFmtId="0" fontId="9" fillId="0" borderId="0" xfId="0" applyFont="1" applyBorder="1" applyAlignment="1">
      <alignment horizontal="left" wrapText="1"/>
    </xf>
    <xf numFmtId="3" fontId="4" fillId="0" borderId="0" xfId="0" applyNumberFormat="1" applyFont="1" applyBorder="1" applyAlignment="1">
      <alignment horizontal="left" wrapText="1"/>
    </xf>
    <xf numFmtId="0" fontId="10" fillId="11" borderId="33" xfId="0" applyFont="1" applyFill="1" applyBorder="1" applyAlignment="1">
      <alignment horizontal="left" wrapText="1"/>
    </xf>
    <xf numFmtId="0" fontId="9" fillId="11" borderId="43" xfId="0" applyFont="1" applyFill="1" applyBorder="1" applyAlignment="1">
      <alignment horizontal="left" wrapText="1"/>
    </xf>
    <xf numFmtId="0" fontId="19" fillId="0" borderId="10" xfId="0" applyFont="1" applyBorder="1"/>
    <xf numFmtId="0" fontId="19" fillId="0" borderId="43" xfId="0" applyFont="1" applyBorder="1" applyAlignment="1">
      <alignment horizontal="left" wrapText="1"/>
    </xf>
    <xf numFmtId="0" fontId="19" fillId="0" borderId="44" xfId="0" applyFont="1" applyBorder="1" applyAlignment="1">
      <alignment horizontal="left" wrapText="1"/>
    </xf>
    <xf numFmtId="3" fontId="19" fillId="0" borderId="44" xfId="0" applyNumberFormat="1" applyFont="1" applyBorder="1" applyAlignment="1">
      <alignment horizontal="left" wrapText="1"/>
    </xf>
    <xf numFmtId="3" fontId="13" fillId="5" borderId="37" xfId="0" applyNumberFormat="1" applyFont="1" applyFill="1" applyBorder="1" applyAlignment="1">
      <alignment horizontal="left" wrapText="1"/>
    </xf>
    <xf numFmtId="0" fontId="20" fillId="0" borderId="0" xfId="0" applyFont="1"/>
    <xf numFmtId="0" fontId="7" fillId="11" borderId="37" xfId="0" applyFont="1" applyFill="1" applyBorder="1" applyAlignment="1">
      <alignment horizontal="left" wrapText="1"/>
    </xf>
    <xf numFmtId="0" fontId="7" fillId="11" borderId="33" xfId="0" applyFont="1" applyFill="1" applyBorder="1" applyAlignment="1">
      <alignment horizontal="left" wrapText="1"/>
    </xf>
    <xf numFmtId="0" fontId="7" fillId="11" borderId="34" xfId="0" applyFont="1" applyFill="1" applyBorder="1" applyAlignment="1">
      <alignment horizontal="left" wrapText="1"/>
    </xf>
    <xf numFmtId="0" fontId="4" fillId="11" borderId="32" xfId="0" applyFont="1" applyFill="1" applyBorder="1"/>
    <xf numFmtId="0" fontId="4" fillId="11" borderId="33" xfId="0" applyFont="1" applyFill="1" applyBorder="1" applyAlignment="1">
      <alignment horizontal="left" wrapText="1"/>
    </xf>
    <xf numFmtId="0" fontId="4" fillId="11" borderId="34" xfId="0" applyFont="1" applyFill="1" applyBorder="1" applyAlignment="1">
      <alignment horizontal="left" wrapText="1"/>
    </xf>
    <xf numFmtId="0" fontId="0" fillId="5" borderId="0" xfId="0" applyFill="1"/>
    <xf numFmtId="0" fontId="0" fillId="0" borderId="53" xfId="0" applyBorder="1" applyAlignment="1">
      <alignment horizontal="center"/>
    </xf>
    <xf numFmtId="0" fontId="4" fillId="11" borderId="10" xfId="0" applyFont="1" applyFill="1" applyBorder="1"/>
    <xf numFmtId="0" fontId="4" fillId="11" borderId="11" xfId="0" applyFont="1" applyFill="1" applyBorder="1" applyAlignment="1">
      <alignment horizontal="left" wrapText="1"/>
    </xf>
    <xf numFmtId="0" fontId="4" fillId="11" borderId="12" xfId="0" applyFont="1" applyFill="1" applyBorder="1" applyAlignment="1">
      <alignment horizontal="left" wrapText="1"/>
    </xf>
    <xf numFmtId="3" fontId="4" fillId="11" borderId="12" xfId="0" applyNumberFormat="1" applyFont="1" applyFill="1" applyBorder="1" applyAlignment="1">
      <alignment horizontal="left" wrapText="1"/>
    </xf>
    <xf numFmtId="0" fontId="4" fillId="6" borderId="10" xfId="0" applyFont="1" applyFill="1" applyBorder="1"/>
    <xf numFmtId="0" fontId="4" fillId="6" borderId="27" xfId="0" applyFont="1" applyFill="1" applyBorder="1" applyAlignment="1">
      <alignment horizontal="left" wrapText="1"/>
    </xf>
    <xf numFmtId="0" fontId="4" fillId="6" borderId="28" xfId="0" applyFont="1" applyFill="1" applyBorder="1" applyAlignment="1">
      <alignment horizontal="left" wrapText="1"/>
    </xf>
    <xf numFmtId="3" fontId="4" fillId="6" borderId="28" xfId="0" applyNumberFormat="1" applyFont="1" applyFill="1" applyBorder="1" applyAlignment="1">
      <alignment horizontal="left" wrapText="1"/>
    </xf>
    <xf numFmtId="3" fontId="5" fillId="6" borderId="21" xfId="0" applyNumberFormat="1" applyFont="1" applyFill="1" applyBorder="1" applyAlignment="1">
      <alignment horizontal="left" wrapText="1"/>
    </xf>
    <xf numFmtId="0" fontId="0" fillId="6" borderId="0" xfId="0" applyFill="1"/>
    <xf numFmtId="0" fontId="4" fillId="6" borderId="32" xfId="0" applyFont="1" applyFill="1" applyBorder="1"/>
    <xf numFmtId="0" fontId="4" fillId="6" borderId="33" xfId="0" applyFont="1" applyFill="1" applyBorder="1" applyAlignment="1">
      <alignment horizontal="left" wrapText="1"/>
    </xf>
    <xf numFmtId="0" fontId="4" fillId="6" borderId="34" xfId="0" applyFont="1" applyFill="1" applyBorder="1" applyAlignment="1">
      <alignment horizontal="left" wrapText="1"/>
    </xf>
    <xf numFmtId="0" fontId="4" fillId="6" borderId="43" xfId="0" applyFont="1" applyFill="1" applyBorder="1" applyAlignment="1">
      <alignment horizontal="left" wrapText="1"/>
    </xf>
    <xf numFmtId="0" fontId="4" fillId="6" borderId="44" xfId="0" applyFont="1" applyFill="1" applyBorder="1" applyAlignment="1">
      <alignment horizontal="left" wrapText="1"/>
    </xf>
    <xf numFmtId="3" fontId="4" fillId="6" borderId="44" xfId="0" applyNumberFormat="1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1"/>
  <sheetViews>
    <sheetView tabSelected="1" topLeftCell="C37" workbookViewId="0">
      <selection activeCell="P100" sqref="P100"/>
    </sheetView>
  </sheetViews>
  <sheetFormatPr defaultRowHeight="14.4" x14ac:dyDescent="0.3"/>
  <cols>
    <col min="1" max="1" width="15.33203125" customWidth="1"/>
    <col min="2" max="2" width="32.77734375" customWidth="1"/>
    <col min="3" max="3" width="14.33203125" customWidth="1"/>
    <col min="4" max="4" width="32.88671875" customWidth="1"/>
    <col min="5" max="5" width="16.109375" customWidth="1"/>
    <col min="6" max="6" width="16.44140625" customWidth="1"/>
    <col min="7" max="7" width="14.6640625" customWidth="1"/>
    <col min="8" max="8" width="13" customWidth="1"/>
    <col min="10" max="10" width="30.109375" customWidth="1"/>
  </cols>
  <sheetData>
    <row r="1" spans="1:16" ht="15" thickBot="1" x14ac:dyDescent="0.35">
      <c r="A1" s="1"/>
      <c r="B1" s="2"/>
      <c r="C1" s="3"/>
      <c r="D1" s="2"/>
      <c r="E1" s="4" t="s">
        <v>0</v>
      </c>
      <c r="F1" s="5"/>
      <c r="G1" s="6"/>
      <c r="H1" s="7"/>
      <c r="K1" t="s">
        <v>0</v>
      </c>
    </row>
    <row r="2" spans="1:16" ht="27.6" x14ac:dyDescent="0.3">
      <c r="A2" s="8"/>
      <c r="B2" s="9" t="s">
        <v>1</v>
      </c>
      <c r="C2" s="10" t="s">
        <v>163</v>
      </c>
      <c r="D2" s="9" t="s">
        <v>2</v>
      </c>
      <c r="E2" s="11" t="s">
        <v>3</v>
      </c>
      <c r="F2" s="12" t="s">
        <v>4</v>
      </c>
      <c r="G2" s="13" t="s">
        <v>5</v>
      </c>
      <c r="H2" s="14" t="s">
        <v>6</v>
      </c>
      <c r="I2" s="15" t="s">
        <v>7</v>
      </c>
      <c r="K2" t="s">
        <v>3</v>
      </c>
      <c r="L2" t="s">
        <v>4</v>
      </c>
      <c r="M2" t="s">
        <v>5</v>
      </c>
      <c r="N2" t="s">
        <v>6</v>
      </c>
      <c r="O2" t="s">
        <v>7</v>
      </c>
    </row>
    <row r="3" spans="1:16" ht="15" thickBot="1" x14ac:dyDescent="0.35">
      <c r="A3" s="16"/>
      <c r="B3" s="17" t="s">
        <v>8</v>
      </c>
      <c r="C3" s="18"/>
      <c r="D3" s="19"/>
      <c r="E3" s="20"/>
      <c r="F3" s="21"/>
      <c r="G3" s="20"/>
      <c r="H3" s="22"/>
      <c r="I3" s="23"/>
    </row>
    <row r="4" spans="1:16" ht="15" thickTop="1" x14ac:dyDescent="0.3">
      <c r="A4" s="24" t="s">
        <v>9</v>
      </c>
      <c r="B4" s="25" t="s">
        <v>10</v>
      </c>
      <c r="C4" s="26"/>
      <c r="D4" s="25" t="s">
        <v>11</v>
      </c>
      <c r="E4" s="27">
        <v>700350</v>
      </c>
      <c r="F4" s="28">
        <f>E4/0.87+E4/0.87*15.2%</f>
        <v>927360</v>
      </c>
      <c r="G4" s="29">
        <f>SUM(F4:F5)</f>
        <v>927360</v>
      </c>
      <c r="H4" s="30">
        <f>G4*H106/G106</f>
        <v>9.0169311371250185E-2</v>
      </c>
      <c r="I4" s="31">
        <f>COUNTA(B4:B5)</f>
        <v>2</v>
      </c>
      <c r="K4">
        <v>700350</v>
      </c>
      <c r="L4">
        <f>K4/0.87+K4/0.87*15.2%</f>
        <v>927360</v>
      </c>
      <c r="M4">
        <f>SUM(L4:L5)</f>
        <v>927360</v>
      </c>
      <c r="N4">
        <f>M4*N106/M106</f>
        <v>9.0169311371250185E-2</v>
      </c>
      <c r="O4">
        <f>COUNTA(H4:H5)</f>
        <v>1</v>
      </c>
    </row>
    <row r="5" spans="1:16" ht="15" thickBot="1" x14ac:dyDescent="0.35">
      <c r="A5" s="32" t="s">
        <v>9</v>
      </c>
      <c r="B5" s="33" t="s">
        <v>12</v>
      </c>
      <c r="C5" s="34"/>
      <c r="D5" s="33" t="s">
        <v>13</v>
      </c>
      <c r="E5" s="35"/>
      <c r="F5" s="36"/>
      <c r="G5" s="37"/>
      <c r="H5" s="38"/>
      <c r="I5" s="39"/>
    </row>
    <row r="6" spans="1:16" ht="28.2" thickBot="1" x14ac:dyDescent="0.35">
      <c r="A6" s="40"/>
      <c r="B6" s="41" t="s">
        <v>14</v>
      </c>
      <c r="C6" s="42"/>
      <c r="D6" s="43"/>
      <c r="E6" s="44"/>
      <c r="F6" s="45"/>
      <c r="G6" s="44"/>
      <c r="H6" s="46"/>
      <c r="I6" s="47"/>
    </row>
    <row r="7" spans="1:16" ht="27.6" x14ac:dyDescent="0.3">
      <c r="A7" s="48" t="s">
        <v>15</v>
      </c>
      <c r="B7" s="49" t="s">
        <v>16</v>
      </c>
      <c r="C7" s="50"/>
      <c r="D7" s="49" t="s">
        <v>17</v>
      </c>
      <c r="E7" s="51"/>
      <c r="F7" s="52">
        <v>76650</v>
      </c>
      <c r="G7" s="37">
        <f>SUM(F7:F11)</f>
        <v>351753.44827586203</v>
      </c>
      <c r="H7" s="38">
        <f>G7/G106*H106</f>
        <v>3.4201783777063011E-2</v>
      </c>
      <c r="I7" s="39">
        <f>COUNTA(F7:F11)</f>
        <v>5</v>
      </c>
      <c r="L7">
        <v>76650</v>
      </c>
      <c r="M7">
        <f>SUM(L7:L11)</f>
        <v>351753.44827586203</v>
      </c>
      <c r="N7">
        <f>M7/M106*N106</f>
        <v>3.4201783777063011E-2</v>
      </c>
      <c r="O7">
        <f>COUNTA(L7:L11)</f>
        <v>5</v>
      </c>
    </row>
    <row r="8" spans="1:16" x14ac:dyDescent="0.3">
      <c r="A8" s="24" t="s">
        <v>15</v>
      </c>
      <c r="B8" s="53" t="s">
        <v>18</v>
      </c>
      <c r="C8" s="54"/>
      <c r="D8" s="53"/>
      <c r="E8" s="55">
        <v>60000</v>
      </c>
      <c r="F8" s="56">
        <f>E8/0.87+E8/0.87*15.2%</f>
        <v>79448.275862068956</v>
      </c>
      <c r="G8" s="37"/>
      <c r="H8" s="38"/>
      <c r="I8" s="39"/>
      <c r="K8">
        <v>60000</v>
      </c>
      <c r="L8">
        <f>K8/0.87+K8/0.87*15.2%</f>
        <v>79448.275862068956</v>
      </c>
    </row>
    <row r="9" spans="1:16" x14ac:dyDescent="0.3">
      <c r="A9" s="24" t="s">
        <v>15</v>
      </c>
      <c r="B9" s="53" t="s">
        <v>19</v>
      </c>
      <c r="C9" s="54"/>
      <c r="D9" s="53"/>
      <c r="E9" s="55">
        <v>60000</v>
      </c>
      <c r="F9" s="56">
        <f>E9/0.87+E9/0.87*15.2%</f>
        <v>79448.275862068956</v>
      </c>
      <c r="G9" s="37"/>
      <c r="H9" s="38"/>
      <c r="I9" s="39"/>
      <c r="K9">
        <v>60000</v>
      </c>
      <c r="L9">
        <f>K9/0.87+K9/0.87*15.2%</f>
        <v>79448.275862068956</v>
      </c>
    </row>
    <row r="10" spans="1:16" s="219" customFormat="1" x14ac:dyDescent="0.3">
      <c r="A10" s="214" t="s">
        <v>15</v>
      </c>
      <c r="B10" s="215" t="s">
        <v>20</v>
      </c>
      <c r="C10" s="216"/>
      <c r="D10" s="215"/>
      <c r="E10" s="217">
        <v>50000</v>
      </c>
      <c r="F10" s="218">
        <f>E10/0.87+E10/0.87*15.2%</f>
        <v>66206.89655172413</v>
      </c>
      <c r="G10" s="37"/>
      <c r="H10" s="38"/>
      <c r="I10" s="39"/>
      <c r="K10" s="219">
        <v>50000</v>
      </c>
      <c r="L10" s="219">
        <f>K10/0.87+K10/0.87*15.2%</f>
        <v>66206.89655172413</v>
      </c>
      <c r="P10" s="219">
        <f>L10</f>
        <v>66206.89655172413</v>
      </c>
    </row>
    <row r="11" spans="1:16" ht="15" thickBot="1" x14ac:dyDescent="0.35">
      <c r="A11" s="32" t="s">
        <v>15</v>
      </c>
      <c r="B11" s="33" t="s">
        <v>21</v>
      </c>
      <c r="C11" s="34"/>
      <c r="D11" s="33" t="s">
        <v>22</v>
      </c>
      <c r="E11" s="57">
        <v>50000</v>
      </c>
      <c r="F11" s="58">
        <f>E11</f>
        <v>50000</v>
      </c>
      <c r="G11" s="59"/>
      <c r="H11" s="60"/>
      <c r="I11" s="61"/>
      <c r="K11">
        <v>50000</v>
      </c>
      <c r="L11">
        <f>K11</f>
        <v>50000</v>
      </c>
    </row>
    <row r="12" spans="1:16" x14ac:dyDescent="0.3">
      <c r="A12" s="24" t="s">
        <v>23</v>
      </c>
      <c r="B12" s="62" t="s">
        <v>24</v>
      </c>
      <c r="C12" s="63"/>
      <c r="D12" s="62" t="s">
        <v>25</v>
      </c>
      <c r="E12" s="64">
        <v>150075</v>
      </c>
      <c r="F12" s="56">
        <f>E12/0.87+E12/0.87*15.2%</f>
        <v>198720</v>
      </c>
      <c r="G12" s="37">
        <f>SUM(F12:F14)</f>
        <v>284774.40000000002</v>
      </c>
      <c r="H12" s="38">
        <f>G12/G106*H106</f>
        <v>2.7689259342823663E-2</v>
      </c>
      <c r="I12" s="65">
        <f>COUNTA(E12:E14)</f>
        <v>2</v>
      </c>
      <c r="K12">
        <v>150075</v>
      </c>
      <c r="L12">
        <f>K12/0.87+K12/0.87*15.2%</f>
        <v>198720</v>
      </c>
      <c r="M12">
        <f>SUM(L12:L14)</f>
        <v>284774.40000000002</v>
      </c>
      <c r="N12">
        <f>M12/M106*N106</f>
        <v>2.7689259342823663E-2</v>
      </c>
      <c r="O12">
        <f>COUNTA(K12:K14)</f>
        <v>2</v>
      </c>
    </row>
    <row r="13" spans="1:16" x14ac:dyDescent="0.3">
      <c r="A13" s="24" t="s">
        <v>23</v>
      </c>
      <c r="B13" s="62" t="s">
        <v>26</v>
      </c>
      <c r="C13" s="63"/>
      <c r="D13" s="62" t="s">
        <v>164</v>
      </c>
      <c r="E13" s="64">
        <v>64989</v>
      </c>
      <c r="F13" s="56">
        <f>E13/0.87+E13/0.87*15.2%</f>
        <v>86054.399999999994</v>
      </c>
      <c r="G13" s="37"/>
      <c r="H13" s="38"/>
      <c r="I13" s="66"/>
      <c r="K13">
        <v>64989</v>
      </c>
      <c r="L13">
        <f>K13/0.87+K13/0.87*15.2%</f>
        <v>86054.399999999994</v>
      </c>
    </row>
    <row r="14" spans="1:16" ht="15" customHeight="1" thickBot="1" x14ac:dyDescent="0.35">
      <c r="A14" s="48" t="s">
        <v>23</v>
      </c>
      <c r="B14" s="67"/>
      <c r="C14" s="68"/>
      <c r="D14" s="67" t="s">
        <v>165</v>
      </c>
      <c r="E14" s="64"/>
      <c r="F14" s="52"/>
      <c r="G14" s="37"/>
      <c r="H14" s="38"/>
      <c r="I14" s="69"/>
    </row>
    <row r="15" spans="1:16" s="219" customFormat="1" x14ac:dyDescent="0.3">
      <c r="A15" s="220" t="s">
        <v>27</v>
      </c>
      <c r="B15" s="221" t="s">
        <v>28</v>
      </c>
      <c r="C15" s="222"/>
      <c r="D15" s="221" t="s">
        <v>29</v>
      </c>
      <c r="E15" s="223">
        <v>85000</v>
      </c>
      <c r="F15" s="224">
        <f>E15/0.87+E15/0.87*15.2%</f>
        <v>112551.72413793103</v>
      </c>
      <c r="G15" s="71">
        <f>SUM(F15:F18)</f>
        <v>468434.97931034479</v>
      </c>
      <c r="H15" s="72">
        <f>G15*H106/G106</f>
        <v>4.5546993084260287E-2</v>
      </c>
      <c r="I15" s="65">
        <f>COUNTA(F15:F18)</f>
        <v>4</v>
      </c>
      <c r="K15" s="219">
        <v>85000</v>
      </c>
      <c r="L15" s="219">
        <f>K15/0.87+K15/0.87*15.2%</f>
        <v>112551.72413793103</v>
      </c>
      <c r="M15" s="219">
        <f>SUM(L15:L18)</f>
        <v>468434.97931034479</v>
      </c>
      <c r="N15" s="219">
        <f>M15*N106/M106</f>
        <v>4.5546993084260287E-2</v>
      </c>
      <c r="O15" s="219">
        <f>COUNTA(L15:L18)</f>
        <v>4</v>
      </c>
      <c r="P15" s="219">
        <f>L15</f>
        <v>112551.72413793103</v>
      </c>
    </row>
    <row r="16" spans="1:16" ht="27.6" x14ac:dyDescent="0.3">
      <c r="A16" s="24" t="s">
        <v>27</v>
      </c>
      <c r="B16" s="62" t="s">
        <v>30</v>
      </c>
      <c r="C16" s="63"/>
      <c r="D16" s="62" t="s">
        <v>166</v>
      </c>
      <c r="E16" s="73">
        <v>160001</v>
      </c>
      <c r="F16" s="56">
        <f>E16/0.87+E16/0.87*15.2%</f>
        <v>211863.39310344827</v>
      </c>
      <c r="G16" s="37"/>
      <c r="H16" s="38"/>
      <c r="I16" s="66"/>
      <c r="K16">
        <v>160001</v>
      </c>
      <c r="L16">
        <f>K16/0.87+K16/0.87*15.2%</f>
        <v>211863.39310344827</v>
      </c>
    </row>
    <row r="17" spans="1:16" x14ac:dyDescent="0.3">
      <c r="A17" s="24" t="s">
        <v>27</v>
      </c>
      <c r="B17" s="62" t="s">
        <v>31</v>
      </c>
      <c r="C17" s="63"/>
      <c r="D17" s="62" t="s">
        <v>32</v>
      </c>
      <c r="E17" s="73">
        <v>8765</v>
      </c>
      <c r="F17" s="56">
        <f>E17/0.87+E17/0.87*15.2%</f>
        <v>11606.068965517243</v>
      </c>
      <c r="G17" s="37"/>
      <c r="H17" s="38"/>
      <c r="I17" s="66"/>
      <c r="K17">
        <v>8765</v>
      </c>
      <c r="L17">
        <f>K17/0.87+K17/0.87*15.2%</f>
        <v>11606.068965517243</v>
      </c>
    </row>
    <row r="18" spans="1:16" ht="15" thickBot="1" x14ac:dyDescent="0.35">
      <c r="A18" s="24" t="s">
        <v>27</v>
      </c>
      <c r="B18" s="62" t="s">
        <v>33</v>
      </c>
      <c r="C18" s="63"/>
      <c r="D18" s="62" t="s">
        <v>34</v>
      </c>
      <c r="E18" s="73">
        <v>100000</v>
      </c>
      <c r="F18" s="58">
        <f>E18/0.87+E18/0.87*15.2%</f>
        <v>132413.79310344826</v>
      </c>
      <c r="G18" s="37"/>
      <c r="H18" s="38"/>
      <c r="I18" s="74"/>
      <c r="K18">
        <v>100000</v>
      </c>
      <c r="L18">
        <f>K18/0.87+K18/0.87*15.2%</f>
        <v>132413.79310344826</v>
      </c>
    </row>
    <row r="19" spans="1:16" ht="15" thickBot="1" x14ac:dyDescent="0.35">
      <c r="A19" s="16"/>
      <c r="B19" s="17" t="s">
        <v>35</v>
      </c>
      <c r="C19" s="18"/>
      <c r="D19" s="19"/>
      <c r="E19" s="20"/>
      <c r="F19" s="75"/>
      <c r="G19" s="20"/>
      <c r="H19" s="76"/>
      <c r="I19" s="23"/>
    </row>
    <row r="20" spans="1:16" ht="15" thickTop="1" x14ac:dyDescent="0.3">
      <c r="A20" s="77" t="s">
        <v>36</v>
      </c>
      <c r="B20" s="78" t="s">
        <v>37</v>
      </c>
      <c r="C20" s="79"/>
      <c r="D20" s="80" t="s">
        <v>38</v>
      </c>
      <c r="E20" s="81">
        <v>75000</v>
      </c>
      <c r="F20" s="52">
        <f>E20/0.87+E20/0.87*15.2%</f>
        <v>99310.344827586217</v>
      </c>
      <c r="G20" s="37">
        <f>SUM(F20:F22)</f>
        <v>244965.5172413793</v>
      </c>
      <c r="H20" s="38">
        <f>G20/G106*H106</f>
        <v>2.3818551586608529E-2</v>
      </c>
      <c r="I20" s="66">
        <f>COUNTA(F20:F22)</f>
        <v>2</v>
      </c>
      <c r="K20">
        <v>75000</v>
      </c>
      <c r="L20">
        <f>K20/0.87+K20/0.87*15.2%</f>
        <v>99310.344827586217</v>
      </c>
      <c r="M20">
        <f>SUM(L20:L22)</f>
        <v>244965.5172413793</v>
      </c>
      <c r="N20">
        <f>M20/M106*N106</f>
        <v>2.3818551586608529E-2</v>
      </c>
      <c r="O20">
        <f>COUNTA(L20:L22)</f>
        <v>2</v>
      </c>
    </row>
    <row r="21" spans="1:16" s="219" customFormat="1" x14ac:dyDescent="0.3">
      <c r="A21" s="214" t="s">
        <v>36</v>
      </c>
      <c r="B21" s="225" t="s">
        <v>39</v>
      </c>
      <c r="C21" s="226"/>
      <c r="D21" s="225" t="s">
        <v>167</v>
      </c>
      <c r="E21" s="227">
        <v>110000</v>
      </c>
      <c r="F21" s="218">
        <f>E21/0.87+E21/0.87*15.2%</f>
        <v>145655.1724137931</v>
      </c>
      <c r="G21" s="37"/>
      <c r="H21" s="38"/>
      <c r="I21" s="39"/>
      <c r="K21" s="219">
        <v>110000</v>
      </c>
      <c r="L21" s="219">
        <f>K21/0.87+K21/0.87*15.2%</f>
        <v>145655.1724137931</v>
      </c>
      <c r="P21" s="219">
        <f>L21</f>
        <v>145655.1724137931</v>
      </c>
    </row>
    <row r="22" spans="1:16" s="219" customFormat="1" x14ac:dyDescent="0.3">
      <c r="A22" s="214" t="s">
        <v>36</v>
      </c>
      <c r="B22" s="225" t="s">
        <v>40</v>
      </c>
      <c r="C22" s="226"/>
      <c r="D22" s="225"/>
      <c r="E22" s="227"/>
      <c r="F22" s="218"/>
      <c r="G22" s="37"/>
      <c r="H22" s="38"/>
      <c r="I22" s="39"/>
      <c r="J22" s="219" t="s">
        <v>168</v>
      </c>
    </row>
    <row r="23" spans="1:16" ht="15" thickBot="1" x14ac:dyDescent="0.35">
      <c r="A23" s="16"/>
      <c r="B23" s="17" t="s">
        <v>41</v>
      </c>
      <c r="C23" s="18"/>
      <c r="D23" s="19"/>
      <c r="E23" s="20"/>
      <c r="F23" s="21"/>
      <c r="G23" s="20"/>
      <c r="H23" s="76"/>
      <c r="I23" s="23"/>
    </row>
    <row r="24" spans="1:16" ht="15" thickTop="1" x14ac:dyDescent="0.3">
      <c r="A24" s="85" t="s">
        <v>42</v>
      </c>
      <c r="B24" s="86" t="s">
        <v>37</v>
      </c>
      <c r="C24" s="87"/>
      <c r="D24" s="86" t="s">
        <v>43</v>
      </c>
      <c r="E24" s="84">
        <v>150075</v>
      </c>
      <c r="F24" s="56">
        <f>E24/0.87+E24/0.87*15.2%</f>
        <v>198720</v>
      </c>
      <c r="G24" s="29">
        <f>SUM(F24:F27)</f>
        <v>496972.79999999993</v>
      </c>
      <c r="H24" s="30">
        <f>G24*H106/G106</f>
        <v>4.8321789969636431E-2</v>
      </c>
      <c r="I24" s="31">
        <f>COUNTA(F24:F27)</f>
        <v>4</v>
      </c>
      <c r="K24">
        <v>150075</v>
      </c>
      <c r="L24">
        <f>K24/0.87+K24/0.87*15.2%</f>
        <v>198720</v>
      </c>
      <c r="M24">
        <f>SUM(L24:L27)</f>
        <v>496972.79999999993</v>
      </c>
      <c r="N24">
        <f>M24*N106/M106</f>
        <v>4.8321789969636431E-2</v>
      </c>
      <c r="O24">
        <f>COUNTA(L24:L27)</f>
        <v>4</v>
      </c>
    </row>
    <row r="25" spans="1:16" x14ac:dyDescent="0.3">
      <c r="A25" s="88" t="s">
        <v>42</v>
      </c>
      <c r="B25" s="89" t="s">
        <v>44</v>
      </c>
      <c r="C25" s="90"/>
      <c r="D25" s="89" t="s">
        <v>45</v>
      </c>
      <c r="E25" s="84">
        <v>75081</v>
      </c>
      <c r="F25" s="56">
        <f>E25/0.87+E25/0.87*15.2%</f>
        <v>99417.600000000006</v>
      </c>
      <c r="G25" s="37"/>
      <c r="H25" s="38"/>
      <c r="I25" s="39"/>
      <c r="K25">
        <v>75081</v>
      </c>
      <c r="L25">
        <f>K25/0.87+K25/0.87*15.2%</f>
        <v>99417.600000000006</v>
      </c>
    </row>
    <row r="26" spans="1:16" x14ac:dyDescent="0.3">
      <c r="A26" s="77" t="s">
        <v>42</v>
      </c>
      <c r="B26" s="91" t="s">
        <v>46</v>
      </c>
      <c r="C26" s="92"/>
      <c r="D26" s="91"/>
      <c r="E26" s="84">
        <v>75081</v>
      </c>
      <c r="F26" s="56">
        <f>E26/0.87+E26/0.87*15.2%</f>
        <v>99417.600000000006</v>
      </c>
      <c r="G26" s="37"/>
      <c r="H26" s="38"/>
      <c r="I26" s="39"/>
      <c r="K26">
        <v>75081</v>
      </c>
      <c r="L26">
        <f>K26/0.87+K26/0.87*15.2%</f>
        <v>99417.600000000006</v>
      </c>
    </row>
    <row r="27" spans="1:16" ht="15" thickBot="1" x14ac:dyDescent="0.35">
      <c r="A27" s="88" t="s">
        <v>42</v>
      </c>
      <c r="B27" s="89" t="s">
        <v>47</v>
      </c>
      <c r="C27" s="90"/>
      <c r="D27" s="89"/>
      <c r="E27" s="84">
        <v>75081</v>
      </c>
      <c r="F27" s="56">
        <f>E27/0.87+E27/0.87*15.2%</f>
        <v>99417.600000000006</v>
      </c>
      <c r="G27" s="37"/>
      <c r="H27" s="38"/>
      <c r="I27" s="39"/>
      <c r="K27">
        <v>75081</v>
      </c>
      <c r="L27">
        <f>K27/0.87+K27/0.87*15.2%</f>
        <v>99417.600000000006</v>
      </c>
    </row>
    <row r="28" spans="1:16" ht="15" thickBot="1" x14ac:dyDescent="0.35">
      <c r="A28" s="93"/>
      <c r="B28" s="94" t="s">
        <v>48</v>
      </c>
      <c r="C28" s="95"/>
      <c r="D28" s="96"/>
      <c r="E28" s="97"/>
      <c r="F28" s="98"/>
      <c r="G28" s="97"/>
      <c r="H28" s="99"/>
      <c r="I28" s="100"/>
    </row>
    <row r="29" spans="1:16" ht="15" thickTop="1" x14ac:dyDescent="0.3">
      <c r="A29" s="48" t="s">
        <v>49</v>
      </c>
      <c r="B29" s="101" t="s">
        <v>50</v>
      </c>
      <c r="C29" s="102" t="s">
        <v>59</v>
      </c>
      <c r="D29" s="101"/>
      <c r="E29" s="103">
        <v>120060</v>
      </c>
      <c r="F29" s="52">
        <f>E29/0.87+E29/0.87*15.2%</f>
        <v>158976</v>
      </c>
      <c r="G29" s="37">
        <f>SUM(F29:F52)</f>
        <v>3137695.0206896556</v>
      </c>
      <c r="H29" s="38">
        <f>G29/G106*H106</f>
        <v>0.3050851873151601</v>
      </c>
      <c r="I29" s="66">
        <f>COUNTA(F29:F52)</f>
        <v>23</v>
      </c>
      <c r="K29">
        <v>120060</v>
      </c>
      <c r="L29">
        <f>K29/0.87+K29/0.87*15.2%</f>
        <v>158976</v>
      </c>
      <c r="M29">
        <f>SUM(L29:L52)</f>
        <v>3137695.0206896556</v>
      </c>
      <c r="N29">
        <f>M29/M106*N106</f>
        <v>0.3050851873151601</v>
      </c>
      <c r="O29">
        <f>COUNTA(L29:L52)</f>
        <v>23</v>
      </c>
    </row>
    <row r="30" spans="1:16" s="219" customFormat="1" x14ac:dyDescent="0.3">
      <c r="A30" s="228" t="s">
        <v>49</v>
      </c>
      <c r="B30" s="225" t="s">
        <v>51</v>
      </c>
      <c r="C30" s="226"/>
      <c r="D30" s="225"/>
      <c r="E30" s="227">
        <v>150000</v>
      </c>
      <c r="F30" s="231">
        <v>194434</v>
      </c>
      <c r="G30" s="37"/>
      <c r="H30" s="38"/>
      <c r="I30" s="66"/>
      <c r="K30" s="219">
        <v>150000</v>
      </c>
      <c r="L30" s="219">
        <v>194434</v>
      </c>
      <c r="P30" s="219">
        <f>L30</f>
        <v>194434</v>
      </c>
    </row>
    <row r="31" spans="1:16" s="219" customFormat="1" x14ac:dyDescent="0.3">
      <c r="A31" s="228" t="s">
        <v>49</v>
      </c>
      <c r="B31" s="225" t="s">
        <v>52</v>
      </c>
      <c r="C31" s="229"/>
      <c r="D31" s="230"/>
      <c r="E31" s="227">
        <v>140000</v>
      </c>
      <c r="F31" s="231">
        <f>E31/0.87+E31/0.87*15.2%</f>
        <v>185379.31034482759</v>
      </c>
      <c r="G31" s="37"/>
      <c r="H31" s="38"/>
      <c r="I31" s="66"/>
      <c r="K31" s="219">
        <v>140000</v>
      </c>
      <c r="L31" s="219">
        <f>K31/0.87+K31/0.87*15.2%</f>
        <v>185379.31034482759</v>
      </c>
      <c r="P31" s="219">
        <f>L31</f>
        <v>185379.31034482759</v>
      </c>
    </row>
    <row r="32" spans="1:16" x14ac:dyDescent="0.3">
      <c r="A32" s="77" t="s">
        <v>49</v>
      </c>
      <c r="B32" s="104" t="s">
        <v>53</v>
      </c>
      <c r="C32" s="108" t="s">
        <v>169</v>
      </c>
      <c r="D32" s="109"/>
      <c r="E32" s="81">
        <v>139250</v>
      </c>
      <c r="F32" s="106">
        <v>147600</v>
      </c>
      <c r="G32" s="37"/>
      <c r="H32" s="38"/>
      <c r="I32" s="66"/>
      <c r="K32">
        <v>139250</v>
      </c>
      <c r="L32">
        <v>147600</v>
      </c>
    </row>
    <row r="33" spans="1:16" s="219" customFormat="1" x14ac:dyDescent="0.3">
      <c r="A33" s="233" t="s">
        <v>49</v>
      </c>
      <c r="B33" s="230" t="s">
        <v>54</v>
      </c>
      <c r="C33" s="229"/>
      <c r="D33" s="230"/>
      <c r="E33" s="234">
        <v>85255</v>
      </c>
      <c r="F33" s="232">
        <f>E33/0.87+E33/0.87*15.2%</f>
        <v>112889.37931034483</v>
      </c>
      <c r="G33" s="37"/>
      <c r="H33" s="38"/>
      <c r="I33" s="66"/>
      <c r="K33" s="219">
        <v>85255</v>
      </c>
      <c r="L33" s="219">
        <f>K33/0.87+K33/0.87*15.2%</f>
        <v>112889.37931034483</v>
      </c>
      <c r="P33" s="219">
        <f>L33</f>
        <v>112889.37931034483</v>
      </c>
    </row>
    <row r="34" spans="1:16" x14ac:dyDescent="0.3">
      <c r="A34" s="24" t="s">
        <v>49</v>
      </c>
      <c r="B34" s="82" t="s">
        <v>55</v>
      </c>
      <c r="C34" s="83" t="s">
        <v>170</v>
      </c>
      <c r="D34" s="82" t="s">
        <v>56</v>
      </c>
      <c r="E34" s="84">
        <v>100050</v>
      </c>
      <c r="F34" s="112">
        <f t="shared" ref="F34:F52" si="0">E34/0.87+E34/0.87*15.2%</f>
        <v>132480</v>
      </c>
      <c r="G34" s="37"/>
      <c r="H34" s="38"/>
      <c r="I34" s="66"/>
      <c r="K34">
        <v>100050</v>
      </c>
      <c r="L34">
        <f t="shared" ref="L34:L52" si="1">K34/0.87+K34/0.87*15.2%</f>
        <v>132480</v>
      </c>
    </row>
    <row r="35" spans="1:16" x14ac:dyDescent="0.3">
      <c r="A35" s="48" t="s">
        <v>49</v>
      </c>
      <c r="B35" s="104" t="s">
        <v>57</v>
      </c>
      <c r="C35" s="102" t="s">
        <v>59</v>
      </c>
      <c r="D35" s="101"/>
      <c r="E35" s="103">
        <v>100050</v>
      </c>
      <c r="F35" s="112">
        <f t="shared" si="0"/>
        <v>132480</v>
      </c>
      <c r="G35" s="37"/>
      <c r="H35" s="38"/>
      <c r="I35" s="66"/>
      <c r="K35">
        <v>100050</v>
      </c>
      <c r="L35">
        <f t="shared" si="1"/>
        <v>132480</v>
      </c>
    </row>
    <row r="36" spans="1:16" x14ac:dyDescent="0.3">
      <c r="A36" s="48" t="s">
        <v>49</v>
      </c>
      <c r="B36" s="91" t="s">
        <v>58</v>
      </c>
      <c r="C36" s="79" t="s">
        <v>59</v>
      </c>
      <c r="D36" s="78"/>
      <c r="E36" s="81">
        <v>95000</v>
      </c>
      <c r="F36" s="112">
        <f t="shared" si="0"/>
        <v>125793.10344827586</v>
      </c>
      <c r="G36" s="37"/>
      <c r="H36" s="38"/>
      <c r="I36" s="66"/>
      <c r="K36">
        <v>95000</v>
      </c>
      <c r="L36">
        <f t="shared" si="1"/>
        <v>125793.10344827586</v>
      </c>
    </row>
    <row r="37" spans="1:16" x14ac:dyDescent="0.3">
      <c r="A37" s="24" t="s">
        <v>49</v>
      </c>
      <c r="B37" s="82" t="s">
        <v>60</v>
      </c>
      <c r="C37" s="83" t="s">
        <v>59</v>
      </c>
      <c r="D37" s="82" t="s">
        <v>61</v>
      </c>
      <c r="E37" s="84">
        <v>80040</v>
      </c>
      <c r="F37" s="112">
        <f t="shared" si="0"/>
        <v>105984</v>
      </c>
      <c r="G37" s="37"/>
      <c r="H37" s="38"/>
      <c r="I37" s="66"/>
      <c r="J37" t="s">
        <v>171</v>
      </c>
      <c r="K37">
        <v>80040</v>
      </c>
      <c r="L37">
        <f t="shared" si="1"/>
        <v>105984</v>
      </c>
    </row>
    <row r="38" spans="1:16" s="219" customFormat="1" ht="15.6" customHeight="1" x14ac:dyDescent="0.3">
      <c r="A38" s="214" t="s">
        <v>49</v>
      </c>
      <c r="B38" s="225" t="s">
        <v>62</v>
      </c>
      <c r="C38" s="226" t="s">
        <v>63</v>
      </c>
      <c r="D38" s="225" t="s">
        <v>64</v>
      </c>
      <c r="E38" s="227">
        <v>120000</v>
      </c>
      <c r="F38" s="232">
        <f t="shared" si="0"/>
        <v>158896.55172413791</v>
      </c>
      <c r="G38" s="37"/>
      <c r="H38" s="38"/>
      <c r="I38" s="66"/>
      <c r="K38" s="219">
        <v>120000</v>
      </c>
      <c r="L38" s="219">
        <f t="shared" si="1"/>
        <v>158896.55172413791</v>
      </c>
      <c r="P38" s="219">
        <f>L38</f>
        <v>158896.55172413791</v>
      </c>
    </row>
    <row r="39" spans="1:16" x14ac:dyDescent="0.3">
      <c r="A39" s="24" t="s">
        <v>49</v>
      </c>
      <c r="B39" s="82" t="s">
        <v>65</v>
      </c>
      <c r="C39" s="83" t="s">
        <v>59</v>
      </c>
      <c r="D39" s="82" t="s">
        <v>66</v>
      </c>
      <c r="E39" s="84">
        <v>90000</v>
      </c>
      <c r="F39" s="112">
        <f t="shared" si="0"/>
        <v>119172.41379310345</v>
      </c>
      <c r="G39" s="37"/>
      <c r="H39" s="38"/>
      <c r="I39" s="66"/>
      <c r="K39">
        <v>90000</v>
      </c>
      <c r="L39">
        <f t="shared" si="1"/>
        <v>119172.41379310345</v>
      </c>
    </row>
    <row r="40" spans="1:16" x14ac:dyDescent="0.3">
      <c r="A40" s="24" t="s">
        <v>49</v>
      </c>
      <c r="B40" s="82" t="s">
        <v>67</v>
      </c>
      <c r="C40" s="83" t="s">
        <v>63</v>
      </c>
      <c r="D40" s="82"/>
      <c r="E40" s="84">
        <v>140000</v>
      </c>
      <c r="F40" s="112">
        <f t="shared" si="0"/>
        <v>185379.31034482759</v>
      </c>
      <c r="G40" s="37"/>
      <c r="H40" s="38"/>
      <c r="I40" s="66"/>
      <c r="K40">
        <v>140000</v>
      </c>
      <c r="L40">
        <f t="shared" si="1"/>
        <v>185379.31034482759</v>
      </c>
    </row>
    <row r="41" spans="1:16" x14ac:dyDescent="0.3">
      <c r="A41" s="48" t="s">
        <v>49</v>
      </c>
      <c r="B41" s="104" t="s">
        <v>68</v>
      </c>
      <c r="C41" s="105" t="s">
        <v>170</v>
      </c>
      <c r="D41" s="104"/>
      <c r="E41" s="81">
        <v>180003</v>
      </c>
      <c r="F41" s="112">
        <f t="shared" si="0"/>
        <v>238348.79999999999</v>
      </c>
      <c r="G41" s="37"/>
      <c r="H41" s="38"/>
      <c r="I41" s="66"/>
      <c r="K41">
        <v>180003</v>
      </c>
      <c r="L41">
        <f t="shared" si="1"/>
        <v>238348.79999999999</v>
      </c>
    </row>
    <row r="42" spans="1:16" s="219" customFormat="1" x14ac:dyDescent="0.3">
      <c r="A42" s="214" t="s">
        <v>49</v>
      </c>
      <c r="B42" s="225" t="s">
        <v>69</v>
      </c>
      <c r="C42" s="226"/>
      <c r="D42" s="225" t="s">
        <v>71</v>
      </c>
      <c r="E42" s="227">
        <v>80000</v>
      </c>
      <c r="F42" s="232">
        <f t="shared" si="0"/>
        <v>105931.03448275862</v>
      </c>
      <c r="G42" s="37"/>
      <c r="H42" s="38"/>
      <c r="I42" s="66"/>
      <c r="K42" s="219">
        <v>80000</v>
      </c>
      <c r="L42" s="219">
        <f t="shared" si="1"/>
        <v>105931.03448275862</v>
      </c>
      <c r="P42" s="219">
        <f>L42</f>
        <v>105931.03448275862</v>
      </c>
    </row>
    <row r="43" spans="1:16" s="219" customFormat="1" x14ac:dyDescent="0.3">
      <c r="A43" s="214" t="s">
        <v>49</v>
      </c>
      <c r="B43" s="225" t="s">
        <v>72</v>
      </c>
      <c r="C43" s="226"/>
      <c r="D43" s="225"/>
      <c r="E43" s="227">
        <v>90045</v>
      </c>
      <c r="F43" s="232">
        <f t="shared" si="0"/>
        <v>119232</v>
      </c>
      <c r="G43" s="37"/>
      <c r="H43" s="38"/>
      <c r="I43" s="66"/>
      <c r="K43" s="219">
        <v>90045</v>
      </c>
      <c r="L43" s="219">
        <f t="shared" si="1"/>
        <v>119232</v>
      </c>
      <c r="P43" s="219">
        <f>L43</f>
        <v>119232</v>
      </c>
    </row>
    <row r="44" spans="1:16" x14ac:dyDescent="0.3">
      <c r="A44" s="24" t="s">
        <v>49</v>
      </c>
      <c r="B44" s="82" t="s">
        <v>73</v>
      </c>
      <c r="C44" s="83" t="s">
        <v>59</v>
      </c>
      <c r="D44" s="82"/>
      <c r="E44" s="84">
        <v>100050</v>
      </c>
      <c r="F44" s="112">
        <f t="shared" si="0"/>
        <v>132480</v>
      </c>
      <c r="G44" s="37"/>
      <c r="H44" s="38"/>
      <c r="I44" s="66"/>
      <c r="K44">
        <v>100050</v>
      </c>
      <c r="L44">
        <f t="shared" si="1"/>
        <v>132480</v>
      </c>
    </row>
    <row r="45" spans="1:16" x14ac:dyDescent="0.3">
      <c r="A45" s="24" t="s">
        <v>49</v>
      </c>
      <c r="B45" s="82" t="s">
        <v>74</v>
      </c>
      <c r="C45" s="83" t="s">
        <v>70</v>
      </c>
      <c r="D45" s="82" t="s">
        <v>71</v>
      </c>
      <c r="E45" s="84"/>
      <c r="F45" s="112"/>
      <c r="G45" s="37"/>
      <c r="H45" s="38"/>
      <c r="I45" s="66"/>
    </row>
    <row r="46" spans="1:16" x14ac:dyDescent="0.3">
      <c r="A46" s="48" t="s">
        <v>49</v>
      </c>
      <c r="B46" s="104" t="s">
        <v>75</v>
      </c>
      <c r="C46" s="105" t="s">
        <v>59</v>
      </c>
      <c r="D46" s="101"/>
      <c r="E46" s="81">
        <v>80000</v>
      </c>
      <c r="F46" s="112">
        <f t="shared" si="0"/>
        <v>105931.03448275862</v>
      </c>
      <c r="G46" s="37"/>
      <c r="H46" s="38"/>
      <c r="I46" s="66"/>
      <c r="K46">
        <v>80000</v>
      </c>
      <c r="L46">
        <f t="shared" ref="L46:L64" si="2">K46/0.87+K46/0.87*15.2%</f>
        <v>105931.03448275862</v>
      </c>
    </row>
    <row r="47" spans="1:16" s="219" customFormat="1" x14ac:dyDescent="0.3">
      <c r="A47" s="214" t="s">
        <v>49</v>
      </c>
      <c r="B47" s="238" t="s">
        <v>76</v>
      </c>
      <c r="C47" s="226"/>
      <c r="D47" s="239"/>
      <c r="E47" s="227">
        <v>120060</v>
      </c>
      <c r="F47" s="232">
        <f t="shared" si="0"/>
        <v>158976</v>
      </c>
      <c r="G47" s="37"/>
      <c r="H47" s="38"/>
      <c r="I47" s="66"/>
      <c r="K47" s="219">
        <v>120060</v>
      </c>
      <c r="L47" s="219">
        <f t="shared" si="2"/>
        <v>158976</v>
      </c>
      <c r="P47" s="219">
        <f>L47</f>
        <v>158976</v>
      </c>
    </row>
    <row r="48" spans="1:16" x14ac:dyDescent="0.3">
      <c r="A48" s="48" t="s">
        <v>49</v>
      </c>
      <c r="B48" s="104" t="s">
        <v>77</v>
      </c>
      <c r="C48" s="105" t="s">
        <v>70</v>
      </c>
      <c r="D48" s="101"/>
      <c r="E48" s="81">
        <v>65032.5</v>
      </c>
      <c r="F48" s="112">
        <f t="shared" si="0"/>
        <v>86112</v>
      </c>
      <c r="G48" s="37"/>
      <c r="H48" s="38"/>
      <c r="I48" s="66"/>
      <c r="K48">
        <v>65032.5</v>
      </c>
      <c r="L48">
        <f t="shared" si="2"/>
        <v>86112</v>
      </c>
    </row>
    <row r="49" spans="1:16" x14ac:dyDescent="0.3">
      <c r="A49" s="48" t="s">
        <v>49</v>
      </c>
      <c r="B49" s="113" t="s">
        <v>78</v>
      </c>
      <c r="C49" s="105" t="s">
        <v>59</v>
      </c>
      <c r="D49" s="101"/>
      <c r="E49" s="81">
        <v>120060</v>
      </c>
      <c r="F49" s="112">
        <f t="shared" si="0"/>
        <v>158976</v>
      </c>
      <c r="G49" s="37"/>
      <c r="H49" s="38"/>
      <c r="I49" s="66"/>
      <c r="K49">
        <v>120060</v>
      </c>
      <c r="L49">
        <f t="shared" si="2"/>
        <v>158976</v>
      </c>
    </row>
    <row r="50" spans="1:16" x14ac:dyDescent="0.3">
      <c r="A50" s="24" t="s">
        <v>49</v>
      </c>
      <c r="B50" s="104" t="s">
        <v>79</v>
      </c>
      <c r="C50" s="105" t="s">
        <v>59</v>
      </c>
      <c r="D50" s="101"/>
      <c r="E50" s="81">
        <v>110000</v>
      </c>
      <c r="F50" s="112">
        <f t="shared" si="0"/>
        <v>145655.1724137931</v>
      </c>
      <c r="G50" s="37"/>
      <c r="H50" s="38"/>
      <c r="I50" s="66"/>
      <c r="K50">
        <v>110000</v>
      </c>
      <c r="L50">
        <f t="shared" si="2"/>
        <v>145655.1724137931</v>
      </c>
    </row>
    <row r="51" spans="1:16" x14ac:dyDescent="0.3">
      <c r="A51" s="24" t="s">
        <v>49</v>
      </c>
      <c r="B51" s="82" t="s">
        <v>80</v>
      </c>
      <c r="C51" s="83" t="s">
        <v>59</v>
      </c>
      <c r="D51" s="114"/>
      <c r="E51" s="84">
        <v>75000</v>
      </c>
      <c r="F51" s="112">
        <f t="shared" si="0"/>
        <v>99310.344827586217</v>
      </c>
      <c r="G51" s="37"/>
      <c r="H51" s="38"/>
      <c r="I51" s="66"/>
      <c r="K51">
        <v>75000</v>
      </c>
      <c r="L51">
        <f t="shared" si="2"/>
        <v>99310.344827586217</v>
      </c>
    </row>
    <row r="52" spans="1:16" s="245" customFormat="1" x14ac:dyDescent="0.3">
      <c r="A52" s="240" t="s">
        <v>49</v>
      </c>
      <c r="B52" s="241" t="s">
        <v>81</v>
      </c>
      <c r="C52" s="242"/>
      <c r="D52" s="241"/>
      <c r="E52" s="243">
        <v>20601</v>
      </c>
      <c r="F52" s="244">
        <f t="shared" si="0"/>
        <v>27278.565517241379</v>
      </c>
      <c r="G52" s="37"/>
      <c r="H52" s="38"/>
      <c r="I52" s="66"/>
      <c r="J52" s="245" t="s">
        <v>173</v>
      </c>
      <c r="K52" s="245">
        <v>20601</v>
      </c>
      <c r="L52" s="245">
        <f t="shared" si="2"/>
        <v>27278.565517241379</v>
      </c>
    </row>
    <row r="53" spans="1:16" ht="15" thickBot="1" x14ac:dyDescent="0.35">
      <c r="A53" s="24" t="s">
        <v>172</v>
      </c>
      <c r="B53" s="235"/>
      <c r="C53" s="236"/>
      <c r="D53" s="235"/>
      <c r="E53" s="237"/>
      <c r="F53" s="52"/>
      <c r="G53" s="213"/>
      <c r="H53" s="169"/>
      <c r="I53" s="171"/>
    </row>
    <row r="54" spans="1:16" ht="15" thickBot="1" x14ac:dyDescent="0.35">
      <c r="A54" s="116"/>
      <c r="B54" s="94" t="s">
        <v>82</v>
      </c>
      <c r="C54" s="95"/>
      <c r="D54" s="96"/>
      <c r="E54" s="97"/>
      <c r="F54" s="98"/>
      <c r="G54" s="97"/>
      <c r="H54" s="117"/>
      <c r="I54" s="100"/>
    </row>
    <row r="55" spans="1:16" ht="28.2" thickTop="1" x14ac:dyDescent="0.3">
      <c r="A55" s="110" t="s">
        <v>83</v>
      </c>
      <c r="B55" s="118" t="s">
        <v>84</v>
      </c>
      <c r="C55" s="119"/>
      <c r="D55" s="118" t="s">
        <v>85</v>
      </c>
      <c r="E55" s="111">
        <v>170042</v>
      </c>
      <c r="F55" s="56">
        <f>E55/0.87+E55/0.87*15.2%</f>
        <v>225159.06206896552</v>
      </c>
      <c r="G55" s="29">
        <f>SUM(F55:F58)</f>
        <v>622546.09655172413</v>
      </c>
      <c r="H55" s="30">
        <f>G55*H106/G106</f>
        <v>6.0531565759714454E-2</v>
      </c>
      <c r="I55" s="31">
        <f>COUNT(F55:F58)</f>
        <v>4</v>
      </c>
      <c r="K55">
        <v>170042</v>
      </c>
      <c r="L55">
        <f>K55/0.87+K55/0.87*15.2%</f>
        <v>225159.06206896552</v>
      </c>
      <c r="M55">
        <f>SUM(L55:L58)</f>
        <v>622546.09655172413</v>
      </c>
      <c r="N55">
        <f>M55*N106/M106</f>
        <v>6.0531565759714454E-2</v>
      </c>
      <c r="O55">
        <f>COUNT(L55:L58)</f>
        <v>4</v>
      </c>
    </row>
    <row r="56" spans="1:16" s="219" customFormat="1" x14ac:dyDescent="0.3">
      <c r="A56" s="233" t="s">
        <v>83</v>
      </c>
      <c r="B56" s="225" t="s">
        <v>86</v>
      </c>
      <c r="C56" s="226"/>
      <c r="D56" s="246" t="s">
        <v>87</v>
      </c>
      <c r="E56" s="227">
        <v>120060</v>
      </c>
      <c r="F56" s="218">
        <f>E56/0.87+E56/0.87*15.2%</f>
        <v>158976</v>
      </c>
      <c r="G56" s="37"/>
      <c r="H56" s="38"/>
      <c r="I56" s="39"/>
      <c r="K56" s="219">
        <v>120060</v>
      </c>
      <c r="L56" s="219">
        <f>K56/0.87+K56/0.87*15.2%</f>
        <v>158976</v>
      </c>
      <c r="P56" s="219">
        <f>L56</f>
        <v>158976</v>
      </c>
    </row>
    <row r="57" spans="1:16" x14ac:dyDescent="0.3">
      <c r="A57" s="85" t="s">
        <v>83</v>
      </c>
      <c r="B57" s="82" t="s">
        <v>88</v>
      </c>
      <c r="C57" s="105"/>
      <c r="D57" s="118" t="s">
        <v>87</v>
      </c>
      <c r="E57" s="84">
        <v>80000</v>
      </c>
      <c r="F57" s="56">
        <f>E57/0.87+E57/0.87*15.2%</f>
        <v>105931.03448275862</v>
      </c>
      <c r="G57" s="37"/>
      <c r="H57" s="38"/>
      <c r="I57" s="39"/>
      <c r="K57">
        <v>80000</v>
      </c>
      <c r="L57">
        <f>K57/0.87+K57/0.87*15.2%</f>
        <v>105931.03448275862</v>
      </c>
    </row>
    <row r="58" spans="1:16" x14ac:dyDescent="0.3">
      <c r="A58" s="85" t="s">
        <v>83</v>
      </c>
      <c r="B58" s="78" t="s">
        <v>89</v>
      </c>
      <c r="C58" s="92"/>
      <c r="D58" s="118" t="s">
        <v>87</v>
      </c>
      <c r="E58" s="84">
        <v>100050</v>
      </c>
      <c r="F58" s="56">
        <f>E58/0.87+E58/0.87*15.2%</f>
        <v>132480</v>
      </c>
      <c r="G58" s="120"/>
      <c r="H58" s="121"/>
      <c r="I58" s="122"/>
      <c r="K58">
        <v>100050</v>
      </c>
      <c r="L58">
        <f>K58/0.87+K58/0.87*15.2%</f>
        <v>132480</v>
      </c>
    </row>
    <row r="59" spans="1:16" ht="15" thickBot="1" x14ac:dyDescent="0.35">
      <c r="A59" s="16"/>
      <c r="B59" s="17" t="s">
        <v>90</v>
      </c>
      <c r="C59" s="18"/>
      <c r="D59" s="19"/>
      <c r="E59" s="20"/>
      <c r="F59" s="21"/>
      <c r="G59" s="20"/>
      <c r="H59" s="76"/>
      <c r="I59" s="23"/>
    </row>
    <row r="60" spans="1:16" ht="15" thickTop="1" x14ac:dyDescent="0.3">
      <c r="A60" s="85" t="s">
        <v>91</v>
      </c>
      <c r="B60" s="86" t="s">
        <v>92</v>
      </c>
      <c r="C60" s="87"/>
      <c r="D60" s="86" t="s">
        <v>93</v>
      </c>
      <c r="E60" s="123">
        <v>120060</v>
      </c>
      <c r="F60" s="56">
        <f>E60/0.87+E60/0.87*15.2%</f>
        <v>158976</v>
      </c>
      <c r="G60" s="124">
        <f>SUM(F60:F63)</f>
        <v>490111.11724137922</v>
      </c>
      <c r="H60" s="125">
        <f>G60*H106/G106</f>
        <v>4.76546130273564E-2</v>
      </c>
      <c r="I60" s="31">
        <f>COUNT(F60:F63)</f>
        <v>4</v>
      </c>
      <c r="K60">
        <v>120060</v>
      </c>
      <c r="L60">
        <f>K60/0.87+K60/0.87*15.2%</f>
        <v>158976</v>
      </c>
      <c r="M60">
        <f>SUM(L60:L63)</f>
        <v>490111.11724137922</v>
      </c>
      <c r="N60">
        <f>M60*N106/M106</f>
        <v>4.76546130273564E-2</v>
      </c>
      <c r="O60">
        <f>COUNT(L60:L63)</f>
        <v>4</v>
      </c>
    </row>
    <row r="61" spans="1:16" x14ac:dyDescent="0.3">
      <c r="A61" s="88" t="s">
        <v>91</v>
      </c>
      <c r="B61" s="126" t="s">
        <v>94</v>
      </c>
      <c r="C61" s="127"/>
      <c r="D61" s="126" t="s">
        <v>95</v>
      </c>
      <c r="E61" s="84">
        <v>95000</v>
      </c>
      <c r="F61" s="56">
        <f>E61/0.87+E61/0.87*15.2%</f>
        <v>125793.10344827586</v>
      </c>
      <c r="G61" s="124"/>
      <c r="H61" s="125"/>
      <c r="I61" s="39"/>
      <c r="K61">
        <v>95000</v>
      </c>
      <c r="L61">
        <f>K61/0.87+K61/0.87*15.2%</f>
        <v>125793.10344827586</v>
      </c>
    </row>
    <row r="62" spans="1:16" s="219" customFormat="1" x14ac:dyDescent="0.3">
      <c r="A62" s="228" t="s">
        <v>91</v>
      </c>
      <c r="B62" s="247" t="s">
        <v>96</v>
      </c>
      <c r="C62" s="248"/>
      <c r="D62" s="247"/>
      <c r="E62" s="227">
        <v>65076</v>
      </c>
      <c r="F62" s="218">
        <f>E62/0.87+E62/0.87*15.2%</f>
        <v>86169.600000000006</v>
      </c>
      <c r="G62" s="124"/>
      <c r="H62" s="125"/>
      <c r="I62" s="39"/>
      <c r="K62" s="219">
        <v>65076</v>
      </c>
      <c r="L62" s="219">
        <f>K62/0.87+K62/0.87*15.2%</f>
        <v>86169.600000000006</v>
      </c>
      <c r="P62" s="219">
        <f>L62</f>
        <v>86169.600000000006</v>
      </c>
    </row>
    <row r="63" spans="1:16" x14ac:dyDescent="0.3">
      <c r="A63" s="88" t="s">
        <v>91</v>
      </c>
      <c r="B63" s="126" t="s">
        <v>97</v>
      </c>
      <c r="C63" s="127"/>
      <c r="D63" s="126"/>
      <c r="E63" s="84">
        <v>90000</v>
      </c>
      <c r="F63" s="56">
        <f>E63/0.87+E63/0.87*15.2%</f>
        <v>119172.41379310345</v>
      </c>
      <c r="G63" s="124"/>
      <c r="H63" s="125"/>
      <c r="I63" s="39"/>
      <c r="K63">
        <v>90000</v>
      </c>
      <c r="L63">
        <f>K63/0.87+K63/0.87*15.2%</f>
        <v>119172.41379310345</v>
      </c>
    </row>
    <row r="64" spans="1:16" ht="15" thickBot="1" x14ac:dyDescent="0.35">
      <c r="A64" s="16"/>
      <c r="B64" s="128" t="s">
        <v>98</v>
      </c>
      <c r="C64" s="18"/>
      <c r="D64" s="19"/>
      <c r="E64" s="20"/>
      <c r="F64" s="21"/>
      <c r="G64" s="20"/>
      <c r="H64" s="76"/>
      <c r="I64" s="23"/>
    </row>
    <row r="65" spans="1:16" s="219" customFormat="1" ht="15" thickTop="1" x14ac:dyDescent="0.3">
      <c r="A65" s="249" t="s">
        <v>99</v>
      </c>
      <c r="B65" s="250" t="s">
        <v>100</v>
      </c>
      <c r="C65" s="251"/>
      <c r="D65" s="250" t="s">
        <v>101</v>
      </c>
      <c r="E65" s="227">
        <v>150000</v>
      </c>
      <c r="F65" s="218">
        <f>E65/0.87+E65/0.87*15.2%</f>
        <v>198620.68965517243</v>
      </c>
      <c r="G65" s="124">
        <f>SUM(F65:F76)</f>
        <v>1267615.1379310347</v>
      </c>
      <c r="H65" s="125">
        <f>G65/G106*H106</f>
        <v>0.1232530884133602</v>
      </c>
      <c r="I65" s="132">
        <f>COUNTA(F65:F76)</f>
        <v>11</v>
      </c>
      <c r="J65" s="219" t="s">
        <v>175</v>
      </c>
      <c r="K65" s="219">
        <v>150000</v>
      </c>
      <c r="L65" s="219">
        <f>K65/0.87+K65/0.87*15.2%</f>
        <v>198620.68965517243</v>
      </c>
      <c r="M65" s="219">
        <f>SUM(L65:L76)</f>
        <v>1267615.1379310347</v>
      </c>
      <c r="N65" s="219">
        <f>M65/M106*N106</f>
        <v>0.1232530884133602</v>
      </c>
      <c r="O65" s="219">
        <f>COUNTA(L65:L76)</f>
        <v>11</v>
      </c>
      <c r="P65" s="219">
        <f>L65</f>
        <v>198620.68965517243</v>
      </c>
    </row>
    <row r="66" spans="1:16" s="252" customFormat="1" x14ac:dyDescent="0.3">
      <c r="A66" s="163"/>
      <c r="B66" s="140" t="s">
        <v>147</v>
      </c>
      <c r="C66" s="141" t="s">
        <v>63</v>
      </c>
      <c r="D66" s="140"/>
      <c r="E66" s="81"/>
      <c r="F66" s="52"/>
      <c r="G66" s="124"/>
      <c r="H66" s="125"/>
      <c r="I66" s="132"/>
    </row>
    <row r="67" spans="1:16" x14ac:dyDescent="0.3">
      <c r="A67" s="129" t="s">
        <v>99</v>
      </c>
      <c r="B67" s="130" t="s">
        <v>102</v>
      </c>
      <c r="C67" s="131"/>
      <c r="D67" s="130" t="s">
        <v>103</v>
      </c>
      <c r="E67" s="84">
        <v>103000</v>
      </c>
      <c r="F67" s="56">
        <f t="shared" ref="F67:F75" si="3">E67/0.87+E67/0.87*15.2%</f>
        <v>136386.20689655171</v>
      </c>
      <c r="G67" s="124"/>
      <c r="H67" s="125"/>
      <c r="I67" s="132"/>
      <c r="K67">
        <v>103000</v>
      </c>
      <c r="L67">
        <f t="shared" ref="L67:L75" si="4">K67/0.87+K67/0.87*15.2%</f>
        <v>136386.20689655171</v>
      </c>
    </row>
    <row r="68" spans="1:16" x14ac:dyDescent="0.3">
      <c r="A68" s="129" t="s">
        <v>99</v>
      </c>
      <c r="B68" s="130" t="s">
        <v>104</v>
      </c>
      <c r="C68" s="131"/>
      <c r="D68" s="130" t="s">
        <v>105</v>
      </c>
      <c r="E68" s="84">
        <v>80040</v>
      </c>
      <c r="F68" s="56">
        <f t="shared" si="3"/>
        <v>105984</v>
      </c>
      <c r="G68" s="124"/>
      <c r="H68" s="125"/>
      <c r="I68" s="132"/>
      <c r="K68">
        <v>80040</v>
      </c>
      <c r="L68">
        <f t="shared" si="4"/>
        <v>105984</v>
      </c>
    </row>
    <row r="69" spans="1:16" x14ac:dyDescent="0.3">
      <c r="A69" s="129" t="s">
        <v>99</v>
      </c>
      <c r="B69" s="130" t="s">
        <v>106</v>
      </c>
      <c r="C69" s="131" t="s">
        <v>27</v>
      </c>
      <c r="D69" s="130" t="s">
        <v>107</v>
      </c>
      <c r="E69" s="84">
        <v>80000</v>
      </c>
      <c r="F69" s="56">
        <f t="shared" si="3"/>
        <v>105931.03448275862</v>
      </c>
      <c r="G69" s="124"/>
      <c r="H69" s="125"/>
      <c r="I69" s="132"/>
      <c r="K69">
        <v>80000</v>
      </c>
      <c r="L69">
        <f t="shared" si="4"/>
        <v>105931.03448275862</v>
      </c>
    </row>
    <row r="70" spans="1:16" x14ac:dyDescent="0.3">
      <c r="A70" s="129" t="s">
        <v>99</v>
      </c>
      <c r="B70" s="130" t="s">
        <v>108</v>
      </c>
      <c r="C70" s="131" t="s">
        <v>27</v>
      </c>
      <c r="D70" s="130" t="s">
        <v>109</v>
      </c>
      <c r="E70" s="84">
        <v>90000</v>
      </c>
      <c r="F70" s="56">
        <f t="shared" si="3"/>
        <v>119172.41379310345</v>
      </c>
      <c r="G70" s="124"/>
      <c r="H70" s="125"/>
      <c r="I70" s="132"/>
      <c r="K70">
        <v>90000</v>
      </c>
      <c r="L70">
        <f t="shared" si="4"/>
        <v>119172.41379310345</v>
      </c>
    </row>
    <row r="71" spans="1:16" x14ac:dyDescent="0.3">
      <c r="A71" s="129" t="s">
        <v>99</v>
      </c>
      <c r="B71" s="130" t="s">
        <v>110</v>
      </c>
      <c r="C71" s="131"/>
      <c r="D71" s="130" t="s">
        <v>111</v>
      </c>
      <c r="E71" s="84">
        <v>75000</v>
      </c>
      <c r="F71" s="56">
        <f t="shared" si="3"/>
        <v>99310.344827586217</v>
      </c>
      <c r="G71" s="124"/>
      <c r="H71" s="125"/>
      <c r="I71" s="132"/>
      <c r="K71">
        <v>75000</v>
      </c>
      <c r="L71">
        <f t="shared" si="4"/>
        <v>99310.344827586217</v>
      </c>
    </row>
    <row r="72" spans="1:16" x14ac:dyDescent="0.3">
      <c r="A72" s="129" t="s">
        <v>99</v>
      </c>
      <c r="B72" s="130" t="s">
        <v>112</v>
      </c>
      <c r="C72" s="131"/>
      <c r="D72" s="130" t="s">
        <v>111</v>
      </c>
      <c r="E72" s="84">
        <v>80000</v>
      </c>
      <c r="F72" s="56">
        <f t="shared" si="3"/>
        <v>105931.03448275862</v>
      </c>
      <c r="G72" s="124"/>
      <c r="H72" s="125"/>
      <c r="I72" s="132"/>
      <c r="K72">
        <v>80000</v>
      </c>
      <c r="L72">
        <f t="shared" si="4"/>
        <v>105931.03448275862</v>
      </c>
    </row>
    <row r="73" spans="1:16" s="219" customFormat="1" x14ac:dyDescent="0.3">
      <c r="A73" s="249" t="s">
        <v>99</v>
      </c>
      <c r="B73" s="250" t="s">
        <v>113</v>
      </c>
      <c r="C73" s="251"/>
      <c r="D73" s="250" t="s">
        <v>114</v>
      </c>
      <c r="E73" s="227">
        <v>80000</v>
      </c>
      <c r="F73" s="218">
        <f t="shared" si="3"/>
        <v>105931.03448275862</v>
      </c>
      <c r="G73" s="124"/>
      <c r="H73" s="125"/>
      <c r="I73" s="132"/>
      <c r="K73" s="219">
        <v>80000</v>
      </c>
      <c r="L73" s="219">
        <f t="shared" si="4"/>
        <v>105931.03448275862</v>
      </c>
      <c r="P73" s="219">
        <f>L73</f>
        <v>105931.03448275862</v>
      </c>
    </row>
    <row r="74" spans="1:16" s="219" customFormat="1" x14ac:dyDescent="0.3">
      <c r="A74" s="249" t="s">
        <v>99</v>
      </c>
      <c r="B74" s="250" t="s">
        <v>115</v>
      </c>
      <c r="C74" s="251"/>
      <c r="D74" s="250" t="s">
        <v>114</v>
      </c>
      <c r="E74" s="227">
        <v>80000</v>
      </c>
      <c r="F74" s="218">
        <f t="shared" si="3"/>
        <v>105931.03448275862</v>
      </c>
      <c r="G74" s="124"/>
      <c r="H74" s="125"/>
      <c r="I74" s="132"/>
      <c r="J74" s="219" t="s">
        <v>174</v>
      </c>
      <c r="K74" s="219">
        <v>80000</v>
      </c>
      <c r="L74" s="219">
        <f t="shared" si="4"/>
        <v>105931.03448275862</v>
      </c>
      <c r="P74" s="219">
        <f>L74</f>
        <v>105931.03448275862</v>
      </c>
    </row>
    <row r="75" spans="1:16" s="219" customFormat="1" x14ac:dyDescent="0.3">
      <c r="A75" s="249" t="s">
        <v>99</v>
      </c>
      <c r="B75" s="250" t="s">
        <v>116</v>
      </c>
      <c r="C75" s="251"/>
      <c r="D75" s="250" t="s">
        <v>117</v>
      </c>
      <c r="E75" s="227">
        <v>75000</v>
      </c>
      <c r="F75" s="218">
        <f t="shared" si="3"/>
        <v>99310.344827586217</v>
      </c>
      <c r="G75" s="124"/>
      <c r="H75" s="125"/>
      <c r="I75" s="132"/>
      <c r="K75" s="219">
        <v>75000</v>
      </c>
      <c r="L75" s="219">
        <f t="shared" si="4"/>
        <v>99310.344827586217</v>
      </c>
      <c r="P75" s="219">
        <f>L75</f>
        <v>99310.344827586217</v>
      </c>
    </row>
    <row r="76" spans="1:16" x14ac:dyDescent="0.3">
      <c r="A76" s="129" t="s">
        <v>99</v>
      </c>
      <c r="B76" s="130" t="s">
        <v>118</v>
      </c>
      <c r="C76" s="131"/>
      <c r="D76" s="130" t="s">
        <v>117</v>
      </c>
      <c r="E76" s="81">
        <v>80000</v>
      </c>
      <c r="F76" s="56">
        <v>85107</v>
      </c>
      <c r="G76" s="124"/>
      <c r="H76" s="125"/>
      <c r="I76" s="132"/>
      <c r="K76">
        <v>80000</v>
      </c>
      <c r="L76">
        <v>85107</v>
      </c>
    </row>
    <row r="77" spans="1:16" ht="15" thickBot="1" x14ac:dyDescent="0.35">
      <c r="A77" s="133"/>
      <c r="B77" s="134" t="s">
        <v>119</v>
      </c>
      <c r="C77" s="135"/>
      <c r="D77" s="136"/>
      <c r="E77" s="20"/>
      <c r="F77" s="21"/>
      <c r="G77" s="20"/>
      <c r="H77" s="22"/>
      <c r="I77" s="23"/>
    </row>
    <row r="78" spans="1:16" ht="15" thickTop="1" x14ac:dyDescent="0.3">
      <c r="A78" s="137" t="s">
        <v>120</v>
      </c>
      <c r="B78" s="130" t="s">
        <v>121</v>
      </c>
      <c r="C78" s="131"/>
      <c r="D78" s="130" t="s">
        <v>122</v>
      </c>
      <c r="E78" s="84">
        <v>120000</v>
      </c>
      <c r="F78" s="138">
        <f>E78/0.87+E78/0.87*15.2%</f>
        <v>158896.55172413791</v>
      </c>
      <c r="G78" s="37">
        <f>SUM(F78:F87)</f>
        <v>730483.80303448264</v>
      </c>
      <c r="H78" s="38">
        <f>G78/G106*H106</f>
        <v>7.1026593218891543E-2</v>
      </c>
      <c r="I78" s="39">
        <f>COUNTA(F78:F87)</f>
        <v>10</v>
      </c>
      <c r="K78">
        <v>120000</v>
      </c>
      <c r="L78">
        <f>K78/0.87+K78/0.87*15.2%</f>
        <v>158896.55172413791</v>
      </c>
      <c r="M78">
        <f>SUM(L78:L87)</f>
        <v>730483.80303448264</v>
      </c>
      <c r="N78">
        <f>M78/M106*N106</f>
        <v>7.1026593218891543E-2</v>
      </c>
      <c r="O78">
        <f>COUNTA(L78:L87)</f>
        <v>10</v>
      </c>
    </row>
    <row r="79" spans="1:16" x14ac:dyDescent="0.3">
      <c r="A79" s="137" t="s">
        <v>120</v>
      </c>
      <c r="B79" s="130" t="s">
        <v>123</v>
      </c>
      <c r="C79" s="131"/>
      <c r="D79" s="130" t="s">
        <v>124</v>
      </c>
      <c r="E79" s="84">
        <v>70000</v>
      </c>
      <c r="F79" s="138">
        <f t="shared" ref="F79:F85" si="5">E79/0.87+E79/0.87*15.2%</f>
        <v>92689.655172413797</v>
      </c>
      <c r="G79" s="37"/>
      <c r="H79" s="38"/>
      <c r="I79" s="39"/>
      <c r="K79">
        <v>70000</v>
      </c>
      <c r="L79">
        <f t="shared" ref="L79:L85" si="6">K79/0.87+K79/0.87*15.2%</f>
        <v>92689.655172413797</v>
      </c>
    </row>
    <row r="80" spans="1:16" x14ac:dyDescent="0.3">
      <c r="A80" s="139" t="s">
        <v>120</v>
      </c>
      <c r="B80" s="140" t="s">
        <v>125</v>
      </c>
      <c r="C80" s="141"/>
      <c r="D80" s="140" t="s">
        <v>126</v>
      </c>
      <c r="E80" s="81">
        <v>80040</v>
      </c>
      <c r="F80" s="138">
        <f t="shared" si="5"/>
        <v>105984</v>
      </c>
      <c r="G80" s="37"/>
      <c r="H80" s="38"/>
      <c r="I80" s="39"/>
      <c r="K80">
        <v>80040</v>
      </c>
      <c r="L80">
        <f t="shared" si="6"/>
        <v>105984</v>
      </c>
    </row>
    <row r="81" spans="1:16" x14ac:dyDescent="0.3">
      <c r="A81" s="139" t="s">
        <v>120</v>
      </c>
      <c r="B81" s="140" t="s">
        <v>127</v>
      </c>
      <c r="C81" s="141"/>
      <c r="D81" s="140"/>
      <c r="E81" s="81">
        <v>5001</v>
      </c>
      <c r="F81" s="138">
        <f t="shared" si="5"/>
        <v>6622.0137931034478</v>
      </c>
      <c r="G81" s="37"/>
      <c r="H81" s="38"/>
      <c r="I81" s="39"/>
      <c r="K81">
        <v>5001</v>
      </c>
      <c r="L81">
        <f t="shared" si="6"/>
        <v>6622.0137931034478</v>
      </c>
    </row>
    <row r="82" spans="1:16" x14ac:dyDescent="0.3">
      <c r="A82" s="139" t="s">
        <v>120</v>
      </c>
      <c r="B82" s="140" t="s">
        <v>128</v>
      </c>
      <c r="C82" s="141"/>
      <c r="D82" s="140"/>
      <c r="E82" s="81">
        <v>60030</v>
      </c>
      <c r="F82" s="138">
        <f t="shared" si="5"/>
        <v>79488</v>
      </c>
      <c r="G82" s="37"/>
      <c r="H82" s="38"/>
      <c r="I82" s="39"/>
      <c r="K82">
        <v>60030</v>
      </c>
      <c r="L82">
        <f t="shared" si="6"/>
        <v>79488</v>
      </c>
    </row>
    <row r="83" spans="1:16" s="219" customFormat="1" x14ac:dyDescent="0.3">
      <c r="A83" s="254" t="s">
        <v>120</v>
      </c>
      <c r="B83" s="250" t="s">
        <v>129</v>
      </c>
      <c r="C83" s="251"/>
      <c r="D83" s="250" t="s">
        <v>130</v>
      </c>
      <c r="E83" s="227">
        <v>18828.54</v>
      </c>
      <c r="F83" s="232">
        <f t="shared" si="5"/>
        <v>24931.583999999999</v>
      </c>
      <c r="G83" s="37"/>
      <c r="H83" s="38"/>
      <c r="I83" s="39"/>
      <c r="K83" s="219">
        <v>18828.54</v>
      </c>
      <c r="L83" s="219">
        <f t="shared" si="6"/>
        <v>24931.583999999999</v>
      </c>
      <c r="P83" s="219">
        <f>L83</f>
        <v>24931.583999999999</v>
      </c>
    </row>
    <row r="84" spans="1:16" x14ac:dyDescent="0.3">
      <c r="A84" s="137" t="s">
        <v>120</v>
      </c>
      <c r="B84" s="130" t="s">
        <v>131</v>
      </c>
      <c r="C84" s="131" t="s">
        <v>27</v>
      </c>
      <c r="D84" s="130" t="s">
        <v>132</v>
      </c>
      <c r="E84" s="84">
        <v>100050</v>
      </c>
      <c r="F84" s="138">
        <f t="shared" si="5"/>
        <v>132480</v>
      </c>
      <c r="G84" s="37"/>
      <c r="H84" s="38"/>
      <c r="I84" s="39"/>
      <c r="K84">
        <v>100050</v>
      </c>
      <c r="L84">
        <f t="shared" si="6"/>
        <v>132480</v>
      </c>
    </row>
    <row r="85" spans="1:16" x14ac:dyDescent="0.3">
      <c r="A85" s="137" t="s">
        <v>120</v>
      </c>
      <c r="B85" s="130" t="s">
        <v>133</v>
      </c>
      <c r="C85" s="131"/>
      <c r="D85" s="130" t="s">
        <v>130</v>
      </c>
      <c r="E85" s="84">
        <v>12022.53</v>
      </c>
      <c r="F85" s="138">
        <f t="shared" si="5"/>
        <v>15919.487999999999</v>
      </c>
      <c r="G85" s="37"/>
      <c r="H85" s="38"/>
      <c r="I85" s="39"/>
      <c r="K85">
        <v>12022.53</v>
      </c>
      <c r="L85">
        <f t="shared" si="6"/>
        <v>15919.487999999999</v>
      </c>
    </row>
    <row r="86" spans="1:16" x14ac:dyDescent="0.3">
      <c r="A86" s="137" t="s">
        <v>120</v>
      </c>
      <c r="B86" s="142" t="s">
        <v>134</v>
      </c>
      <c r="C86" s="143"/>
      <c r="D86" s="142"/>
      <c r="E86" s="84">
        <v>77000</v>
      </c>
      <c r="F86" s="138">
        <f>E86/0.87+E86/0.87*7.8%</f>
        <v>95409.19540229885</v>
      </c>
      <c r="G86" s="37"/>
      <c r="H86" s="38"/>
      <c r="I86" s="39"/>
      <c r="J86" t="s">
        <v>177</v>
      </c>
      <c r="K86">
        <v>77000</v>
      </c>
      <c r="L86">
        <f>K86/0.87+K86/0.87*7.8%</f>
        <v>95409.19540229885</v>
      </c>
    </row>
    <row r="87" spans="1:16" x14ac:dyDescent="0.3">
      <c r="A87" s="137" t="s">
        <v>120</v>
      </c>
      <c r="B87" s="142" t="s">
        <v>135</v>
      </c>
      <c r="C87" s="143"/>
      <c r="D87" s="142"/>
      <c r="E87" s="115">
        <v>14578</v>
      </c>
      <c r="F87" s="138">
        <f>E87/0.87+E87/0.87*7.8%</f>
        <v>18063.314942528737</v>
      </c>
      <c r="G87" s="37"/>
      <c r="H87" s="38"/>
      <c r="I87" s="39"/>
      <c r="K87">
        <v>14578</v>
      </c>
      <c r="L87">
        <f>K87/0.87+K87/0.87*7.8%</f>
        <v>18063.314942528737</v>
      </c>
    </row>
    <row r="88" spans="1:16" ht="15" thickBot="1" x14ac:dyDescent="0.35">
      <c r="A88" s="133"/>
      <c r="B88" s="134" t="s">
        <v>136</v>
      </c>
      <c r="C88" s="135"/>
      <c r="D88" s="136"/>
      <c r="E88" s="20"/>
      <c r="F88" s="21"/>
      <c r="G88" s="20"/>
      <c r="H88" s="22"/>
      <c r="I88" s="23"/>
    </row>
    <row r="89" spans="1:16" s="219" customFormat="1" ht="15" thickTop="1" x14ac:dyDescent="0.3">
      <c r="A89" s="254" t="s">
        <v>137</v>
      </c>
      <c r="B89" s="255" t="s">
        <v>138</v>
      </c>
      <c r="C89" s="256"/>
      <c r="D89" s="255" t="s">
        <v>139</v>
      </c>
      <c r="E89" s="257">
        <v>100050</v>
      </c>
      <c r="F89" s="218">
        <f>E89/0.87+E89/0.87*15.2%</f>
        <v>132480</v>
      </c>
      <c r="G89" s="144">
        <f>SUM(F89:F92)</f>
        <v>443753.04827586201</v>
      </c>
      <c r="H89" s="30">
        <f>G89*H106/G106</f>
        <v>4.3147113075750108E-2</v>
      </c>
      <c r="I89" s="31">
        <f>COUNT(F89:F92)</f>
        <v>4</v>
      </c>
      <c r="K89" s="219">
        <v>100050</v>
      </c>
      <c r="L89" s="219">
        <f>K89/0.87+K89/0.87*15.2%</f>
        <v>132480</v>
      </c>
      <c r="M89" s="219">
        <f>SUM(L89:L92)</f>
        <v>443753.04827586201</v>
      </c>
      <c r="N89" s="219">
        <f>M89*N106/M106</f>
        <v>4.3147113075750108E-2</v>
      </c>
      <c r="O89" s="219">
        <f>COUNT(L89:L92)</f>
        <v>4</v>
      </c>
      <c r="P89" s="219">
        <f>L89</f>
        <v>132480</v>
      </c>
    </row>
    <row r="90" spans="1:16" s="263" customFormat="1" x14ac:dyDescent="0.3">
      <c r="A90" s="258" t="s">
        <v>137</v>
      </c>
      <c r="B90" s="259" t="s">
        <v>140</v>
      </c>
      <c r="C90" s="260"/>
      <c r="D90" s="259" t="s">
        <v>141</v>
      </c>
      <c r="E90" s="261">
        <v>80000</v>
      </c>
      <c r="F90" s="262">
        <f>E90/0.87+E90/0.87*15.2%</f>
        <v>105931.03448275862</v>
      </c>
      <c r="G90" s="146"/>
      <c r="H90" s="38"/>
      <c r="I90" s="39"/>
      <c r="K90" s="263">
        <v>80000</v>
      </c>
      <c r="L90" s="263">
        <f>K90/0.87+K90/0.87*15.2%</f>
        <v>105931.03448275862</v>
      </c>
      <c r="P90" s="263">
        <f>L90</f>
        <v>105931.03448275862</v>
      </c>
    </row>
    <row r="91" spans="1:16" x14ac:dyDescent="0.3">
      <c r="A91" s="137" t="s">
        <v>137</v>
      </c>
      <c r="B91" s="147" t="s">
        <v>142</v>
      </c>
      <c r="C91" s="148" t="s">
        <v>178</v>
      </c>
      <c r="D91" s="145" t="s">
        <v>143</v>
      </c>
      <c r="E91" s="149">
        <v>90000</v>
      </c>
      <c r="F91" s="56">
        <f>E91/0.87+E91/0.87*15.2%</f>
        <v>119172.41379310345</v>
      </c>
      <c r="G91" s="146"/>
      <c r="H91" s="38"/>
      <c r="I91" s="39"/>
      <c r="K91">
        <v>90000</v>
      </c>
      <c r="L91">
        <f>K91/0.87+K91/0.87*15.2%</f>
        <v>119172.41379310345</v>
      </c>
    </row>
    <row r="92" spans="1:16" x14ac:dyDescent="0.3">
      <c r="A92" s="137" t="s">
        <v>137</v>
      </c>
      <c r="B92" s="147" t="s">
        <v>144</v>
      </c>
      <c r="C92" s="148"/>
      <c r="D92" s="145" t="s">
        <v>143</v>
      </c>
      <c r="E92" s="149">
        <v>65076</v>
      </c>
      <c r="F92" s="56">
        <f>E92/0.87+E92/0.87*15.2%</f>
        <v>86169.600000000006</v>
      </c>
      <c r="G92" s="146"/>
      <c r="H92" s="38"/>
      <c r="I92" s="39"/>
      <c r="K92">
        <v>65076</v>
      </c>
      <c r="L92">
        <f>K92/0.87+K92/0.87*15.2%</f>
        <v>86169.600000000006</v>
      </c>
    </row>
    <row r="93" spans="1:16" ht="15" thickBot="1" x14ac:dyDescent="0.35">
      <c r="A93" s="150"/>
      <c r="B93" s="151" t="s">
        <v>145</v>
      </c>
      <c r="C93" s="152"/>
      <c r="D93" s="153"/>
      <c r="E93" s="154"/>
      <c r="F93" s="155"/>
      <c r="G93" s="154"/>
      <c r="H93" s="156"/>
      <c r="I93" s="157"/>
    </row>
    <row r="94" spans="1:16" x14ac:dyDescent="0.3">
      <c r="A94" s="158" t="s">
        <v>146</v>
      </c>
      <c r="B94" s="159" t="s">
        <v>147</v>
      </c>
      <c r="C94" s="160" t="s">
        <v>63</v>
      </c>
      <c r="D94" s="159" t="s">
        <v>148</v>
      </c>
      <c r="E94" s="161">
        <v>120000</v>
      </c>
      <c r="F94" s="70">
        <f>E94/0.87+E94/0.87*15.2%</f>
        <v>158896.55172413791</v>
      </c>
      <c r="G94" s="71">
        <f>SUM(F94:F99)</f>
        <v>818186.75862068962</v>
      </c>
      <c r="H94" s="72">
        <f>G94*H106/G106</f>
        <v>7.9554150058125092E-2</v>
      </c>
      <c r="I94" s="162">
        <f>COUNT(F94:F99)</f>
        <v>6</v>
      </c>
      <c r="J94" s="253" t="s">
        <v>176</v>
      </c>
      <c r="K94">
        <v>120000</v>
      </c>
      <c r="L94">
        <f>K94/0.87+K94/0.87*15.2%</f>
        <v>158896.55172413791</v>
      </c>
      <c r="M94">
        <f>SUM(L94:L99)</f>
        <v>818186.75862068962</v>
      </c>
      <c r="N94">
        <f>M94*N106/M106</f>
        <v>7.9554150058125092E-2</v>
      </c>
      <c r="O94">
        <f>COUNT(L94:L99)</f>
        <v>6</v>
      </c>
    </row>
    <row r="95" spans="1:16" s="263" customFormat="1" x14ac:dyDescent="0.3">
      <c r="A95" s="264" t="s">
        <v>146</v>
      </c>
      <c r="B95" s="265" t="s">
        <v>149</v>
      </c>
      <c r="C95" s="266"/>
      <c r="D95" s="265" t="s">
        <v>150</v>
      </c>
      <c r="E95" s="107">
        <v>100050</v>
      </c>
      <c r="F95" s="262">
        <f t="shared" ref="F95:F98" si="7">E95/0.87+E95/0.87*15.2%</f>
        <v>132480</v>
      </c>
      <c r="G95" s="37"/>
      <c r="H95" s="38"/>
      <c r="I95" s="39"/>
      <c r="J95" s="253"/>
      <c r="K95" s="263">
        <v>100050</v>
      </c>
      <c r="L95" s="263">
        <f t="shared" ref="L95:L98" si="8">K95/0.87+K95/0.87*15.2%</f>
        <v>132480</v>
      </c>
      <c r="P95" s="263">
        <f>L95</f>
        <v>132480</v>
      </c>
    </row>
    <row r="96" spans="1:16" s="219" customFormat="1" ht="27.6" x14ac:dyDescent="0.3">
      <c r="A96" s="249" t="s">
        <v>146</v>
      </c>
      <c r="B96" s="250" t="s">
        <v>151</v>
      </c>
      <c r="C96" s="251"/>
      <c r="D96" s="250" t="s">
        <v>152</v>
      </c>
      <c r="E96" s="227">
        <v>130065</v>
      </c>
      <c r="F96" s="218">
        <f t="shared" si="7"/>
        <v>172224</v>
      </c>
      <c r="G96" s="37"/>
      <c r="H96" s="38"/>
      <c r="I96" s="39"/>
      <c r="J96" s="253"/>
      <c r="K96" s="219">
        <v>130065</v>
      </c>
      <c r="L96" s="219">
        <f t="shared" si="8"/>
        <v>172224</v>
      </c>
      <c r="P96" s="219">
        <f>L96</f>
        <v>172224</v>
      </c>
    </row>
    <row r="97" spans="1:16" x14ac:dyDescent="0.3">
      <c r="A97" s="129" t="s">
        <v>146</v>
      </c>
      <c r="B97" s="130" t="s">
        <v>153</v>
      </c>
      <c r="C97" s="131"/>
      <c r="D97" s="130" t="s">
        <v>154</v>
      </c>
      <c r="E97" s="84">
        <v>110000</v>
      </c>
      <c r="F97" s="56">
        <f t="shared" si="7"/>
        <v>145655.1724137931</v>
      </c>
      <c r="G97" s="37"/>
      <c r="H97" s="38"/>
      <c r="I97" s="39"/>
      <c r="J97" s="253"/>
      <c r="K97">
        <v>110000</v>
      </c>
      <c r="L97">
        <f t="shared" si="8"/>
        <v>145655.1724137931</v>
      </c>
    </row>
    <row r="98" spans="1:16" s="263" customFormat="1" x14ac:dyDescent="0.3">
      <c r="A98" s="264" t="s">
        <v>146</v>
      </c>
      <c r="B98" s="267" t="s">
        <v>155</v>
      </c>
      <c r="C98" s="268"/>
      <c r="D98" s="267" t="s">
        <v>179</v>
      </c>
      <c r="E98" s="269">
        <v>80000</v>
      </c>
      <c r="F98" s="262">
        <f t="shared" si="7"/>
        <v>105931.03448275862</v>
      </c>
      <c r="G98" s="37"/>
      <c r="H98" s="38"/>
      <c r="I98" s="39"/>
      <c r="J98" s="253"/>
      <c r="K98" s="263">
        <v>80000</v>
      </c>
      <c r="L98" s="263">
        <f t="shared" si="8"/>
        <v>105931.03448275862</v>
      </c>
    </row>
    <row r="99" spans="1:16" ht="15" thickBot="1" x14ac:dyDescent="0.35">
      <c r="A99" s="164" t="s">
        <v>146</v>
      </c>
      <c r="B99" s="165" t="s">
        <v>156</v>
      </c>
      <c r="C99" s="166" t="s">
        <v>180</v>
      </c>
      <c r="D99" s="165" t="s">
        <v>181</v>
      </c>
      <c r="E99" s="167">
        <v>103000</v>
      </c>
      <c r="F99" s="58">
        <f>E99</f>
        <v>103000</v>
      </c>
      <c r="G99" s="59"/>
      <c r="H99" s="60"/>
      <c r="I99" s="61"/>
      <c r="J99" s="253"/>
      <c r="K99">
        <v>103000</v>
      </c>
      <c r="L99">
        <f>K99</f>
        <v>103000</v>
      </c>
    </row>
    <row r="100" spans="1:16" x14ac:dyDescent="0.3">
      <c r="A100" s="24"/>
      <c r="B100" s="62"/>
      <c r="C100" s="63"/>
      <c r="D100" s="62"/>
      <c r="E100" s="73"/>
      <c r="F100" s="56"/>
      <c r="G100" s="168"/>
      <c r="H100" s="169"/>
      <c r="I100" s="170"/>
      <c r="P100">
        <f>SUM(P4:P99)</f>
        <v>2683137.3908965518</v>
      </c>
    </row>
    <row r="101" spans="1:16" x14ac:dyDescent="0.3">
      <c r="A101" s="24"/>
      <c r="B101" s="62"/>
      <c r="C101" s="63"/>
      <c r="D101" s="62"/>
      <c r="E101" s="73"/>
      <c r="F101" s="56"/>
      <c r="G101" s="168"/>
      <c r="H101" s="169"/>
      <c r="I101" s="171">
        <f>I4+I7+I12+I15+I20+I24+I29+I55+I60+I65+I78+I89+I94</f>
        <v>81</v>
      </c>
      <c r="O101">
        <f>O4+O7+O12+O15+O20+O24+O29+O55+O60+O65+O78+O89+O94</f>
        <v>80</v>
      </c>
    </row>
    <row r="102" spans="1:16" x14ac:dyDescent="0.3">
      <c r="A102" s="24"/>
      <c r="B102" s="62"/>
      <c r="C102" s="63"/>
      <c r="D102" s="62"/>
      <c r="E102" s="73"/>
      <c r="F102" s="56"/>
      <c r="G102" s="168"/>
      <c r="H102" s="169"/>
      <c r="I102" s="170"/>
    </row>
    <row r="103" spans="1:16" x14ac:dyDescent="0.3">
      <c r="A103" s="24"/>
      <c r="B103" s="62"/>
      <c r="C103" s="63"/>
      <c r="D103" s="62"/>
      <c r="E103" s="73"/>
      <c r="F103" s="56"/>
      <c r="G103" s="168"/>
      <c r="H103" s="169"/>
      <c r="I103" s="170"/>
    </row>
    <row r="104" spans="1:16" ht="15" thickBot="1" x14ac:dyDescent="0.35">
      <c r="A104" s="24"/>
      <c r="B104" s="62"/>
      <c r="C104" s="63"/>
      <c r="D104" s="62"/>
      <c r="E104" s="73"/>
      <c r="F104" s="56"/>
      <c r="G104" s="168"/>
      <c r="H104" s="169"/>
      <c r="I104" s="170"/>
    </row>
    <row r="105" spans="1:16" x14ac:dyDescent="0.3">
      <c r="A105" s="172"/>
      <c r="B105" s="173"/>
      <c r="C105" s="174"/>
      <c r="D105" s="173"/>
      <c r="E105" s="175"/>
      <c r="F105" s="176"/>
      <c r="G105" s="175"/>
      <c r="H105" s="177"/>
      <c r="I105" s="178"/>
    </row>
    <row r="106" spans="1:16" x14ac:dyDescent="0.3">
      <c r="A106" s="179"/>
      <c r="B106" s="180"/>
      <c r="C106" s="181"/>
      <c r="D106" s="182" t="s">
        <v>157</v>
      </c>
      <c r="E106" s="183">
        <f>SUM(E4:E99)</f>
        <v>7799173.5700000003</v>
      </c>
      <c r="F106" s="184"/>
      <c r="G106" s="185">
        <f>SUM(G3:G99)</f>
        <v>10284652.127172414</v>
      </c>
      <c r="H106" s="186">
        <v>1</v>
      </c>
      <c r="I106" s="187"/>
      <c r="K106">
        <f>SUM(K4:K99)</f>
        <v>7799173.5700000003</v>
      </c>
      <c r="M106">
        <f>SUM(M3:M99)</f>
        <v>10284652.127172414</v>
      </c>
      <c r="N106">
        <v>1</v>
      </c>
    </row>
    <row r="107" spans="1:16" ht="15" thickBot="1" x14ac:dyDescent="0.35">
      <c r="A107" s="179"/>
      <c r="B107" s="180"/>
      <c r="C107" s="181"/>
      <c r="D107" s="182" t="s">
        <v>158</v>
      </c>
      <c r="E107" s="183">
        <f>SUM(E4:E99)-SUM(E94:E99)</f>
        <v>7156058.5700000003</v>
      </c>
      <c r="F107" s="184"/>
      <c r="G107" s="188">
        <f>G106-G94</f>
        <v>9466465.3685517237</v>
      </c>
      <c r="H107" s="189">
        <v>1</v>
      </c>
      <c r="I107" s="190"/>
      <c r="K107">
        <f>SUM(K4:K99)-SUM(K94:K99)</f>
        <v>7156058.5700000003</v>
      </c>
      <c r="M107">
        <f>M106-M94</f>
        <v>9466465.3685517237</v>
      </c>
      <c r="N107">
        <v>1</v>
      </c>
    </row>
    <row r="108" spans="1:16" x14ac:dyDescent="0.3">
      <c r="A108" s="191"/>
      <c r="B108" s="192"/>
      <c r="C108" s="193"/>
      <c r="D108" s="192" t="s">
        <v>159</v>
      </c>
      <c r="E108" s="194"/>
      <c r="F108" s="176"/>
      <c r="G108" s="195">
        <f>G29-F38-F40+G60+G65-F65+G78+G89-F78</f>
        <v>5367865.0237241378</v>
      </c>
      <c r="H108" s="196">
        <f>G108/$G$107</f>
        <v>0.56704005293850968</v>
      </c>
      <c r="I108" s="197"/>
      <c r="M108">
        <f>M29-L38-L40+M60+M65-L65+M78+M89-L78</f>
        <v>5367865.0237241378</v>
      </c>
      <c r="N108">
        <f>M108/$G$107</f>
        <v>0.56704005293850968</v>
      </c>
    </row>
    <row r="109" spans="1:16" ht="27.6" x14ac:dyDescent="0.3">
      <c r="A109" s="198"/>
      <c r="B109" s="199"/>
      <c r="C109" s="200"/>
      <c r="D109" s="199" t="s">
        <v>160</v>
      </c>
      <c r="E109" s="201"/>
      <c r="F109" s="184"/>
      <c r="G109" s="202">
        <f>F38+F40+G55+F65+F78</f>
        <v>1324339.2</v>
      </c>
      <c r="H109" s="203">
        <f>G109/$G$107</f>
        <v>0.13989796068969412</v>
      </c>
      <c r="I109" s="204"/>
      <c r="M109">
        <f>L38+L40+M55+L65+L78</f>
        <v>1324339.2</v>
      </c>
      <c r="N109">
        <f>M109/$G$107</f>
        <v>0.13989796068969412</v>
      </c>
    </row>
    <row r="110" spans="1:16" x14ac:dyDescent="0.3">
      <c r="A110" s="198"/>
      <c r="B110" s="199"/>
      <c r="C110" s="200"/>
      <c r="D110" s="199" t="s">
        <v>161</v>
      </c>
      <c r="E110" s="201"/>
      <c r="F110" s="184"/>
      <c r="G110" s="202">
        <f>G4+G7+G12+G15+G20+G24</f>
        <v>2774261.1448275861</v>
      </c>
      <c r="H110" s="203">
        <f>G110/$G$107</f>
        <v>0.2930619863717962</v>
      </c>
      <c r="I110" s="204">
        <f>SUM(I4:I99)</f>
        <v>81</v>
      </c>
      <c r="M110">
        <f>M4+M7+M12+M15+M20+M24</f>
        <v>2774261.1448275861</v>
      </c>
      <c r="N110">
        <f>M110/$G$107</f>
        <v>0.2930619863717962</v>
      </c>
      <c r="O110">
        <f>SUM(O4:O99)</f>
        <v>80</v>
      </c>
    </row>
    <row r="111" spans="1:16" ht="15" thickBot="1" x14ac:dyDescent="0.35">
      <c r="A111" s="205"/>
      <c r="B111" s="206"/>
      <c r="C111" s="207"/>
      <c r="D111" s="206" t="s">
        <v>162</v>
      </c>
      <c r="E111" s="208"/>
      <c r="F111" s="209"/>
      <c r="G111" s="210">
        <f>G94</f>
        <v>818186.75862068962</v>
      </c>
      <c r="H111" s="211">
        <f t="shared" ref="H111" si="9">G111/$G$107</f>
        <v>8.6430016565503393E-2</v>
      </c>
      <c r="I111" s="212"/>
      <c r="M111">
        <f>M94</f>
        <v>818186.75862068962</v>
      </c>
      <c r="N111">
        <f t="shared" ref="N111" si="10">M111/$G$107</f>
        <v>8.6430016565503393E-2</v>
      </c>
    </row>
  </sheetData>
  <mergeCells count="44">
    <mergeCell ref="G94:G99"/>
    <mergeCell ref="H94:H99"/>
    <mergeCell ref="I94:I99"/>
    <mergeCell ref="A108:A110"/>
    <mergeCell ref="E108:E110"/>
    <mergeCell ref="J94:J99"/>
    <mergeCell ref="G78:G87"/>
    <mergeCell ref="H78:H87"/>
    <mergeCell ref="I78:I87"/>
    <mergeCell ref="G89:G92"/>
    <mergeCell ref="H89:H92"/>
    <mergeCell ref="I89:I92"/>
    <mergeCell ref="G60:G63"/>
    <mergeCell ref="H60:H63"/>
    <mergeCell ref="I60:I63"/>
    <mergeCell ref="G65:G76"/>
    <mergeCell ref="H65:H76"/>
    <mergeCell ref="I65:I76"/>
    <mergeCell ref="G29:G52"/>
    <mergeCell ref="H29:H52"/>
    <mergeCell ref="I29:I52"/>
    <mergeCell ref="G55:G58"/>
    <mergeCell ref="H55:H58"/>
    <mergeCell ref="I55:I58"/>
    <mergeCell ref="G20:G22"/>
    <mergeCell ref="H20:H22"/>
    <mergeCell ref="I20:I22"/>
    <mergeCell ref="G24:G27"/>
    <mergeCell ref="H24:H27"/>
    <mergeCell ref="I24:I27"/>
    <mergeCell ref="G12:G14"/>
    <mergeCell ref="H12:H14"/>
    <mergeCell ref="I12:I14"/>
    <mergeCell ref="G15:G18"/>
    <mergeCell ref="H15:H18"/>
    <mergeCell ref="I15:I18"/>
    <mergeCell ref="E4:E5"/>
    <mergeCell ref="F4:F5"/>
    <mergeCell ref="G4:G5"/>
    <mergeCell ref="H4:H5"/>
    <mergeCell ref="I4:I5"/>
    <mergeCell ref="G7:G11"/>
    <mergeCell ref="H7:H11"/>
    <mergeCell ref="I7:I1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</dc:creator>
  <cp:lastModifiedBy>Наталья</cp:lastModifiedBy>
  <dcterms:created xsi:type="dcterms:W3CDTF">2015-06-05T18:19:34Z</dcterms:created>
  <dcterms:modified xsi:type="dcterms:W3CDTF">2026-01-28T14:30:37Z</dcterms:modified>
</cp:coreProperties>
</file>